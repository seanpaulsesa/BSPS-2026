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febri/Library/Mobile Documents/com~apple~CloudDocs/Downloads/BP3KP Papua II/2026/01 BSPS/Format BSPS Papua II/Format Baru Permen 6 2026/Fix/"/>
    </mc:Choice>
  </mc:AlternateContent>
  <xr:revisionPtr revIDLastSave="0" documentId="13_ncr:1_{E6A6ED94-759C-5040-96AA-5785DA607E5D}" xr6:coauthVersionLast="47" xr6:coauthVersionMax="47" xr10:uidLastSave="{00000000-0000-0000-0000-000000000000}"/>
  <bookViews>
    <workbookView xWindow="0" yWindow="600" windowWidth="33600" windowHeight="19260" activeTab="1" xr2:uid="{D72E1B17-5309-384A-963E-4A4B0F7E2372}"/>
  </bookViews>
  <sheets>
    <sheet name="Checklist" sheetId="1" r:id="rId1"/>
    <sheet name="A. LPD" sheetId="2" r:id="rId2"/>
    <sheet name="Progress 100%" sheetId="5" r:id="rId3"/>
    <sheet name="B. Lembar Pemeriksaan" sheetId="3" r:id="rId4"/>
    <sheet name="Sheet1" sheetId="4" r:id="rId5"/>
  </sheets>
  <externalReferences>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s>
  <definedNames>
    <definedName name="____________DIV11">[1]DKH!#REF!</definedName>
    <definedName name="___________DIV1">#REF!</definedName>
    <definedName name="___________DIV10">#REF!</definedName>
    <definedName name="___________DIV2">#REF!</definedName>
    <definedName name="___________DIV3">#REF!</definedName>
    <definedName name="___________DIV4">#REF!</definedName>
    <definedName name="___________DIV5">#REF!</definedName>
    <definedName name="___________DIV6">#REF!</definedName>
    <definedName name="___________DIV7">#REF!</definedName>
    <definedName name="___________DIV8">#REF!</definedName>
    <definedName name="___________DIV9">#REF!</definedName>
    <definedName name="___________EEE01">[2]A.Alat!$AW$8</definedName>
    <definedName name="___________EEE02">[2]A.Alat!$AW$9</definedName>
    <definedName name="___________EEE03">[2]A.Alat!$AW$10</definedName>
    <definedName name="___________EEE04">[2]A.Alat!$AW$11</definedName>
    <definedName name="___________EEE05">[2]A.Alat!$AW$12</definedName>
    <definedName name="___________EEE06">[2]A.Alat!$AW$13</definedName>
    <definedName name="___________EEE07">[2]A.Alat!$AW$14</definedName>
    <definedName name="___________EEE08">[2]A.Alat!$AW$15</definedName>
    <definedName name="___________EEE09">[2]A.Alat!$AW$16</definedName>
    <definedName name="___________EEE10">[2]A.Alat!$AW$17</definedName>
    <definedName name="___________EEE11">[2]A.Alat!$AW$18</definedName>
    <definedName name="___________EEE12">[2]A.Alat!$AW$19</definedName>
    <definedName name="___________EEE13">[2]A.Alat!$AW$20</definedName>
    <definedName name="___________EEE14">[2]A.Alat!$AW$21</definedName>
    <definedName name="___________EEE15">[2]A.Alat!$AW$22</definedName>
    <definedName name="___________EEE16">[2]A.Alat!$AW$23</definedName>
    <definedName name="___________EEE17">[2]A.Alat!$AW$24</definedName>
    <definedName name="___________EEE18">[2]A.Alat!$AW$25</definedName>
    <definedName name="___________EEE19">[2]A.Alat!$AW$26</definedName>
    <definedName name="___________EEE20">[2]A.Alat!$AW$27</definedName>
    <definedName name="___________EEE21">[2]A.Alat!$AW$28</definedName>
    <definedName name="___________EEE22">[2]A.Alat!$AW$29</definedName>
    <definedName name="___________EEE23">[2]A.Alat!$AW$30</definedName>
    <definedName name="___________EEE24">[2]A.Alat!$AW$31</definedName>
    <definedName name="___________EEE25">[2]A.Alat!$AW$32</definedName>
    <definedName name="___________EEE26">[2]A.Alat!$AW$33</definedName>
    <definedName name="___________EEE27">[2]A.Alat!$AW$34</definedName>
    <definedName name="___________EEE28">[2]A.Alat!$AW$35</definedName>
    <definedName name="___________EEE29">[2]A.Alat!$AW$36</definedName>
    <definedName name="___________EEE30">[2]A.Alat!$AW$37</definedName>
    <definedName name="___________EEE31">[2]A.Alat!$AW$38</definedName>
    <definedName name="___________EEE32">[2]A.Alat!$AW$39</definedName>
    <definedName name="___________EEE33">[2]A.Alat!$AW$40</definedName>
    <definedName name="___________HAL1">#REF!</definedName>
    <definedName name="___________HAL2">#REF!</definedName>
    <definedName name="___________HAL3">#REF!</definedName>
    <definedName name="___________HAL4">#REF!</definedName>
    <definedName name="___________HAL5">#REF!</definedName>
    <definedName name="___________HAL6">#REF!</definedName>
    <definedName name="___________HAL7">#REF!</definedName>
    <definedName name="___________HAL8">#REF!</definedName>
    <definedName name="___________LLL01">#REF!</definedName>
    <definedName name="___________LLL02">#REF!</definedName>
    <definedName name="___________LLL03">#REF!</definedName>
    <definedName name="___________LLL04">#REF!</definedName>
    <definedName name="___________LLL05">#REF!</definedName>
    <definedName name="___________LLL06">#REF!</definedName>
    <definedName name="___________LLL07">#REF!</definedName>
    <definedName name="___________LLL08">#REF!</definedName>
    <definedName name="___________LLL09">#REF!</definedName>
    <definedName name="___________LLL10">#REF!</definedName>
    <definedName name="___________LLL11">#REF!</definedName>
    <definedName name="___________MDE01">#REF!</definedName>
    <definedName name="___________MDE02">#REF!</definedName>
    <definedName name="___________MDE03">#REF!</definedName>
    <definedName name="___________MDE04">#REF!</definedName>
    <definedName name="___________MDE05">#REF!</definedName>
    <definedName name="___________MDE06">#REF!</definedName>
    <definedName name="___________MDE07">#REF!</definedName>
    <definedName name="___________MDE08">#REF!</definedName>
    <definedName name="___________MDE09">#REF!</definedName>
    <definedName name="___________MDE10">#REF!</definedName>
    <definedName name="___________MDE11">#REF!</definedName>
    <definedName name="___________MDE12">#REF!</definedName>
    <definedName name="___________MDE13">#REF!</definedName>
    <definedName name="___________MDE14">#REF!</definedName>
    <definedName name="___________MDE15">#REF!</definedName>
    <definedName name="___________MDE16">#REF!</definedName>
    <definedName name="___________MDE17">#REF!</definedName>
    <definedName name="___________MDE18">#REF!</definedName>
    <definedName name="___________MDE19">#REF!</definedName>
    <definedName name="___________MDE20">#REF!</definedName>
    <definedName name="___________MDE21">#REF!</definedName>
    <definedName name="___________MDE22">#REF!</definedName>
    <definedName name="___________MDE23">#REF!</definedName>
    <definedName name="___________MDE24">#REF!</definedName>
    <definedName name="___________MDE25">#REF!</definedName>
    <definedName name="___________MDE26">#REF!</definedName>
    <definedName name="___________MDE27">#REF!</definedName>
    <definedName name="___________MDE28">#REF!</definedName>
    <definedName name="___________MDE29">#REF!</definedName>
    <definedName name="___________MDE30">#REF!</definedName>
    <definedName name="___________MDE31">#REF!</definedName>
    <definedName name="___________MDE32">#REF!</definedName>
    <definedName name="___________MDE33">#REF!</definedName>
    <definedName name="___________MDE34">#REF!</definedName>
    <definedName name="___________ME01">#REF!</definedName>
    <definedName name="___________ME02">#REF!</definedName>
    <definedName name="___________ME03">#REF!</definedName>
    <definedName name="___________ME04">#REF!</definedName>
    <definedName name="___________ME05">#REF!</definedName>
    <definedName name="___________ME06">#REF!</definedName>
    <definedName name="___________ME07">#REF!</definedName>
    <definedName name="___________ME08">#REF!</definedName>
    <definedName name="___________ME09">#REF!</definedName>
    <definedName name="___________ME10">#REF!</definedName>
    <definedName name="___________ME11">#REF!</definedName>
    <definedName name="___________ME12">#REF!</definedName>
    <definedName name="___________ME13">#REF!</definedName>
    <definedName name="___________ME14">#REF!</definedName>
    <definedName name="___________ME15">#REF!</definedName>
    <definedName name="___________ME16">#REF!</definedName>
    <definedName name="___________ME17">#REF!</definedName>
    <definedName name="___________ME18">#REF!</definedName>
    <definedName name="___________ME19">#REF!</definedName>
    <definedName name="___________ME20">#REF!</definedName>
    <definedName name="___________ME21">#REF!</definedName>
    <definedName name="___________ME22">#REF!</definedName>
    <definedName name="___________ME23">#REF!</definedName>
    <definedName name="___________ME24">#REF!</definedName>
    <definedName name="___________ME25">#REF!</definedName>
    <definedName name="___________ME26">#REF!</definedName>
    <definedName name="___________ME27">#REF!</definedName>
    <definedName name="___________ME28">#REF!</definedName>
    <definedName name="___________ME29">#REF!</definedName>
    <definedName name="___________ME30">#REF!</definedName>
    <definedName name="___________ME31">#REF!</definedName>
    <definedName name="___________ME32">#REF!</definedName>
    <definedName name="___________ME33">#REF!</definedName>
    <definedName name="___________ME34">#REF!</definedName>
    <definedName name="___________MMM01">#REF!</definedName>
    <definedName name="___________MMM02">#REF!</definedName>
    <definedName name="___________MMM03">#REF!</definedName>
    <definedName name="___________MMM04">#REF!</definedName>
    <definedName name="___________MMM05">#REF!</definedName>
    <definedName name="___________MMM06">#REF!</definedName>
    <definedName name="___________MMM07">#REF!</definedName>
    <definedName name="___________MMM08">#REF!</definedName>
    <definedName name="___________MMM09">#REF!</definedName>
    <definedName name="___________MMM10">#REF!</definedName>
    <definedName name="___________MMM11">#REF!</definedName>
    <definedName name="___________MMM12">#REF!</definedName>
    <definedName name="___________MMM13">#REF!</definedName>
    <definedName name="___________MMM14">#REF!</definedName>
    <definedName name="___________MMM15">#REF!</definedName>
    <definedName name="___________MMM16">#REF!</definedName>
    <definedName name="___________MMM17">#REF!</definedName>
    <definedName name="___________MMM18">#REF!</definedName>
    <definedName name="___________MMM19">#REF!</definedName>
    <definedName name="___________MMM20">#REF!</definedName>
    <definedName name="___________MMM21">#REF!</definedName>
    <definedName name="___________MMM22">#REF!</definedName>
    <definedName name="___________MMM23">#REF!</definedName>
    <definedName name="___________MMM24">#REF!</definedName>
    <definedName name="___________MMM25">#REF!</definedName>
    <definedName name="___________MMM26">#REF!</definedName>
    <definedName name="___________MMM27">#REF!</definedName>
    <definedName name="___________MMM28">#REF!</definedName>
    <definedName name="___________MMM29">#REF!</definedName>
    <definedName name="___________MMM30">#REF!</definedName>
    <definedName name="___________MMM31">#REF!</definedName>
    <definedName name="___________MMM32">#REF!</definedName>
    <definedName name="___________MMM33">#REF!</definedName>
    <definedName name="___________MMM34">#REF!</definedName>
    <definedName name="___________MMM35">#REF!</definedName>
    <definedName name="___________MMM36">#REF!</definedName>
    <definedName name="___________MMM37">#REF!</definedName>
    <definedName name="___________MMM38">#REF!</definedName>
    <definedName name="___________MMM39">#REF!</definedName>
    <definedName name="___________MMM40">#REF!</definedName>
    <definedName name="___________MMM41">#REF!</definedName>
    <definedName name="___________MMM411">#REF!</definedName>
    <definedName name="___________MMM42">#REF!</definedName>
    <definedName name="___________MMM43">#REF!</definedName>
    <definedName name="___________MMM44">#REF!</definedName>
    <definedName name="___________MMM45">#REF!</definedName>
    <definedName name="___________MMM46">#REF!</definedName>
    <definedName name="___________MMM47">#REF!</definedName>
    <definedName name="___________MMM48">#REF!</definedName>
    <definedName name="___________MMM49">#REF!</definedName>
    <definedName name="___________MMM50">#REF!</definedName>
    <definedName name="___________MMM51">#REF!</definedName>
    <definedName name="___________MMM52">#REF!</definedName>
    <definedName name="___________MMM53">#REF!</definedName>
    <definedName name="___________MMM54">#REF!</definedName>
    <definedName name="___________pvc1">[3]upah!#REF!</definedName>
    <definedName name="___________pvc12">[3]upah!#REF!</definedName>
    <definedName name="___________pvc34">[3]upah!#REF!</definedName>
    <definedName name="___________pvc4">[3]upah!#REF!</definedName>
    <definedName name="__________DIV1">#REF!</definedName>
    <definedName name="__________DIV10">#REF!</definedName>
    <definedName name="__________DIV11">[1]DKH!#REF!</definedName>
    <definedName name="__________DIV2">#REF!</definedName>
    <definedName name="__________DIV3">#REF!</definedName>
    <definedName name="__________DIV4">#REF!</definedName>
    <definedName name="__________DIV5">#REF!</definedName>
    <definedName name="__________DIV6">#REF!</definedName>
    <definedName name="__________DIV7">#REF!</definedName>
    <definedName name="__________DIV8">#REF!</definedName>
    <definedName name="__________DIV9">#REF!</definedName>
    <definedName name="__________EEE01">#REF!</definedName>
    <definedName name="__________EEE02">#REF!</definedName>
    <definedName name="__________EEE03">#REF!</definedName>
    <definedName name="__________EEE04">#REF!</definedName>
    <definedName name="__________EEE05">#REF!</definedName>
    <definedName name="__________EEE06">#REF!</definedName>
    <definedName name="__________EEE07">#REF!</definedName>
    <definedName name="__________EEE08">#REF!</definedName>
    <definedName name="__________EEE09">#REF!</definedName>
    <definedName name="__________EEE10">#REF!</definedName>
    <definedName name="__________EEE11">#REF!</definedName>
    <definedName name="__________EEE12">#REF!</definedName>
    <definedName name="__________EEE13">#REF!</definedName>
    <definedName name="__________EEE14">#REF!</definedName>
    <definedName name="__________EEE15">#REF!</definedName>
    <definedName name="__________EEE16">#REF!</definedName>
    <definedName name="__________EEE17">#REF!</definedName>
    <definedName name="__________EEE18">#REF!</definedName>
    <definedName name="__________EEE19">#REF!</definedName>
    <definedName name="__________EEE20">#REF!</definedName>
    <definedName name="__________EEE21">#REF!</definedName>
    <definedName name="__________EEE22">#REF!</definedName>
    <definedName name="__________EEE23">#REF!</definedName>
    <definedName name="__________EEE24">#REF!</definedName>
    <definedName name="__________EEE25">#REF!</definedName>
    <definedName name="__________EEE26">#REF!</definedName>
    <definedName name="__________EEE27">#REF!</definedName>
    <definedName name="__________EEE28">#REF!</definedName>
    <definedName name="__________EEE29">#REF!</definedName>
    <definedName name="__________EEE30">#REF!</definedName>
    <definedName name="__________EEE31">#REF!</definedName>
    <definedName name="__________EEE32">#REF!</definedName>
    <definedName name="__________EEE33">#REF!</definedName>
    <definedName name="__________HAL1">#REF!</definedName>
    <definedName name="__________HAL2">#REF!</definedName>
    <definedName name="__________HAL3">#REF!</definedName>
    <definedName name="__________HAL4">#REF!</definedName>
    <definedName name="__________HAL5">#REF!</definedName>
    <definedName name="__________HAL6">#REF!</definedName>
    <definedName name="__________HAL7">#REF!</definedName>
    <definedName name="__________HAL8">#REF!</definedName>
    <definedName name="__________LLL01">#REF!</definedName>
    <definedName name="__________LLL02">#REF!</definedName>
    <definedName name="__________LLL03">#REF!</definedName>
    <definedName name="__________LLL04">#REF!</definedName>
    <definedName name="__________LLL05">#REF!</definedName>
    <definedName name="__________LLL06">#REF!</definedName>
    <definedName name="__________LLL07">#REF!</definedName>
    <definedName name="__________LLL08">#REF!</definedName>
    <definedName name="__________LLL09">#REF!</definedName>
    <definedName name="__________LLL10">#REF!</definedName>
    <definedName name="__________LLL11">#REF!</definedName>
    <definedName name="__________MDE01">#REF!</definedName>
    <definedName name="__________MDE02">#REF!</definedName>
    <definedName name="__________MDE03">#REF!</definedName>
    <definedName name="__________MDE04">#REF!</definedName>
    <definedName name="__________MDE05">#REF!</definedName>
    <definedName name="__________MDE06">#REF!</definedName>
    <definedName name="__________MDE07">#REF!</definedName>
    <definedName name="__________MDE08">#REF!</definedName>
    <definedName name="__________MDE09">#REF!</definedName>
    <definedName name="__________MDE10">#REF!</definedName>
    <definedName name="__________MDE11">#REF!</definedName>
    <definedName name="__________MDE12">#REF!</definedName>
    <definedName name="__________MDE13">#REF!</definedName>
    <definedName name="__________MDE14">#REF!</definedName>
    <definedName name="__________MDE15">#REF!</definedName>
    <definedName name="__________MDE16">#REF!</definedName>
    <definedName name="__________MDE17">#REF!</definedName>
    <definedName name="__________MDE18">#REF!</definedName>
    <definedName name="__________MDE19">#REF!</definedName>
    <definedName name="__________MDE20">#REF!</definedName>
    <definedName name="__________MDE21">#REF!</definedName>
    <definedName name="__________MDE22">#REF!</definedName>
    <definedName name="__________MDE23">#REF!</definedName>
    <definedName name="__________MDE24">#REF!</definedName>
    <definedName name="__________MDE25">#REF!</definedName>
    <definedName name="__________MDE26">#REF!</definedName>
    <definedName name="__________MDE27">#REF!</definedName>
    <definedName name="__________MDE28">#REF!</definedName>
    <definedName name="__________MDE29">#REF!</definedName>
    <definedName name="__________MDE30">#REF!</definedName>
    <definedName name="__________MDE31">#REF!</definedName>
    <definedName name="__________MDE32">#REF!</definedName>
    <definedName name="__________MDE33">#REF!</definedName>
    <definedName name="__________MDE34">#REF!</definedName>
    <definedName name="__________ME01">#REF!</definedName>
    <definedName name="__________ME02">#REF!</definedName>
    <definedName name="__________ME03">#REF!</definedName>
    <definedName name="__________ME04">#REF!</definedName>
    <definedName name="__________ME05">#REF!</definedName>
    <definedName name="__________ME06">#REF!</definedName>
    <definedName name="__________ME07">#REF!</definedName>
    <definedName name="__________ME08">#REF!</definedName>
    <definedName name="__________ME09">#REF!</definedName>
    <definedName name="__________ME10">#REF!</definedName>
    <definedName name="__________ME11">#REF!</definedName>
    <definedName name="__________ME12">#REF!</definedName>
    <definedName name="__________ME13">#REF!</definedName>
    <definedName name="__________ME14">#REF!</definedName>
    <definedName name="__________ME15">#REF!</definedName>
    <definedName name="__________ME16">#REF!</definedName>
    <definedName name="__________ME17">#REF!</definedName>
    <definedName name="__________ME18">#REF!</definedName>
    <definedName name="__________ME19">#REF!</definedName>
    <definedName name="__________ME20">#REF!</definedName>
    <definedName name="__________ME21">#REF!</definedName>
    <definedName name="__________ME22">#REF!</definedName>
    <definedName name="__________ME23">#REF!</definedName>
    <definedName name="__________ME24">#REF!</definedName>
    <definedName name="__________ME25">#REF!</definedName>
    <definedName name="__________ME26">#REF!</definedName>
    <definedName name="__________ME27">#REF!</definedName>
    <definedName name="__________ME28">#REF!</definedName>
    <definedName name="__________ME29">#REF!</definedName>
    <definedName name="__________ME30">#REF!</definedName>
    <definedName name="__________ME31">#REF!</definedName>
    <definedName name="__________ME32">#REF!</definedName>
    <definedName name="__________ME33">#REF!</definedName>
    <definedName name="__________ME34">#REF!</definedName>
    <definedName name="__________MMM01">#REF!</definedName>
    <definedName name="__________MMM02">#REF!</definedName>
    <definedName name="__________MMM03">#REF!</definedName>
    <definedName name="__________MMM04">#REF!</definedName>
    <definedName name="__________MMM05">#REF!</definedName>
    <definedName name="__________MMM06">#REF!</definedName>
    <definedName name="__________MMM07">#REF!</definedName>
    <definedName name="__________MMM08">#REF!</definedName>
    <definedName name="__________MMM09">#REF!</definedName>
    <definedName name="__________MMM10">#REF!</definedName>
    <definedName name="__________MMM11">#REF!</definedName>
    <definedName name="__________MMM12">#REF!</definedName>
    <definedName name="__________MMM13">#REF!</definedName>
    <definedName name="__________MMM14">#REF!</definedName>
    <definedName name="__________MMM15">#REF!</definedName>
    <definedName name="__________MMM16">#REF!</definedName>
    <definedName name="__________MMM17">#REF!</definedName>
    <definedName name="__________MMM18">#REF!</definedName>
    <definedName name="__________MMM19">#REF!</definedName>
    <definedName name="__________MMM20">#REF!</definedName>
    <definedName name="__________MMM21">#REF!</definedName>
    <definedName name="__________MMM22">#REF!</definedName>
    <definedName name="__________MMM23">#REF!</definedName>
    <definedName name="__________MMM24">#REF!</definedName>
    <definedName name="__________MMM25">#REF!</definedName>
    <definedName name="__________MMM26">#REF!</definedName>
    <definedName name="__________MMM27">#REF!</definedName>
    <definedName name="__________MMM28">#REF!</definedName>
    <definedName name="__________MMM29">#REF!</definedName>
    <definedName name="__________MMM30">#REF!</definedName>
    <definedName name="__________MMM31">#REF!</definedName>
    <definedName name="__________MMM32">#REF!</definedName>
    <definedName name="__________MMM33">#REF!</definedName>
    <definedName name="__________MMM34">#REF!</definedName>
    <definedName name="__________MMM35">#REF!</definedName>
    <definedName name="__________MMM36">#REF!</definedName>
    <definedName name="__________MMM37">#REF!</definedName>
    <definedName name="__________MMM38">#REF!</definedName>
    <definedName name="__________MMM39">#REF!</definedName>
    <definedName name="__________MMM40">#REF!</definedName>
    <definedName name="__________MMM41">#REF!</definedName>
    <definedName name="__________MMM411">#REF!</definedName>
    <definedName name="__________MMM42">#REF!</definedName>
    <definedName name="__________MMM43">#REF!</definedName>
    <definedName name="__________MMM44">#REF!</definedName>
    <definedName name="__________MMM45">#REF!</definedName>
    <definedName name="__________MMM46">#REF!</definedName>
    <definedName name="__________MMM47">#REF!</definedName>
    <definedName name="__________MMM48">#REF!</definedName>
    <definedName name="__________MMM49">#REF!</definedName>
    <definedName name="__________MMM50">#REF!</definedName>
    <definedName name="__________MMM51">#REF!</definedName>
    <definedName name="__________MMM52">#REF!</definedName>
    <definedName name="__________MMM53">#REF!</definedName>
    <definedName name="__________MMM54">#REF!</definedName>
    <definedName name="__________pvc1">[3]upah!#REF!</definedName>
    <definedName name="__________pvc12">[3]upah!#REF!</definedName>
    <definedName name="__________pvc34">[3]upah!#REF!</definedName>
    <definedName name="__________pvc4">[3]upah!#REF!</definedName>
    <definedName name="_________DIV1">#REF!</definedName>
    <definedName name="_________DIV10">#REF!</definedName>
    <definedName name="_________DIV11">[1]DKH!#REF!</definedName>
    <definedName name="_________DIV2">#REF!</definedName>
    <definedName name="_________DIV3">#REF!</definedName>
    <definedName name="_________DIV4">#REF!</definedName>
    <definedName name="_________DIV5">#REF!</definedName>
    <definedName name="_________DIV6">#REF!</definedName>
    <definedName name="_________DIV7">#REF!</definedName>
    <definedName name="_________DIV8">#REF!</definedName>
    <definedName name="_________DIV9">#REF!</definedName>
    <definedName name="_________EEE01">#REF!</definedName>
    <definedName name="_________EEE02">#REF!</definedName>
    <definedName name="_________EEE03">#REF!</definedName>
    <definedName name="_________EEE04">#REF!</definedName>
    <definedName name="_________EEE05">#REF!</definedName>
    <definedName name="_________EEE06">#REF!</definedName>
    <definedName name="_________EEE07">#REF!</definedName>
    <definedName name="_________EEE08">#REF!</definedName>
    <definedName name="_________EEE09">#REF!</definedName>
    <definedName name="_________EEE10">#REF!</definedName>
    <definedName name="_________EEE11">#REF!</definedName>
    <definedName name="_________EEE12">#REF!</definedName>
    <definedName name="_________EEE13">#REF!</definedName>
    <definedName name="_________EEE14">#REF!</definedName>
    <definedName name="_________EEE15">#REF!</definedName>
    <definedName name="_________EEE16">#REF!</definedName>
    <definedName name="_________EEE17">#REF!</definedName>
    <definedName name="_________EEE18">#REF!</definedName>
    <definedName name="_________EEE19">#REF!</definedName>
    <definedName name="_________EEE20">#REF!</definedName>
    <definedName name="_________EEE21">#REF!</definedName>
    <definedName name="_________EEE22">#REF!</definedName>
    <definedName name="_________EEE23">#REF!</definedName>
    <definedName name="_________EEE24">#REF!</definedName>
    <definedName name="_________EEE25">#REF!</definedName>
    <definedName name="_________EEE26">#REF!</definedName>
    <definedName name="_________EEE27">#REF!</definedName>
    <definedName name="_________EEE28">#REF!</definedName>
    <definedName name="_________EEE29">#REF!</definedName>
    <definedName name="_________EEE30">#REF!</definedName>
    <definedName name="_________EEE31">#REF!</definedName>
    <definedName name="_________EEE32">#REF!</definedName>
    <definedName name="_________EEE33">#REF!</definedName>
    <definedName name="_________HAL1">#REF!</definedName>
    <definedName name="_________HAL2">#REF!</definedName>
    <definedName name="_________HAL3">#REF!</definedName>
    <definedName name="_________HAL4">#REF!</definedName>
    <definedName name="_________HAL5">#REF!</definedName>
    <definedName name="_________HAL6">#REF!</definedName>
    <definedName name="_________HAL7">#REF!</definedName>
    <definedName name="_________HAL8">#REF!</definedName>
    <definedName name="_________LLL01">#REF!</definedName>
    <definedName name="_________LLL02">#REF!</definedName>
    <definedName name="_________LLL03">#REF!</definedName>
    <definedName name="_________LLL04">#REF!</definedName>
    <definedName name="_________LLL05">#REF!</definedName>
    <definedName name="_________LLL06">#REF!</definedName>
    <definedName name="_________LLL07">#REF!</definedName>
    <definedName name="_________LLL08">#REF!</definedName>
    <definedName name="_________LLL09">#REF!</definedName>
    <definedName name="_________LLL10">#REF!</definedName>
    <definedName name="_________LLL11">#REF!</definedName>
    <definedName name="_________MDE01">#REF!</definedName>
    <definedName name="_________MDE02">#REF!</definedName>
    <definedName name="_________MDE03">#REF!</definedName>
    <definedName name="_________MDE04">#REF!</definedName>
    <definedName name="_________MDE05">#REF!</definedName>
    <definedName name="_________MDE06">#REF!</definedName>
    <definedName name="_________MDE07">#REF!</definedName>
    <definedName name="_________MDE08">#REF!</definedName>
    <definedName name="_________MDE09">#REF!</definedName>
    <definedName name="_________MDE10">#REF!</definedName>
    <definedName name="_________MDE11">#REF!</definedName>
    <definedName name="_________MDE12">#REF!</definedName>
    <definedName name="_________MDE13">#REF!</definedName>
    <definedName name="_________MDE14">#REF!</definedName>
    <definedName name="_________MDE15">#REF!</definedName>
    <definedName name="_________MDE16">#REF!</definedName>
    <definedName name="_________MDE17">#REF!</definedName>
    <definedName name="_________MDE18">#REF!</definedName>
    <definedName name="_________MDE19">#REF!</definedName>
    <definedName name="_________MDE20">#REF!</definedName>
    <definedName name="_________MDE21">#REF!</definedName>
    <definedName name="_________MDE22">#REF!</definedName>
    <definedName name="_________MDE23">#REF!</definedName>
    <definedName name="_________MDE24">#REF!</definedName>
    <definedName name="_________MDE25">#REF!</definedName>
    <definedName name="_________MDE26">#REF!</definedName>
    <definedName name="_________MDE27">#REF!</definedName>
    <definedName name="_________MDE28">#REF!</definedName>
    <definedName name="_________MDE29">#REF!</definedName>
    <definedName name="_________MDE30">#REF!</definedName>
    <definedName name="_________MDE31">#REF!</definedName>
    <definedName name="_________MDE32">#REF!</definedName>
    <definedName name="_________MDE33">#REF!</definedName>
    <definedName name="_________MDE34">#REF!</definedName>
    <definedName name="_________ME01">#REF!</definedName>
    <definedName name="_________ME02">#REF!</definedName>
    <definedName name="_________ME03">#REF!</definedName>
    <definedName name="_________ME04">#REF!</definedName>
    <definedName name="_________ME05">#REF!</definedName>
    <definedName name="_________ME06">#REF!</definedName>
    <definedName name="_________ME07">#REF!</definedName>
    <definedName name="_________ME08">#REF!</definedName>
    <definedName name="_________ME09">#REF!</definedName>
    <definedName name="_________ME10">#REF!</definedName>
    <definedName name="_________ME11">#REF!</definedName>
    <definedName name="_________ME12">#REF!</definedName>
    <definedName name="_________ME13">#REF!</definedName>
    <definedName name="_________ME14">#REF!</definedName>
    <definedName name="_________ME15">#REF!</definedName>
    <definedName name="_________ME16">#REF!</definedName>
    <definedName name="_________ME17">#REF!</definedName>
    <definedName name="_________ME18">#REF!</definedName>
    <definedName name="_________ME19">#REF!</definedName>
    <definedName name="_________ME20">#REF!</definedName>
    <definedName name="_________ME21">#REF!</definedName>
    <definedName name="_________ME22">#REF!</definedName>
    <definedName name="_________ME23">#REF!</definedName>
    <definedName name="_________ME24">#REF!</definedName>
    <definedName name="_________ME25">#REF!</definedName>
    <definedName name="_________ME26">#REF!</definedName>
    <definedName name="_________ME27">#REF!</definedName>
    <definedName name="_________ME28">#REF!</definedName>
    <definedName name="_________ME29">#REF!</definedName>
    <definedName name="_________ME30">#REF!</definedName>
    <definedName name="_________ME31">#REF!</definedName>
    <definedName name="_________ME32">#REF!</definedName>
    <definedName name="_________ME33">#REF!</definedName>
    <definedName name="_________ME34">#REF!</definedName>
    <definedName name="_________MMM01">#REF!</definedName>
    <definedName name="_________MMM02">#REF!</definedName>
    <definedName name="_________MMM03">#REF!</definedName>
    <definedName name="_________MMM04">#REF!</definedName>
    <definedName name="_________MMM05">#REF!</definedName>
    <definedName name="_________MMM06">#REF!</definedName>
    <definedName name="_________MMM07">#REF!</definedName>
    <definedName name="_________MMM08">#REF!</definedName>
    <definedName name="_________MMM09">#REF!</definedName>
    <definedName name="_________MMM10">#REF!</definedName>
    <definedName name="_________MMM11">#REF!</definedName>
    <definedName name="_________MMM12">#REF!</definedName>
    <definedName name="_________MMM13">#REF!</definedName>
    <definedName name="_________MMM14">#REF!</definedName>
    <definedName name="_________MMM15">#REF!</definedName>
    <definedName name="_________MMM16">#REF!</definedName>
    <definedName name="_________MMM17">#REF!</definedName>
    <definedName name="_________MMM18">#REF!</definedName>
    <definedName name="_________MMM19">#REF!</definedName>
    <definedName name="_________MMM20">#REF!</definedName>
    <definedName name="_________MMM21">#REF!</definedName>
    <definedName name="_________MMM22">#REF!</definedName>
    <definedName name="_________MMM23">#REF!</definedName>
    <definedName name="_________MMM24">#REF!</definedName>
    <definedName name="_________MMM25">#REF!</definedName>
    <definedName name="_________MMM26">#REF!</definedName>
    <definedName name="_________MMM27">#REF!</definedName>
    <definedName name="_________MMM28">#REF!</definedName>
    <definedName name="_________MMM29">#REF!</definedName>
    <definedName name="_________MMM30">#REF!</definedName>
    <definedName name="_________MMM31">#REF!</definedName>
    <definedName name="_________MMM32">#REF!</definedName>
    <definedName name="_________MMM33">#REF!</definedName>
    <definedName name="_________MMM34">#REF!</definedName>
    <definedName name="_________MMM35">#REF!</definedName>
    <definedName name="_________MMM36">#REF!</definedName>
    <definedName name="_________MMM37">#REF!</definedName>
    <definedName name="_________MMM38">#REF!</definedName>
    <definedName name="_________MMM39">#REF!</definedName>
    <definedName name="_________MMM40">#REF!</definedName>
    <definedName name="_________MMM41">#REF!</definedName>
    <definedName name="_________MMM411">#REF!</definedName>
    <definedName name="_________MMM42">#REF!</definedName>
    <definedName name="_________MMM43">#REF!</definedName>
    <definedName name="_________MMM44">#REF!</definedName>
    <definedName name="_________MMM45">#REF!</definedName>
    <definedName name="_________MMM46">#REF!</definedName>
    <definedName name="_________MMM47">#REF!</definedName>
    <definedName name="_________MMM48">#REF!</definedName>
    <definedName name="_________MMM49">#REF!</definedName>
    <definedName name="_________MMM50">#REF!</definedName>
    <definedName name="_________MMM51">#REF!</definedName>
    <definedName name="_________MMM52">#REF!</definedName>
    <definedName name="_________MMM53">#REF!</definedName>
    <definedName name="_________MMM54">#REF!</definedName>
    <definedName name="_________pvc1">[3]upah!#REF!</definedName>
    <definedName name="_________pvc12">[3]upah!#REF!</definedName>
    <definedName name="_________pvc34">[3]upah!#REF!</definedName>
    <definedName name="_________pvc4">[3]upah!#REF!</definedName>
    <definedName name="________DIV1">#REF!</definedName>
    <definedName name="________DIV10">#REF!</definedName>
    <definedName name="________DIV11">[1]DKH!#REF!</definedName>
    <definedName name="________DIV2">#REF!</definedName>
    <definedName name="________DIV3">#REF!</definedName>
    <definedName name="________DIV4">#REF!</definedName>
    <definedName name="________DIV5">#REF!</definedName>
    <definedName name="________DIV6">#REF!</definedName>
    <definedName name="________DIV7">#REF!</definedName>
    <definedName name="________DIV8">#REF!</definedName>
    <definedName name="________DIV9">#REF!</definedName>
    <definedName name="________EEE01">#REF!</definedName>
    <definedName name="________EEE02">#REF!</definedName>
    <definedName name="________EEE03">#REF!</definedName>
    <definedName name="________EEE04">#REF!</definedName>
    <definedName name="________EEE05">#REF!</definedName>
    <definedName name="________EEE06">#REF!</definedName>
    <definedName name="________EEE07">#REF!</definedName>
    <definedName name="________EEE08">#REF!</definedName>
    <definedName name="________EEE09">#REF!</definedName>
    <definedName name="________EEE10">#REF!</definedName>
    <definedName name="________EEE11">#REF!</definedName>
    <definedName name="________EEE12">#REF!</definedName>
    <definedName name="________EEE13">#REF!</definedName>
    <definedName name="________EEE14">#REF!</definedName>
    <definedName name="________EEE15">#REF!</definedName>
    <definedName name="________EEE16">#REF!</definedName>
    <definedName name="________EEE17">#REF!</definedName>
    <definedName name="________EEE18">#REF!</definedName>
    <definedName name="________EEE19">#REF!</definedName>
    <definedName name="________EEE20">#REF!</definedName>
    <definedName name="________EEE21">#REF!</definedName>
    <definedName name="________EEE22">#REF!</definedName>
    <definedName name="________EEE23">#REF!</definedName>
    <definedName name="________EEE24">#REF!</definedName>
    <definedName name="________EEE25">#REF!</definedName>
    <definedName name="________EEE26">#REF!</definedName>
    <definedName name="________EEE27">#REF!</definedName>
    <definedName name="________EEE28">#REF!</definedName>
    <definedName name="________EEE29">#REF!</definedName>
    <definedName name="________EEE30">#REF!</definedName>
    <definedName name="________EEE31">#REF!</definedName>
    <definedName name="________EEE32">#REF!</definedName>
    <definedName name="________EEE33">#REF!</definedName>
    <definedName name="________HAL1">#REF!</definedName>
    <definedName name="________HAL2">#REF!</definedName>
    <definedName name="________HAL3">#REF!</definedName>
    <definedName name="________HAL4">#REF!</definedName>
    <definedName name="________HAL5">#REF!</definedName>
    <definedName name="________HAL6">#REF!</definedName>
    <definedName name="________HAL7">#REF!</definedName>
    <definedName name="________HAL8">#REF!</definedName>
    <definedName name="________LLL01">#REF!</definedName>
    <definedName name="________LLL02">#REF!</definedName>
    <definedName name="________LLL03">#REF!</definedName>
    <definedName name="________LLL04">#REF!</definedName>
    <definedName name="________LLL05">#REF!</definedName>
    <definedName name="________LLL06">#REF!</definedName>
    <definedName name="________LLL07">#REF!</definedName>
    <definedName name="________LLL08">#REF!</definedName>
    <definedName name="________LLL09">#REF!</definedName>
    <definedName name="________LLL10">#REF!</definedName>
    <definedName name="________LLL11">#REF!</definedName>
    <definedName name="________MDE01">#REF!</definedName>
    <definedName name="________MDE02">#REF!</definedName>
    <definedName name="________MDE03">#REF!</definedName>
    <definedName name="________MDE04">#REF!</definedName>
    <definedName name="________MDE05">#REF!</definedName>
    <definedName name="________MDE06">#REF!</definedName>
    <definedName name="________MDE07">#REF!</definedName>
    <definedName name="________MDE08">#REF!</definedName>
    <definedName name="________MDE09">#REF!</definedName>
    <definedName name="________MDE10">#REF!</definedName>
    <definedName name="________MDE11">#REF!</definedName>
    <definedName name="________MDE12">#REF!</definedName>
    <definedName name="________MDE13">#REF!</definedName>
    <definedName name="________MDE14">#REF!</definedName>
    <definedName name="________MDE15">#REF!</definedName>
    <definedName name="________MDE16">#REF!</definedName>
    <definedName name="________MDE17">#REF!</definedName>
    <definedName name="________MDE18">#REF!</definedName>
    <definedName name="________MDE19">#REF!</definedName>
    <definedName name="________MDE20">#REF!</definedName>
    <definedName name="________MDE21">#REF!</definedName>
    <definedName name="________MDE22">#REF!</definedName>
    <definedName name="________MDE23">#REF!</definedName>
    <definedName name="________MDE24">#REF!</definedName>
    <definedName name="________MDE25">#REF!</definedName>
    <definedName name="________MDE26">#REF!</definedName>
    <definedName name="________MDE27">#REF!</definedName>
    <definedName name="________MDE28">#REF!</definedName>
    <definedName name="________MDE29">#REF!</definedName>
    <definedName name="________MDE30">#REF!</definedName>
    <definedName name="________MDE31">#REF!</definedName>
    <definedName name="________MDE32">#REF!</definedName>
    <definedName name="________MDE33">#REF!</definedName>
    <definedName name="________MDE34">#REF!</definedName>
    <definedName name="________ME01">#REF!</definedName>
    <definedName name="________ME02">#REF!</definedName>
    <definedName name="________ME03">#REF!</definedName>
    <definedName name="________ME04">#REF!</definedName>
    <definedName name="________ME05">#REF!</definedName>
    <definedName name="________ME06">#REF!</definedName>
    <definedName name="________ME07">#REF!</definedName>
    <definedName name="________ME08">#REF!</definedName>
    <definedName name="________ME09">#REF!</definedName>
    <definedName name="________ME10">#REF!</definedName>
    <definedName name="________ME11">#REF!</definedName>
    <definedName name="________ME12">#REF!</definedName>
    <definedName name="________ME13">#REF!</definedName>
    <definedName name="________ME14">#REF!</definedName>
    <definedName name="________ME15">#REF!</definedName>
    <definedName name="________ME16">#REF!</definedName>
    <definedName name="________ME17">#REF!</definedName>
    <definedName name="________ME18">#REF!</definedName>
    <definedName name="________ME19">#REF!</definedName>
    <definedName name="________ME20">#REF!</definedName>
    <definedName name="________ME21">#REF!</definedName>
    <definedName name="________ME22">#REF!</definedName>
    <definedName name="________ME23">#REF!</definedName>
    <definedName name="________ME24">#REF!</definedName>
    <definedName name="________ME25">#REF!</definedName>
    <definedName name="________ME26">#REF!</definedName>
    <definedName name="________ME27">#REF!</definedName>
    <definedName name="________ME28">#REF!</definedName>
    <definedName name="________ME29">#REF!</definedName>
    <definedName name="________ME30">#REF!</definedName>
    <definedName name="________ME31">#REF!</definedName>
    <definedName name="________ME32">#REF!</definedName>
    <definedName name="________ME33">#REF!</definedName>
    <definedName name="________ME34">#REF!</definedName>
    <definedName name="________MMM01">#REF!</definedName>
    <definedName name="________MMM02">#REF!</definedName>
    <definedName name="________MMM03">#REF!</definedName>
    <definedName name="________MMM04">#REF!</definedName>
    <definedName name="________MMM05">#REF!</definedName>
    <definedName name="________MMM06">#REF!</definedName>
    <definedName name="________MMM07">#REF!</definedName>
    <definedName name="________MMM08">#REF!</definedName>
    <definedName name="________MMM09">#REF!</definedName>
    <definedName name="________MMM10">#REF!</definedName>
    <definedName name="________MMM11">#REF!</definedName>
    <definedName name="________MMM12">#REF!</definedName>
    <definedName name="________MMM13">#REF!</definedName>
    <definedName name="________MMM14">#REF!</definedName>
    <definedName name="________MMM15">#REF!</definedName>
    <definedName name="________MMM16">#REF!</definedName>
    <definedName name="________MMM17">#REF!</definedName>
    <definedName name="________MMM18">#REF!</definedName>
    <definedName name="________MMM19">#REF!</definedName>
    <definedName name="________MMM20">#REF!</definedName>
    <definedName name="________MMM21">#REF!</definedName>
    <definedName name="________MMM22">#REF!</definedName>
    <definedName name="________MMM23">#REF!</definedName>
    <definedName name="________MMM24">#REF!</definedName>
    <definedName name="________MMM25">#REF!</definedName>
    <definedName name="________MMM26">#REF!</definedName>
    <definedName name="________MMM27">#REF!</definedName>
    <definedName name="________MMM28">#REF!</definedName>
    <definedName name="________MMM29">#REF!</definedName>
    <definedName name="________MMM30">#REF!</definedName>
    <definedName name="________MMM31">#REF!</definedName>
    <definedName name="________MMM32">#REF!</definedName>
    <definedName name="________MMM33">#REF!</definedName>
    <definedName name="________MMM34">#REF!</definedName>
    <definedName name="________MMM35">#REF!</definedName>
    <definedName name="________MMM36">#REF!</definedName>
    <definedName name="________MMM37">#REF!</definedName>
    <definedName name="________MMM38">#REF!</definedName>
    <definedName name="________MMM39">#REF!</definedName>
    <definedName name="________MMM40">#REF!</definedName>
    <definedName name="________MMM41">#REF!</definedName>
    <definedName name="________MMM411">#REF!</definedName>
    <definedName name="________MMM42">#REF!</definedName>
    <definedName name="________MMM43">#REF!</definedName>
    <definedName name="________MMM44">#REF!</definedName>
    <definedName name="________MMM45">#REF!</definedName>
    <definedName name="________MMM46">#REF!</definedName>
    <definedName name="________MMM47">#REF!</definedName>
    <definedName name="________MMM48">#REF!</definedName>
    <definedName name="________MMM49">#REF!</definedName>
    <definedName name="________MMM50">#REF!</definedName>
    <definedName name="________MMM51">#REF!</definedName>
    <definedName name="________MMM52">#REF!</definedName>
    <definedName name="________MMM53">#REF!</definedName>
    <definedName name="________MMM54">#REF!</definedName>
    <definedName name="________pvc1">[3]upah!#REF!</definedName>
    <definedName name="________pvc12">[3]upah!#REF!</definedName>
    <definedName name="________pvc34">[3]upah!#REF!</definedName>
    <definedName name="________pvc4">[3]upah!#REF!</definedName>
    <definedName name="_______DIV1">#REF!</definedName>
    <definedName name="_______DIV10">#REF!</definedName>
    <definedName name="_______DIV11">[1]DKH!#REF!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EE01">#REF!</definedName>
    <definedName name="_______EEE02">#REF!</definedName>
    <definedName name="_______EEE03">#REF!</definedName>
    <definedName name="_______EEE04">#REF!</definedName>
    <definedName name="_______EEE05">#REF!</definedName>
    <definedName name="_______EEE06">#REF!</definedName>
    <definedName name="_______EEE07">#REF!</definedName>
    <definedName name="_______EEE08">#REF!</definedName>
    <definedName name="_______EEE09">#REF!</definedName>
    <definedName name="_______EEE10">#REF!</definedName>
    <definedName name="_______EEE11">#REF!</definedName>
    <definedName name="_______EEE12">#REF!</definedName>
    <definedName name="_______EEE13">#REF!</definedName>
    <definedName name="_______EEE14">#REF!</definedName>
    <definedName name="_______EEE15">#REF!</definedName>
    <definedName name="_______EEE16">#REF!</definedName>
    <definedName name="_______EEE17">#REF!</definedName>
    <definedName name="_______EEE18">#REF!</definedName>
    <definedName name="_______EEE19">#REF!</definedName>
    <definedName name="_______EEE20">#REF!</definedName>
    <definedName name="_______EEE21">#REF!</definedName>
    <definedName name="_______EEE22">#REF!</definedName>
    <definedName name="_______EEE23">#REF!</definedName>
    <definedName name="_______EEE24">#REF!</definedName>
    <definedName name="_______EEE25">#REF!</definedName>
    <definedName name="_______EEE26">#REF!</definedName>
    <definedName name="_______EEE27">#REF!</definedName>
    <definedName name="_______EEE28">#REF!</definedName>
    <definedName name="_______EEE29">#REF!</definedName>
    <definedName name="_______EEE30">#REF!</definedName>
    <definedName name="_______EEE31">#REF!</definedName>
    <definedName name="_______EEE32">#REF!</definedName>
    <definedName name="_______EEE33">#REF!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LLL01">#REF!</definedName>
    <definedName name="_______LLL02">#REF!</definedName>
    <definedName name="_______LLL03">#REF!</definedName>
    <definedName name="_______LLL04">#REF!</definedName>
    <definedName name="_______LLL05">#REF!</definedName>
    <definedName name="_______LLL06">#REF!</definedName>
    <definedName name="_______LLL07">#REF!</definedName>
    <definedName name="_______LLL08">#REF!</definedName>
    <definedName name="_______LLL09">#REF!</definedName>
    <definedName name="_______LLL10">#REF!</definedName>
    <definedName name="_______LLL11">#REF!</definedName>
    <definedName name="_______MDE01">#REF!</definedName>
    <definedName name="_______MDE02">#REF!</definedName>
    <definedName name="_______MDE03">#REF!</definedName>
    <definedName name="_______MDE04">#REF!</definedName>
    <definedName name="_______MDE05">#REF!</definedName>
    <definedName name="_______MDE06">#REF!</definedName>
    <definedName name="_______MDE07">#REF!</definedName>
    <definedName name="_______MDE08">#REF!</definedName>
    <definedName name="_______MDE09">#REF!</definedName>
    <definedName name="_______MDE10">#REF!</definedName>
    <definedName name="_______MDE11">#REF!</definedName>
    <definedName name="_______MDE12">#REF!</definedName>
    <definedName name="_______MDE13">#REF!</definedName>
    <definedName name="_______MDE14">#REF!</definedName>
    <definedName name="_______MDE15">#REF!</definedName>
    <definedName name="_______MDE16">#REF!</definedName>
    <definedName name="_______MDE17">#REF!</definedName>
    <definedName name="_______MDE18">#REF!</definedName>
    <definedName name="_______MDE19">#REF!</definedName>
    <definedName name="_______MDE20">#REF!</definedName>
    <definedName name="_______MDE21">#REF!</definedName>
    <definedName name="_______MDE22">#REF!</definedName>
    <definedName name="_______MDE23">#REF!</definedName>
    <definedName name="_______MDE24">#REF!</definedName>
    <definedName name="_______MDE25">#REF!</definedName>
    <definedName name="_______MDE26">#REF!</definedName>
    <definedName name="_______MDE27">#REF!</definedName>
    <definedName name="_______MDE28">#REF!</definedName>
    <definedName name="_______MDE29">#REF!</definedName>
    <definedName name="_______MDE30">#REF!</definedName>
    <definedName name="_______MDE31">#REF!</definedName>
    <definedName name="_______MDE32">#REF!</definedName>
    <definedName name="_______MDE33">#REF!</definedName>
    <definedName name="_______MDE34">#REF!</definedName>
    <definedName name="_______ME01">#REF!</definedName>
    <definedName name="_______ME02">#REF!</definedName>
    <definedName name="_______ME03">#REF!</definedName>
    <definedName name="_______ME04">#REF!</definedName>
    <definedName name="_______ME05">#REF!</definedName>
    <definedName name="_______ME06">#REF!</definedName>
    <definedName name="_______ME07">#REF!</definedName>
    <definedName name="_______ME08">#REF!</definedName>
    <definedName name="_______ME09">#REF!</definedName>
    <definedName name="_______ME10">#REF!</definedName>
    <definedName name="_______ME11">#REF!</definedName>
    <definedName name="_______ME12">#REF!</definedName>
    <definedName name="_______ME13">#REF!</definedName>
    <definedName name="_______ME14">#REF!</definedName>
    <definedName name="_______ME15">#REF!</definedName>
    <definedName name="_______ME16">#REF!</definedName>
    <definedName name="_______ME17">#REF!</definedName>
    <definedName name="_______ME18">#REF!</definedName>
    <definedName name="_______ME19">#REF!</definedName>
    <definedName name="_______ME20">#REF!</definedName>
    <definedName name="_______ME21">#REF!</definedName>
    <definedName name="_______ME22">#REF!</definedName>
    <definedName name="_______ME23">#REF!</definedName>
    <definedName name="_______ME24">#REF!</definedName>
    <definedName name="_______ME25">#REF!</definedName>
    <definedName name="_______ME26">#REF!</definedName>
    <definedName name="_______ME27">#REF!</definedName>
    <definedName name="_______ME28">#REF!</definedName>
    <definedName name="_______ME29">#REF!</definedName>
    <definedName name="_______ME30">#REF!</definedName>
    <definedName name="_______ME31">#REF!</definedName>
    <definedName name="_______ME32">#REF!</definedName>
    <definedName name="_______ME33">#REF!</definedName>
    <definedName name="_______ME34">#REF!</definedName>
    <definedName name="_______MMM01">#REF!</definedName>
    <definedName name="_______MMM02">#REF!</definedName>
    <definedName name="_______MMM03">#REF!</definedName>
    <definedName name="_______MMM04">#REF!</definedName>
    <definedName name="_______MMM05">#REF!</definedName>
    <definedName name="_______MMM06">#REF!</definedName>
    <definedName name="_______MMM07">#REF!</definedName>
    <definedName name="_______MMM08">#REF!</definedName>
    <definedName name="_______MMM09">#REF!</definedName>
    <definedName name="_______MMM10">#REF!</definedName>
    <definedName name="_______MMM11">#REF!</definedName>
    <definedName name="_______MMM12">#REF!</definedName>
    <definedName name="_______MMM13">#REF!</definedName>
    <definedName name="_______MMM14">#REF!</definedName>
    <definedName name="_______MMM15">#REF!</definedName>
    <definedName name="_______MMM16">#REF!</definedName>
    <definedName name="_______MMM17">#REF!</definedName>
    <definedName name="_______MMM18">#REF!</definedName>
    <definedName name="_______MMM19">#REF!</definedName>
    <definedName name="_______MMM20">#REF!</definedName>
    <definedName name="_______MMM21">#REF!</definedName>
    <definedName name="_______MMM22">#REF!</definedName>
    <definedName name="_______MMM23">#REF!</definedName>
    <definedName name="_______MMM24">#REF!</definedName>
    <definedName name="_______MMM25">#REF!</definedName>
    <definedName name="_______MMM26">#REF!</definedName>
    <definedName name="_______MMM27">#REF!</definedName>
    <definedName name="_______MMM28">#REF!</definedName>
    <definedName name="_______MMM29">#REF!</definedName>
    <definedName name="_______MMM30">#REF!</definedName>
    <definedName name="_______MMM31">#REF!</definedName>
    <definedName name="_______MMM32">#REF!</definedName>
    <definedName name="_______MMM33">#REF!</definedName>
    <definedName name="_______MMM34">#REF!</definedName>
    <definedName name="_______MMM35">#REF!</definedName>
    <definedName name="_______MMM36">#REF!</definedName>
    <definedName name="_______MMM37">#REF!</definedName>
    <definedName name="_______MMM38">#REF!</definedName>
    <definedName name="_______MMM39">#REF!</definedName>
    <definedName name="_______MMM40">#REF!</definedName>
    <definedName name="_______MMM41">#REF!</definedName>
    <definedName name="_______MMM411">#REF!</definedName>
    <definedName name="_______MMM42">#REF!</definedName>
    <definedName name="_______MMM43">#REF!</definedName>
    <definedName name="_______MMM44">#REF!</definedName>
    <definedName name="_______MMM45">#REF!</definedName>
    <definedName name="_______MMM46">#REF!</definedName>
    <definedName name="_______MMM47">#REF!</definedName>
    <definedName name="_______MMM48">#REF!</definedName>
    <definedName name="_______MMM49">#REF!</definedName>
    <definedName name="_______MMM50">#REF!</definedName>
    <definedName name="_______MMM51">#REF!</definedName>
    <definedName name="_______MMM52">#REF!</definedName>
    <definedName name="_______MMM53">#REF!</definedName>
    <definedName name="_______MMM54">#REF!</definedName>
    <definedName name="_______pvc1">[3]upah!#REF!</definedName>
    <definedName name="_______pvc12">[3]upah!#REF!</definedName>
    <definedName name="_______pvc34">[3]upah!#REF!</definedName>
    <definedName name="_______pvc4">[3]upah!#REF!</definedName>
    <definedName name="______DIV1">#REF!</definedName>
    <definedName name="______DIV10">#REF!</definedName>
    <definedName name="______DIV11">[1]DKH!#REF!</definedName>
    <definedName name="______DIV2">#REF!</definedName>
    <definedName name="______DIV3">#REF!</definedName>
    <definedName name="______DIV4">#REF!</definedName>
    <definedName name="______DIV5">#REF!</definedName>
    <definedName name="______DIV6">#REF!</definedName>
    <definedName name="______DIV7">#REF!</definedName>
    <definedName name="______DIV8">#REF!</definedName>
    <definedName name="______DIV9">#REF!</definedName>
    <definedName name="______EEE01">[2]A.Alat!$AW$8</definedName>
    <definedName name="______EEE02">[2]A.Alat!$AW$9</definedName>
    <definedName name="______EEE03">[2]A.Alat!$AW$10</definedName>
    <definedName name="______EEE04">[2]A.Alat!$AW$11</definedName>
    <definedName name="______EEE05">[2]A.Alat!$AW$12</definedName>
    <definedName name="______EEE06">[2]A.Alat!$AW$13</definedName>
    <definedName name="______EEE07">[2]A.Alat!$AW$14</definedName>
    <definedName name="______EEE08">[2]A.Alat!$AW$15</definedName>
    <definedName name="______EEE09">[2]A.Alat!$AW$16</definedName>
    <definedName name="______EEE10">[2]A.Alat!$AW$17</definedName>
    <definedName name="______EEE11">[2]A.Alat!$AW$18</definedName>
    <definedName name="______EEE12">[2]A.Alat!$AW$19</definedName>
    <definedName name="______EEE13">[2]A.Alat!$AW$20</definedName>
    <definedName name="______EEE14">[2]A.Alat!$AW$21</definedName>
    <definedName name="______EEE15">[2]A.Alat!$AW$22</definedName>
    <definedName name="______EEE16">[2]A.Alat!$AW$23</definedName>
    <definedName name="______EEE17">[2]A.Alat!$AW$24</definedName>
    <definedName name="______EEE18">[2]A.Alat!$AW$25</definedName>
    <definedName name="______EEE19">[2]A.Alat!$AW$26</definedName>
    <definedName name="______EEE20">[2]A.Alat!$AW$27</definedName>
    <definedName name="______EEE21">[2]A.Alat!$AW$28</definedName>
    <definedName name="______EEE22">[2]A.Alat!$AW$29</definedName>
    <definedName name="______EEE23">[2]A.Alat!$AW$30</definedName>
    <definedName name="______EEE24">[2]A.Alat!$AW$31</definedName>
    <definedName name="______EEE25">[2]A.Alat!$AW$32</definedName>
    <definedName name="______EEE26">[2]A.Alat!$AW$33</definedName>
    <definedName name="______EEE27">[2]A.Alat!$AW$34</definedName>
    <definedName name="______EEE28">[2]A.Alat!$AW$35</definedName>
    <definedName name="______EEE29">[2]A.Alat!$AW$36</definedName>
    <definedName name="______EEE30">[2]A.Alat!$AW$37</definedName>
    <definedName name="______EEE31">[2]A.Alat!$AW$38</definedName>
    <definedName name="______EEE32">[2]A.Alat!$AW$39</definedName>
    <definedName name="______EEE33">[2]A.Alat!$AW$40</definedName>
    <definedName name="______HAL1">#REF!</definedName>
    <definedName name="______HAL2">#REF!</definedName>
    <definedName name="______HAL3">#REF!</definedName>
    <definedName name="______HAL4">#REF!</definedName>
    <definedName name="______HAL5">#REF!</definedName>
    <definedName name="______HAL6">#REF!</definedName>
    <definedName name="______HAL7">#REF!</definedName>
    <definedName name="______HAL8">#REF!</definedName>
    <definedName name="______LLL01">#REF!</definedName>
    <definedName name="______LLL02">#REF!</definedName>
    <definedName name="______LLL03">#REF!</definedName>
    <definedName name="______LLL04">#REF!</definedName>
    <definedName name="______LLL05">#REF!</definedName>
    <definedName name="______LLL06">#REF!</definedName>
    <definedName name="______LLL07">#REF!</definedName>
    <definedName name="______LLL08">#REF!</definedName>
    <definedName name="______LLL09">#REF!</definedName>
    <definedName name="______LLL10">#REF!</definedName>
    <definedName name="______LLL11">#REF!</definedName>
    <definedName name="______MDE01">#REF!</definedName>
    <definedName name="______MDE02">#REF!</definedName>
    <definedName name="______MDE03">#REF!</definedName>
    <definedName name="______MDE04">#REF!</definedName>
    <definedName name="______MDE05">#REF!</definedName>
    <definedName name="______MDE06">#REF!</definedName>
    <definedName name="______MDE07">#REF!</definedName>
    <definedName name="______MDE08">#REF!</definedName>
    <definedName name="______MDE09">#REF!</definedName>
    <definedName name="______MDE10">#REF!</definedName>
    <definedName name="______MDE11">#REF!</definedName>
    <definedName name="______MDE12">#REF!</definedName>
    <definedName name="______MDE13">#REF!</definedName>
    <definedName name="______MDE14">#REF!</definedName>
    <definedName name="______MDE15">#REF!</definedName>
    <definedName name="______MDE16">#REF!</definedName>
    <definedName name="______MDE17">#REF!</definedName>
    <definedName name="______MDE18">#REF!</definedName>
    <definedName name="______MDE19">#REF!</definedName>
    <definedName name="______MDE20">#REF!</definedName>
    <definedName name="______MDE21">#REF!</definedName>
    <definedName name="______MDE22">#REF!</definedName>
    <definedName name="______MDE23">#REF!</definedName>
    <definedName name="______MDE24">#REF!</definedName>
    <definedName name="______MDE25">#REF!</definedName>
    <definedName name="______MDE26">#REF!</definedName>
    <definedName name="______MDE27">#REF!</definedName>
    <definedName name="______MDE28">#REF!</definedName>
    <definedName name="______MDE29">#REF!</definedName>
    <definedName name="______MDE30">#REF!</definedName>
    <definedName name="______MDE31">#REF!</definedName>
    <definedName name="______MDE32">#REF!</definedName>
    <definedName name="______MDE33">#REF!</definedName>
    <definedName name="______MDE34">#REF!</definedName>
    <definedName name="______ME01">#REF!</definedName>
    <definedName name="______ME02">#REF!</definedName>
    <definedName name="______ME03">#REF!</definedName>
    <definedName name="______ME04">#REF!</definedName>
    <definedName name="______ME05">#REF!</definedName>
    <definedName name="______ME06">#REF!</definedName>
    <definedName name="______ME07">#REF!</definedName>
    <definedName name="______ME08">#REF!</definedName>
    <definedName name="______ME09">#REF!</definedName>
    <definedName name="______ME10">#REF!</definedName>
    <definedName name="______ME11">#REF!</definedName>
    <definedName name="______ME12">#REF!</definedName>
    <definedName name="______ME13">#REF!</definedName>
    <definedName name="______ME14">#REF!</definedName>
    <definedName name="______ME15">#REF!</definedName>
    <definedName name="______ME16">#REF!</definedName>
    <definedName name="______ME17">#REF!</definedName>
    <definedName name="______ME18">#REF!</definedName>
    <definedName name="______ME19">#REF!</definedName>
    <definedName name="______ME20">#REF!</definedName>
    <definedName name="______ME21">#REF!</definedName>
    <definedName name="______ME22">#REF!</definedName>
    <definedName name="______ME23">#REF!</definedName>
    <definedName name="______ME24">#REF!</definedName>
    <definedName name="______ME25">#REF!</definedName>
    <definedName name="______ME26">#REF!</definedName>
    <definedName name="______ME27">#REF!</definedName>
    <definedName name="______ME28">#REF!</definedName>
    <definedName name="______ME29">#REF!</definedName>
    <definedName name="______ME30">#REF!</definedName>
    <definedName name="______ME31">#REF!</definedName>
    <definedName name="______ME32">#REF!</definedName>
    <definedName name="______ME33">#REF!</definedName>
    <definedName name="______ME34">#REF!</definedName>
    <definedName name="______MMM01">#REF!</definedName>
    <definedName name="______MMM02">#REF!</definedName>
    <definedName name="______MMM03">#REF!</definedName>
    <definedName name="______MMM04">#REF!</definedName>
    <definedName name="______MMM05">#REF!</definedName>
    <definedName name="______MMM06">#REF!</definedName>
    <definedName name="______MMM07">#REF!</definedName>
    <definedName name="______MMM08">#REF!</definedName>
    <definedName name="______MMM09">#REF!</definedName>
    <definedName name="______MMM10">#REF!</definedName>
    <definedName name="______MMM11">#REF!</definedName>
    <definedName name="______MMM12">#REF!</definedName>
    <definedName name="______MMM13">#REF!</definedName>
    <definedName name="______MMM14">#REF!</definedName>
    <definedName name="______MMM15">#REF!</definedName>
    <definedName name="______MMM16">#REF!</definedName>
    <definedName name="______MMM17">#REF!</definedName>
    <definedName name="______MMM18">#REF!</definedName>
    <definedName name="______MMM19">#REF!</definedName>
    <definedName name="______MMM20">#REF!</definedName>
    <definedName name="______MMM21">#REF!</definedName>
    <definedName name="______MMM22">#REF!</definedName>
    <definedName name="______MMM23">#REF!</definedName>
    <definedName name="______MMM24">#REF!</definedName>
    <definedName name="______MMM25">#REF!</definedName>
    <definedName name="______MMM26">#REF!</definedName>
    <definedName name="______MMM27">#REF!</definedName>
    <definedName name="______MMM28">#REF!</definedName>
    <definedName name="______MMM29">#REF!</definedName>
    <definedName name="______MMM30">#REF!</definedName>
    <definedName name="______MMM31">#REF!</definedName>
    <definedName name="______MMM32">#REF!</definedName>
    <definedName name="______MMM33">#REF!</definedName>
    <definedName name="______MMM34">#REF!</definedName>
    <definedName name="______MMM35">#REF!</definedName>
    <definedName name="______MMM36">#REF!</definedName>
    <definedName name="______MMM37">#REF!</definedName>
    <definedName name="______MMM38">#REF!</definedName>
    <definedName name="______MMM39">#REF!</definedName>
    <definedName name="______MMM40">#REF!</definedName>
    <definedName name="______MMM41">#REF!</definedName>
    <definedName name="______MMM411">#REF!</definedName>
    <definedName name="______MMM42">#REF!</definedName>
    <definedName name="______MMM43">#REF!</definedName>
    <definedName name="______MMM44">#REF!</definedName>
    <definedName name="______MMM45">#REF!</definedName>
    <definedName name="______MMM46">#REF!</definedName>
    <definedName name="______MMM47">#REF!</definedName>
    <definedName name="______MMM48">#REF!</definedName>
    <definedName name="______MMM49">#REF!</definedName>
    <definedName name="______MMM50">#REF!</definedName>
    <definedName name="______MMM51">#REF!</definedName>
    <definedName name="______MMM52">#REF!</definedName>
    <definedName name="______MMM53">#REF!</definedName>
    <definedName name="______MMM54">#REF!</definedName>
    <definedName name="______pvc1">[3]upah!#REF!</definedName>
    <definedName name="______pvc12">[3]upah!#REF!</definedName>
    <definedName name="______pvc34">[3]upah!#REF!</definedName>
    <definedName name="______pvc4">[3]upah!#REF!</definedName>
    <definedName name="_____ATB1">#REF!</definedName>
    <definedName name="_____ATB2">#REF!</definedName>
    <definedName name="_____ATB3">#REF!</definedName>
    <definedName name="_____ATB4">#REF!</definedName>
    <definedName name="_____DIV1">#REF!</definedName>
    <definedName name="_____DIV10">#REF!</definedName>
    <definedName name="_____DIV11">[1]DKH!#REF!</definedName>
    <definedName name="_____DIV2">#REF!</definedName>
    <definedName name="_____DIV3">#REF!</definedName>
    <definedName name="_____DIV4">#REF!</definedName>
    <definedName name="_____DIV5">#REF!</definedName>
    <definedName name="_____DIV6">#REF!</definedName>
    <definedName name="_____DIV7">#REF!</definedName>
    <definedName name="_____DIV8">#REF!</definedName>
    <definedName name="_____DIV9">#REF!</definedName>
    <definedName name="_____EEE01">#REF!</definedName>
    <definedName name="_____EEE02">#REF!</definedName>
    <definedName name="_____EEE03">#REF!</definedName>
    <definedName name="_____EEE04">#REF!</definedName>
    <definedName name="_____EEE05">#REF!</definedName>
    <definedName name="_____EEE06">#REF!</definedName>
    <definedName name="_____EEE07">#REF!</definedName>
    <definedName name="_____EEE08">#REF!</definedName>
    <definedName name="_____EEE09">#REF!</definedName>
    <definedName name="_____EEE10">#REF!</definedName>
    <definedName name="_____EEE11">#REF!</definedName>
    <definedName name="_____EEE12">#REF!</definedName>
    <definedName name="_____EEE13">#REF!</definedName>
    <definedName name="_____EEE14">#REF!</definedName>
    <definedName name="_____EEE15">#REF!</definedName>
    <definedName name="_____EEE16">#REF!</definedName>
    <definedName name="_____EEE17">#REF!</definedName>
    <definedName name="_____EEE18">#REF!</definedName>
    <definedName name="_____EEE19">#REF!</definedName>
    <definedName name="_____EEE20">#REF!</definedName>
    <definedName name="_____EEE21">#REF!</definedName>
    <definedName name="_____EEE22">#REF!</definedName>
    <definedName name="_____EEE23">#REF!</definedName>
    <definedName name="_____EEE24">#REF!</definedName>
    <definedName name="_____EEE25">#REF!</definedName>
    <definedName name="_____EEE26">#REF!</definedName>
    <definedName name="_____EEE27">#REF!</definedName>
    <definedName name="_____EEE28">#REF!</definedName>
    <definedName name="_____EEE29">#REF!</definedName>
    <definedName name="_____EEE30">#REF!</definedName>
    <definedName name="_____EEE31">#REF!</definedName>
    <definedName name="_____EEE32">#REF!</definedName>
    <definedName name="_____EEE33">#REF!</definedName>
    <definedName name="_____Gal2">#REF!</definedName>
    <definedName name="_____HAL1">#REF!</definedName>
    <definedName name="_____HAL2">#REF!</definedName>
    <definedName name="_____HAL3">#REF!</definedName>
    <definedName name="_____HAL4">#REF!</definedName>
    <definedName name="_____HAL5">#REF!</definedName>
    <definedName name="_____HAL6">#REF!</definedName>
    <definedName name="_____HAL7">#REF!</definedName>
    <definedName name="_____HAL8">#REF!</definedName>
    <definedName name="_____JB3">#REF!</definedName>
    <definedName name="_____JB4">#REF!</definedName>
    <definedName name="_____JB5">#REF!</definedName>
    <definedName name="_____KK012">#REF!</definedName>
    <definedName name="_____KK016">#REF!</definedName>
    <definedName name="_____KK017">#REF!</definedName>
    <definedName name="_____KK224">#REF!</definedName>
    <definedName name="_____KK342">#REF!</definedName>
    <definedName name="_____KK514">#REF!</definedName>
    <definedName name="_____KK520">#REF!</definedName>
    <definedName name="_____KK618">#REF!</definedName>
    <definedName name="_____KK638">#REF!</definedName>
    <definedName name="_____KK705">#REF!</definedName>
    <definedName name="_____KK710">#REF!</definedName>
    <definedName name="_____KK715">#REF!</definedName>
    <definedName name="_____KK720">#REF!</definedName>
    <definedName name="_____KK721">#REF!</definedName>
    <definedName name="_____KK722">#REF!</definedName>
    <definedName name="_____KK730">#REF!</definedName>
    <definedName name="_____LL071">[4]UPAH!#REF!</definedName>
    <definedName name="_____LL072">[4]UPAH!#REF!</definedName>
    <definedName name="_____LL082">[4]UPAH!#REF!</definedName>
    <definedName name="_____LL103">[4]UPAH!#REF!</definedName>
    <definedName name="_____LLL01">#REF!</definedName>
    <definedName name="_____LLL02">#REF!</definedName>
    <definedName name="_____LLL03">#REF!</definedName>
    <definedName name="_____LLL04">#REF!</definedName>
    <definedName name="_____LLL05">#REF!</definedName>
    <definedName name="_____LLL06">#REF!</definedName>
    <definedName name="_____LLL07">#REF!</definedName>
    <definedName name="_____LLL08">#REF!</definedName>
    <definedName name="_____LLL09">#REF!</definedName>
    <definedName name="_____LLL10">#REF!</definedName>
    <definedName name="_____LLL1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6">#REF!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6">#REF!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M010">#REF!</definedName>
    <definedName name="_____MM011">[4]UPAH!#REF!</definedName>
    <definedName name="_____MM012">[4]UPAH!#REF!</definedName>
    <definedName name="_____MM013">#REF!</definedName>
    <definedName name="_____MM014">[4]UPAH!#REF!</definedName>
    <definedName name="_____MM020">[4]UPAH!#REF!</definedName>
    <definedName name="_____MM021">[4]UPAH!#REF!</definedName>
    <definedName name="_____MM022">[4]UPAH!#REF!</definedName>
    <definedName name="_____MM023">#REF!</definedName>
    <definedName name="_____MM024">#REF!</definedName>
    <definedName name="_____MM025">#REF!</definedName>
    <definedName name="_____MM026">[4]UPAH!#REF!</definedName>
    <definedName name="_____MM033">[4]UPAH!#REF!</definedName>
    <definedName name="_____MM040">#REF!</definedName>
    <definedName name="_____MM041">#REF!</definedName>
    <definedName name="_____MM042">[4]UPAH!#REF!</definedName>
    <definedName name="_____MM050">[4]UPAH!#REF!</definedName>
    <definedName name="_____MM061">#REF!</definedName>
    <definedName name="_____MM065">#REF!</definedName>
    <definedName name="_____MM070">[4]UPAH!#REF!</definedName>
    <definedName name="_____MM080">[4]UPAH!#REF!</definedName>
    <definedName name="_____MM081">#REF!</definedName>
    <definedName name="_____MM090">[4]UPAH!#REF!</definedName>
    <definedName name="_____MM162">#REF!</definedName>
    <definedName name="_____MM163">[4]UPAH!#REF!</definedName>
    <definedName name="_____MM164">[4]UPAH!#REF!</definedName>
    <definedName name="_____MM165">[4]UPAH!#REF!</definedName>
    <definedName name="_____MM166">#REF!</definedName>
    <definedName name="_____MM167">#REF!</definedName>
    <definedName name="_____MM170">#REF!</definedName>
    <definedName name="_____MM171">[4]UPAH!#REF!</definedName>
    <definedName name="_____MM180">#REF!</definedName>
    <definedName name="_____MM181">#REF!</definedName>
    <definedName name="_____MM183">[4]UPAH!#REF!</definedName>
    <definedName name="_____MM184">[4]UPAH!#REF!</definedName>
    <definedName name="_____MM185">[4]UPAH!#REF!</definedName>
    <definedName name="_____MMM01">#REF!</definedName>
    <definedName name="_____MMM02">#REF!</definedName>
    <definedName name="_____MMM03">#REF!</definedName>
    <definedName name="_____MMM04">#REF!</definedName>
    <definedName name="_____MMM05">#REF!</definedName>
    <definedName name="_____MMM06">#REF!</definedName>
    <definedName name="_____MMM07">#REF!</definedName>
    <definedName name="_____MMM08">#REF!</definedName>
    <definedName name="_____MMM09">#REF!</definedName>
    <definedName name="_____MMM10">#REF!</definedName>
    <definedName name="_____MMM11">#REF!</definedName>
    <definedName name="_____MMM12">#REF!</definedName>
    <definedName name="_____MMM13">#REF!</definedName>
    <definedName name="_____MMM14">#REF!</definedName>
    <definedName name="_____MMM15">#REF!</definedName>
    <definedName name="_____MMM16">#REF!</definedName>
    <definedName name="_____MMM17">#REF!</definedName>
    <definedName name="_____MMM18">#REF!</definedName>
    <definedName name="_____MMM19">#REF!</definedName>
    <definedName name="_____MMM20">#REF!</definedName>
    <definedName name="_____MMM21">#REF!</definedName>
    <definedName name="_____MMM22">#REF!</definedName>
    <definedName name="_____MMM23">#REF!</definedName>
    <definedName name="_____MMM24">#REF!</definedName>
    <definedName name="_____MMM25">#REF!</definedName>
    <definedName name="_____MMM26">#REF!</definedName>
    <definedName name="_____MMM27">#REF!</definedName>
    <definedName name="_____MMM28">#REF!</definedName>
    <definedName name="_____MMM29">#REF!</definedName>
    <definedName name="_____MMM30">#REF!</definedName>
    <definedName name="_____MMM31">#REF!</definedName>
    <definedName name="_____MMM32">#REF!</definedName>
    <definedName name="_____MMM33">#REF!</definedName>
    <definedName name="_____MMM34">#REF!</definedName>
    <definedName name="_____MMM35">#REF!</definedName>
    <definedName name="_____MMM36">#REF!</definedName>
    <definedName name="_____MMM37">#REF!</definedName>
    <definedName name="_____MMM38">#REF!</definedName>
    <definedName name="_____MMM39">#REF!</definedName>
    <definedName name="_____MMM40">#REF!</definedName>
    <definedName name="_____MMM41">#REF!</definedName>
    <definedName name="_____MMM411">#REF!</definedName>
    <definedName name="_____MMM42">#REF!</definedName>
    <definedName name="_____MMM43">#REF!</definedName>
    <definedName name="_____MMM44">#REF!</definedName>
    <definedName name="_____MMM45">#REF!</definedName>
    <definedName name="_____MMM46">#REF!</definedName>
    <definedName name="_____MMM47">#REF!</definedName>
    <definedName name="_____MMM48">#REF!</definedName>
    <definedName name="_____MMM49">#REF!</definedName>
    <definedName name="_____MMM50">#REF!</definedName>
    <definedName name="_____MMM51">#REF!</definedName>
    <definedName name="_____MMM52">#REF!</definedName>
    <definedName name="_____MMM53">#REF!</definedName>
    <definedName name="_____MMM54">#REF!</definedName>
    <definedName name="_____MR011">[4]UPAH!#REF!</definedName>
    <definedName name="_____MR012">#REF!</definedName>
    <definedName name="_____non51">#REF!</definedName>
    <definedName name="_____pvc1">[3]upah!#REF!</definedName>
    <definedName name="_____pvc12">[3]upah!#REF!</definedName>
    <definedName name="_____pvc34">[3]upah!#REF!</definedName>
    <definedName name="_____pvc4">[3]upah!#REF!</definedName>
    <definedName name="_____REK2">[5]RAB!#REF!</definedName>
    <definedName name="_____STD1">#REF!</definedName>
    <definedName name="_____STD2">#REF!</definedName>
    <definedName name="_____STD3">#REF!</definedName>
    <definedName name="_____STD4">#REF!</definedName>
    <definedName name="_____STD5">#REF!</definedName>
    <definedName name="_____STD6">#REF!</definedName>
    <definedName name="____ATB1">#REF!</definedName>
    <definedName name="____ATB2">#REF!</definedName>
    <definedName name="____ATB3">#REF!</definedName>
    <definedName name="____ATB4">#REF!</definedName>
    <definedName name="____DIV1">#REF!</definedName>
    <definedName name="____DIV10">#REF!</definedName>
    <definedName name="____DIV11">[1]DKH!#REF!</definedName>
    <definedName name="____DIV2">#REF!</definedName>
    <definedName name="____DIV3">#REF!</definedName>
    <definedName name="____DIV4">#REF!</definedName>
    <definedName name="____DIV5">#REF!</definedName>
    <definedName name="____DIV6">#REF!</definedName>
    <definedName name="____DIV7">#REF!</definedName>
    <definedName name="____DIV8">#REF!</definedName>
    <definedName name="____DIV9">#REF!</definedName>
    <definedName name="____EEE01">#REF!</definedName>
    <definedName name="____EEE02">#REF!</definedName>
    <definedName name="____EEE03">#REF!</definedName>
    <definedName name="____EEE04">#REF!</definedName>
    <definedName name="____EEE05">#REF!</definedName>
    <definedName name="____EEE06">#REF!</definedName>
    <definedName name="____EEE07">#REF!</definedName>
    <definedName name="____EEE08">#REF!</definedName>
    <definedName name="____EEE09">#REF!</definedName>
    <definedName name="____EEE10">#REF!</definedName>
    <definedName name="____EEE11">#REF!</definedName>
    <definedName name="____EEE12">#REF!</definedName>
    <definedName name="____EEE13">#REF!</definedName>
    <definedName name="____EEE14">#REF!</definedName>
    <definedName name="____EEE15">#REF!</definedName>
    <definedName name="____EEE16">#REF!</definedName>
    <definedName name="____EEE17">#REF!</definedName>
    <definedName name="____EEE18">#REF!</definedName>
    <definedName name="____EEE19">#REF!</definedName>
    <definedName name="____EEE20">#REF!</definedName>
    <definedName name="____EEE21">#REF!</definedName>
    <definedName name="____EEE22">#REF!</definedName>
    <definedName name="____EEE23">#REF!</definedName>
    <definedName name="____EEE24">#REF!</definedName>
    <definedName name="____EEE25">#REF!</definedName>
    <definedName name="____EEE26">#REF!</definedName>
    <definedName name="____EEE27">#REF!</definedName>
    <definedName name="____EEE28">#REF!</definedName>
    <definedName name="____EEE29">#REF!</definedName>
    <definedName name="____EEE30">#REF!</definedName>
    <definedName name="____EEE31">#REF!</definedName>
    <definedName name="____EEE32">#REF!</definedName>
    <definedName name="____EEE33">#REF!</definedName>
    <definedName name="____Gal2">#REF!</definedName>
    <definedName name="____HAL1">#REF!</definedName>
    <definedName name="____HAL2">#REF!</definedName>
    <definedName name="____HAL3">#REF!</definedName>
    <definedName name="____HAL4">#REF!</definedName>
    <definedName name="____HAL5">#REF!</definedName>
    <definedName name="____HAL6">#REF!</definedName>
    <definedName name="____HAL7">#REF!</definedName>
    <definedName name="____HAL8">#REF!</definedName>
    <definedName name="____JB3">#REF!</definedName>
    <definedName name="____JB4">#REF!</definedName>
    <definedName name="____JB5">#REF!</definedName>
    <definedName name="____KK012">#REF!</definedName>
    <definedName name="____KK016">#REF!</definedName>
    <definedName name="____KK017">#REF!</definedName>
    <definedName name="____KK224">#REF!</definedName>
    <definedName name="____KK342">#REF!</definedName>
    <definedName name="____KK514">#REF!</definedName>
    <definedName name="____KK520">#REF!</definedName>
    <definedName name="____KK618">#REF!</definedName>
    <definedName name="____KK638">#REF!</definedName>
    <definedName name="____KK705">#REF!</definedName>
    <definedName name="____KK710">#REF!</definedName>
    <definedName name="____KK715">#REF!</definedName>
    <definedName name="____KK720">#REF!</definedName>
    <definedName name="____KK721">#REF!</definedName>
    <definedName name="____KK722">#REF!</definedName>
    <definedName name="____KK730">#REF!</definedName>
    <definedName name="____LL071">[4]UPAH!#REF!</definedName>
    <definedName name="____LL072">[4]UPAH!#REF!</definedName>
    <definedName name="____LL082">[4]UPAH!#REF!</definedName>
    <definedName name="____LL103">[4]UPAH!#REF!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LL11">#REF!</definedName>
    <definedName name="____MDE01">#REF!</definedName>
    <definedName name="____MDE02">#REF!</definedName>
    <definedName name="____MDE03">#REF!</definedName>
    <definedName name="____MDE04">#REF!</definedName>
    <definedName name="____MDE05">#REF!</definedName>
    <definedName name="____MDE06">#REF!</definedName>
    <definedName name="____MDE07">#REF!</definedName>
    <definedName name="____MDE08">#REF!</definedName>
    <definedName name="____MDE09">#REF!</definedName>
    <definedName name="____MDE10">#REF!</definedName>
    <definedName name="____MDE11">#REF!</definedName>
    <definedName name="____MDE12">#REF!</definedName>
    <definedName name="____MDE13">#REF!</definedName>
    <definedName name="____MDE14">#REF!</definedName>
    <definedName name="____MDE15">#REF!</definedName>
    <definedName name="____MDE16">#REF!</definedName>
    <definedName name="____MDE17">#REF!</definedName>
    <definedName name="____MDE18">#REF!</definedName>
    <definedName name="____MDE19">#REF!</definedName>
    <definedName name="____MDE20">#REF!</definedName>
    <definedName name="____MDE21">#REF!</definedName>
    <definedName name="____MDE22">#REF!</definedName>
    <definedName name="____MDE23">#REF!</definedName>
    <definedName name="____MDE24">#REF!</definedName>
    <definedName name="____MDE25">#REF!</definedName>
    <definedName name="____MDE26">#REF!</definedName>
    <definedName name="____MDE27">#REF!</definedName>
    <definedName name="____MDE28">#REF!</definedName>
    <definedName name="____MDE29">#REF!</definedName>
    <definedName name="____MDE30">#REF!</definedName>
    <definedName name="____MDE31">#REF!</definedName>
    <definedName name="____MDE32">#REF!</definedName>
    <definedName name="____MDE33">#REF!</definedName>
    <definedName name="____MDE34">#REF!</definedName>
    <definedName name="____ME01">#REF!</definedName>
    <definedName name="____ME02">#REF!</definedName>
    <definedName name="____ME03">#REF!</definedName>
    <definedName name="____ME04">#REF!</definedName>
    <definedName name="____ME05">#REF!</definedName>
    <definedName name="____ME06">#REF!</definedName>
    <definedName name="____ME07">#REF!</definedName>
    <definedName name="____ME08">#REF!</definedName>
    <definedName name="____ME09">#REF!</definedName>
    <definedName name="____ME10">#REF!</definedName>
    <definedName name="____ME11">#REF!</definedName>
    <definedName name="____ME12">#REF!</definedName>
    <definedName name="____ME13">#REF!</definedName>
    <definedName name="____ME14">#REF!</definedName>
    <definedName name="____ME15">#REF!</definedName>
    <definedName name="____ME16">#REF!</definedName>
    <definedName name="____ME17">#REF!</definedName>
    <definedName name="____ME18">#REF!</definedName>
    <definedName name="____ME19">#REF!</definedName>
    <definedName name="____ME20">#REF!</definedName>
    <definedName name="____ME21">#REF!</definedName>
    <definedName name="____ME22">#REF!</definedName>
    <definedName name="____ME23">#REF!</definedName>
    <definedName name="____ME24">#REF!</definedName>
    <definedName name="____ME25">#REF!</definedName>
    <definedName name="____ME26">#REF!</definedName>
    <definedName name="____ME27">#REF!</definedName>
    <definedName name="____ME28">#REF!</definedName>
    <definedName name="____ME29">#REF!</definedName>
    <definedName name="____ME30">#REF!</definedName>
    <definedName name="____ME31">#REF!</definedName>
    <definedName name="____ME32">#REF!</definedName>
    <definedName name="____ME33">#REF!</definedName>
    <definedName name="____ME34">#REF!</definedName>
    <definedName name="____MM010">#REF!</definedName>
    <definedName name="____MM011">[4]UPAH!#REF!</definedName>
    <definedName name="____MM012">[4]UPAH!#REF!</definedName>
    <definedName name="____MM013">#REF!</definedName>
    <definedName name="____MM014">[4]UPAH!#REF!</definedName>
    <definedName name="____MM020">[4]UPAH!#REF!</definedName>
    <definedName name="____MM021">[4]UPAH!#REF!</definedName>
    <definedName name="____MM022">[4]UPAH!#REF!</definedName>
    <definedName name="____MM023">#REF!</definedName>
    <definedName name="____MM024">#REF!</definedName>
    <definedName name="____MM025">#REF!</definedName>
    <definedName name="____MM026">[4]UPAH!#REF!</definedName>
    <definedName name="____MM033">[4]UPAH!#REF!</definedName>
    <definedName name="____MM040">#REF!</definedName>
    <definedName name="____MM041">#REF!</definedName>
    <definedName name="____MM042">[4]UPAH!#REF!</definedName>
    <definedName name="____MM050">[4]UPAH!#REF!</definedName>
    <definedName name="____MM061">#REF!</definedName>
    <definedName name="____MM065">#REF!</definedName>
    <definedName name="____MM070">[4]UPAH!#REF!</definedName>
    <definedName name="____MM080">[4]UPAH!#REF!</definedName>
    <definedName name="____MM081">#REF!</definedName>
    <definedName name="____MM090">[4]UPAH!#REF!</definedName>
    <definedName name="____MM162">#REF!</definedName>
    <definedName name="____MM163">[4]UPAH!#REF!</definedName>
    <definedName name="____MM164">[4]UPAH!#REF!</definedName>
    <definedName name="____MM165">[4]UPAH!#REF!</definedName>
    <definedName name="____MM166">#REF!</definedName>
    <definedName name="____MM167">#REF!</definedName>
    <definedName name="____MM170">#REF!</definedName>
    <definedName name="____MM171">[4]UPAH!#REF!</definedName>
    <definedName name="____MM180">#REF!</definedName>
    <definedName name="____MM181">#REF!</definedName>
    <definedName name="____MM183">[4]UPAH!#REF!</definedName>
    <definedName name="____MM184">[4]UPAH!#REF!</definedName>
    <definedName name="____MM185">[4]UPAH!#REF!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R011">[4]UPAH!#REF!</definedName>
    <definedName name="____MR012">#REF!</definedName>
    <definedName name="____non51">#REF!</definedName>
    <definedName name="____pvc1">[3]upah!#REF!</definedName>
    <definedName name="____pvc12">[3]upah!#REF!</definedName>
    <definedName name="____pvc34">[3]upah!#REF!</definedName>
    <definedName name="____pvc4">[3]upah!#REF!</definedName>
    <definedName name="____REK2">[5]RAB!#REF!</definedName>
    <definedName name="____STD1">#REF!</definedName>
    <definedName name="____STD2">#REF!</definedName>
    <definedName name="____STD3">#REF!</definedName>
    <definedName name="____STD4">#REF!</definedName>
    <definedName name="____STD5">#REF!</definedName>
    <definedName name="____STD6">#REF!</definedName>
    <definedName name="___ATB1">#REF!</definedName>
    <definedName name="___ATB2">#REF!</definedName>
    <definedName name="___ATB3">#REF!</definedName>
    <definedName name="___ATB4">#REF!</definedName>
    <definedName name="___cop15">'[6]RAB MEK 15 M MB '!#REF!</definedName>
    <definedName name="___cop20">'[6]RAB MEK 15 M MB '!#REF!</definedName>
    <definedName name="___cop25">'[6]RAB MEK 15 M MB '!#REF!</definedName>
    <definedName name="___cop32">'[6]RAB MEK 15 M MB '!#REF!</definedName>
    <definedName name="___cop40">'[6]RAB MEK 15 M MB '!#REF!</definedName>
    <definedName name="___cop50">'[6]RAB MEK 15 M MB '!#REF!</definedName>
    <definedName name="___dia10">#REF!</definedName>
    <definedName name="___dia12">#REF!</definedName>
    <definedName name="___dia16">#REF!</definedName>
    <definedName name="___dia19">#REF!</definedName>
    <definedName name="___dia6">#REF!</definedName>
    <definedName name="___dia8">#REF!</definedName>
    <definedName name="___DIV1">#REF!</definedName>
    <definedName name="___DIV10">#REF!</definedName>
    <definedName name="___DIV11">[1]DKH!#REF!</definedName>
    <definedName name="___DIV2">#REF!</definedName>
    <definedName name="___DIV3">#REF!</definedName>
    <definedName name="___DIV4">#REF!</definedName>
    <definedName name="___DIV5">#REF!</definedName>
    <definedName name="___DIV6">#REF!</definedName>
    <definedName name="___DIV7">#REF!</definedName>
    <definedName name="___DIV8">#REF!</definedName>
    <definedName name="___DIV9">#REF!</definedName>
    <definedName name="___EEE01">#REF!</definedName>
    <definedName name="___EEE02">#REF!</definedName>
    <definedName name="___EEE03">#REF!</definedName>
    <definedName name="___EEE04">#REF!</definedName>
    <definedName name="___EEE05">#REF!</definedName>
    <definedName name="___EEE06">#REF!</definedName>
    <definedName name="___EEE07">#REF!</definedName>
    <definedName name="___EEE08">#REF!</definedName>
    <definedName name="___EEE09">#REF!</definedName>
    <definedName name="___EEE10">#REF!</definedName>
    <definedName name="___EEE11">#REF!</definedName>
    <definedName name="___EEE12">#REF!</definedName>
    <definedName name="___EEE13">#REF!</definedName>
    <definedName name="___EEE14">#REF!</definedName>
    <definedName name="___EEE15">#REF!</definedName>
    <definedName name="___EEE16">#REF!</definedName>
    <definedName name="___EEE17">#REF!</definedName>
    <definedName name="___EEE18">#REF!</definedName>
    <definedName name="___EEE19">#REF!</definedName>
    <definedName name="___EEE20">#REF!</definedName>
    <definedName name="___EEE21">#REF!</definedName>
    <definedName name="___EEE22">#REF!</definedName>
    <definedName name="___EEE23">#REF!</definedName>
    <definedName name="___EEE24">#REF!</definedName>
    <definedName name="___EEE25">#REF!</definedName>
    <definedName name="___EEE26">#REF!</definedName>
    <definedName name="___EEE27">#REF!</definedName>
    <definedName name="___EEE28">#REF!</definedName>
    <definedName name="___EEE29">#REF!</definedName>
    <definedName name="___EEE30">#REF!</definedName>
    <definedName name="___EEE31">#REF!</definedName>
    <definedName name="___EEE32">#REF!</definedName>
    <definedName name="___EEE33">#REF!</definedName>
    <definedName name="___Gal2">#REF!</definedName>
    <definedName name="___HAL1">#REF!</definedName>
    <definedName name="___HAL2">#REF!</definedName>
    <definedName name="___HAL3">#REF!</definedName>
    <definedName name="___HAL4">#REF!</definedName>
    <definedName name="___HAL5">#REF!</definedName>
    <definedName name="___HAL6">#REF!</definedName>
    <definedName name="___HAL7">#REF!</definedName>
    <definedName name="___HAL8">#REF!</definedName>
    <definedName name="___JB3">#REF!</definedName>
    <definedName name="___JB4">#REF!</definedName>
    <definedName name="___JB5">#REF!</definedName>
    <definedName name="___KK012">#REF!</definedName>
    <definedName name="___KK016">#REF!</definedName>
    <definedName name="___KK017">#REF!</definedName>
    <definedName name="___KK224">#REF!</definedName>
    <definedName name="___KK342">#REF!</definedName>
    <definedName name="___KK514">#REF!</definedName>
    <definedName name="___KK520">#REF!</definedName>
    <definedName name="___KK618">#REF!</definedName>
    <definedName name="___KK638">#REF!</definedName>
    <definedName name="___KK705">#REF!</definedName>
    <definedName name="___KK710">#REF!</definedName>
    <definedName name="___KK715">#REF!</definedName>
    <definedName name="___KK720">#REF!</definedName>
    <definedName name="___KK721">#REF!</definedName>
    <definedName name="___KK722">#REF!</definedName>
    <definedName name="___KK730">#REF!</definedName>
    <definedName name="___LL061">#REF!</definedName>
    <definedName name="___LL071">#REF!</definedName>
    <definedName name="___LL072">#REF!</definedName>
    <definedName name="___LL073">#REF!</definedName>
    <definedName name="___LL079">#REF!</definedName>
    <definedName name="___LL081">#REF!</definedName>
    <definedName name="___LL082">#REF!</definedName>
    <definedName name="___LL083">#REF!</definedName>
    <definedName name="___LL091">#REF!</definedName>
    <definedName name="___LL099">#REF!</definedName>
    <definedName name="___LL101">#REF!</definedName>
    <definedName name="___LL103">#REF!</definedName>
    <definedName name="___LL106">#REF!</definedName>
    <definedName name="___LLL01">#REF!</definedName>
    <definedName name="___LLL02">#REF!</definedName>
    <definedName name="___LLL03">#REF!</definedName>
    <definedName name="___LLL04">#REF!</definedName>
    <definedName name="___LLL05">#REF!</definedName>
    <definedName name="___LLL06">#REF!</definedName>
    <definedName name="___LLL07">#REF!</definedName>
    <definedName name="___LLL08">#REF!</definedName>
    <definedName name="___LLL09">#REF!</definedName>
    <definedName name="___LLL10">#REF!</definedName>
    <definedName name="___LLL11">#REF!</definedName>
    <definedName name="___MDE01">#REF!</definedName>
    <definedName name="___MDE02">#REF!</definedName>
    <definedName name="___MDE03">#REF!</definedName>
    <definedName name="___MDE04">#REF!</definedName>
    <definedName name="___MDE05">#REF!</definedName>
    <definedName name="___MDE06">#REF!</definedName>
    <definedName name="___MDE07">#REF!</definedName>
    <definedName name="___MDE08">#REF!</definedName>
    <definedName name="___MDE09">#REF!</definedName>
    <definedName name="___MDE10">#REF!</definedName>
    <definedName name="___MDE11">#REF!</definedName>
    <definedName name="___MDE12">#REF!</definedName>
    <definedName name="___MDE13">#REF!</definedName>
    <definedName name="___MDE14">#REF!</definedName>
    <definedName name="___MDE15">#REF!</definedName>
    <definedName name="___MDE16">#REF!</definedName>
    <definedName name="___MDE17">#REF!</definedName>
    <definedName name="___MDE18">#REF!</definedName>
    <definedName name="___MDE19">#REF!</definedName>
    <definedName name="___MDE20">#REF!</definedName>
    <definedName name="___MDE21">#REF!</definedName>
    <definedName name="___MDE22">#REF!</definedName>
    <definedName name="___MDE23">#REF!</definedName>
    <definedName name="___MDE24">#REF!</definedName>
    <definedName name="___MDE25">#REF!</definedName>
    <definedName name="___MDE26">#REF!</definedName>
    <definedName name="___MDE27">#REF!</definedName>
    <definedName name="___MDE28">#REF!</definedName>
    <definedName name="___MDE29">#REF!</definedName>
    <definedName name="___MDE30">#REF!</definedName>
    <definedName name="___MDE31">#REF!</definedName>
    <definedName name="___MDE32">#REF!</definedName>
    <definedName name="___MDE33">#REF!</definedName>
    <definedName name="___MDE34">#REF!</definedName>
    <definedName name="___ME01">#REF!</definedName>
    <definedName name="___ME02">#REF!</definedName>
    <definedName name="___ME03">#REF!</definedName>
    <definedName name="___ME04">#REF!</definedName>
    <definedName name="___ME05">#REF!</definedName>
    <definedName name="___ME06">#REF!</definedName>
    <definedName name="___ME07">#REF!</definedName>
    <definedName name="___ME08">#REF!</definedName>
    <definedName name="___ME09">#REF!</definedName>
    <definedName name="___ME10">#REF!</definedName>
    <definedName name="___ME11">#REF!</definedName>
    <definedName name="___ME12">#REF!</definedName>
    <definedName name="___ME13">#REF!</definedName>
    <definedName name="___ME14">#REF!</definedName>
    <definedName name="___ME15">#REF!</definedName>
    <definedName name="___ME16">#REF!</definedName>
    <definedName name="___ME17">#REF!</definedName>
    <definedName name="___ME18">#REF!</definedName>
    <definedName name="___ME19">#REF!</definedName>
    <definedName name="___ME20">#REF!</definedName>
    <definedName name="___ME21">#REF!</definedName>
    <definedName name="___ME22">#REF!</definedName>
    <definedName name="___ME23">#REF!</definedName>
    <definedName name="___ME24">#REF!</definedName>
    <definedName name="___ME25">#REF!</definedName>
    <definedName name="___ME26">#REF!</definedName>
    <definedName name="___ME27">#REF!</definedName>
    <definedName name="___ME28">#REF!</definedName>
    <definedName name="___ME29">#REF!</definedName>
    <definedName name="___ME30">#REF!</definedName>
    <definedName name="___ME31">#REF!</definedName>
    <definedName name="___ME32">#REF!</definedName>
    <definedName name="___ME33">#REF!</definedName>
    <definedName name="___ME34">#REF!</definedName>
    <definedName name="___MM010">#REF!</definedName>
    <definedName name="___MM011">#REF!</definedName>
    <definedName name="___MM012">#REF!</definedName>
    <definedName name="___MM013">#REF!</definedName>
    <definedName name="___MM014">#REF!</definedName>
    <definedName name="___MM020">#REF!</definedName>
    <definedName name="___MM021">#REF!</definedName>
    <definedName name="___MM022">#REF!</definedName>
    <definedName name="___MM023">#REF!</definedName>
    <definedName name="___MM024">#REF!</definedName>
    <definedName name="___MM025">#REF!</definedName>
    <definedName name="___MM026">#REF!</definedName>
    <definedName name="___MM033">#REF!</definedName>
    <definedName name="___MM040">#REF!</definedName>
    <definedName name="___MM041">#REF!</definedName>
    <definedName name="___MM042">#REF!</definedName>
    <definedName name="___MM050">#REF!</definedName>
    <definedName name="___MM061">#REF!</definedName>
    <definedName name="___MM065">#REF!</definedName>
    <definedName name="___MM070">#REF!</definedName>
    <definedName name="___MM080">#REF!</definedName>
    <definedName name="___MM081">#REF!</definedName>
    <definedName name="___MM090">#REF!</definedName>
    <definedName name="___MM162">#REF!</definedName>
    <definedName name="___MM163">#REF!</definedName>
    <definedName name="___MM164">#REF!</definedName>
    <definedName name="___MM165">#REF!</definedName>
    <definedName name="___MM166">#REF!</definedName>
    <definedName name="___MM167">#REF!</definedName>
    <definedName name="___MM170">#REF!</definedName>
    <definedName name="___MM171">#REF!</definedName>
    <definedName name="___MM180">#REF!</definedName>
    <definedName name="___MM181">#REF!</definedName>
    <definedName name="___MM183">#REF!</definedName>
    <definedName name="___MM184">#REF!</definedName>
    <definedName name="___MM185">#REF!</definedName>
    <definedName name="___MMM01">#REF!</definedName>
    <definedName name="___MMM02">#REF!</definedName>
    <definedName name="___MMM03">#REF!</definedName>
    <definedName name="___MMM04">#REF!</definedName>
    <definedName name="___MMM05">#REF!</definedName>
    <definedName name="___MMM06">#REF!</definedName>
    <definedName name="___MMM07">#REF!</definedName>
    <definedName name="___MMM08">#REF!</definedName>
    <definedName name="___MMM09">#REF!</definedName>
    <definedName name="___MMM10">#REF!</definedName>
    <definedName name="___MMM11">#REF!</definedName>
    <definedName name="___MMM12">#REF!</definedName>
    <definedName name="___MMM13">#REF!</definedName>
    <definedName name="___MMM14">#REF!</definedName>
    <definedName name="___MMM15">#REF!</definedName>
    <definedName name="___MMM16">#REF!</definedName>
    <definedName name="___MMM17">#REF!</definedName>
    <definedName name="___MMM18">#REF!</definedName>
    <definedName name="___MMM19">#REF!</definedName>
    <definedName name="___MMM20">#REF!</definedName>
    <definedName name="___MMM21">#REF!</definedName>
    <definedName name="___MMM22">#REF!</definedName>
    <definedName name="___MMM23">#REF!</definedName>
    <definedName name="___MMM24">#REF!</definedName>
    <definedName name="___MMM25">#REF!</definedName>
    <definedName name="___MMM26">#REF!</definedName>
    <definedName name="___MMM27">#REF!</definedName>
    <definedName name="___MMM28">#REF!</definedName>
    <definedName name="___MMM29">#REF!</definedName>
    <definedName name="___MMM30">#REF!</definedName>
    <definedName name="___MMM31">#REF!</definedName>
    <definedName name="___MMM32">#REF!</definedName>
    <definedName name="___MMM33">#REF!</definedName>
    <definedName name="___MMM34">#REF!</definedName>
    <definedName name="___MMM35">#REF!</definedName>
    <definedName name="___MMM36">#REF!</definedName>
    <definedName name="___MMM37">#REF!</definedName>
    <definedName name="___MMM38">#REF!</definedName>
    <definedName name="___MMM39">#REF!</definedName>
    <definedName name="___MMM40">#REF!</definedName>
    <definedName name="___MMM41">#REF!</definedName>
    <definedName name="___MMM411">#REF!</definedName>
    <definedName name="___MMM42">#REF!</definedName>
    <definedName name="___MMM43">#REF!</definedName>
    <definedName name="___MMM44">#REF!</definedName>
    <definedName name="___MMM45">#REF!</definedName>
    <definedName name="___MMM46">#REF!</definedName>
    <definedName name="___MMM47">#REF!</definedName>
    <definedName name="___MMM48">#REF!</definedName>
    <definedName name="___MMM49">#REF!</definedName>
    <definedName name="___MMM50">#REF!</definedName>
    <definedName name="___MMM51">#REF!</definedName>
    <definedName name="___MMM52">#REF!</definedName>
    <definedName name="___MMM53">#REF!</definedName>
    <definedName name="___MMM54">#REF!</definedName>
    <definedName name="___MR011">#REF!</definedName>
    <definedName name="___MR012">#REF!</definedName>
    <definedName name="___non1">#REF!</definedName>
    <definedName name="___non10">#REF!</definedName>
    <definedName name="___non11">#REF!</definedName>
    <definedName name="___non12">#REF!</definedName>
    <definedName name="___non13">#REF!</definedName>
    <definedName name="___non14">#REF!</definedName>
    <definedName name="___non15">#REF!</definedName>
    <definedName name="___non16">#REF!</definedName>
    <definedName name="___non17">#REF!</definedName>
    <definedName name="___non18">#REF!</definedName>
    <definedName name="___non19">#REF!</definedName>
    <definedName name="___non2">#REF!</definedName>
    <definedName name="___non20">#REF!</definedName>
    <definedName name="___non21">#REF!</definedName>
    <definedName name="___non22">#REF!</definedName>
    <definedName name="___non23">#REF!</definedName>
    <definedName name="___non24">#REF!</definedName>
    <definedName name="___non25">#REF!</definedName>
    <definedName name="___non26">#REF!</definedName>
    <definedName name="___non27">#REF!</definedName>
    <definedName name="___non28">#REF!</definedName>
    <definedName name="___non29">#REF!</definedName>
    <definedName name="___non3">#REF!</definedName>
    <definedName name="___non30">#REF!</definedName>
    <definedName name="___non31">#REF!</definedName>
    <definedName name="___non32">#REF!</definedName>
    <definedName name="___non33">#REF!</definedName>
    <definedName name="___non34">#REF!</definedName>
    <definedName name="___non35">#REF!</definedName>
    <definedName name="___non36">#REF!</definedName>
    <definedName name="___non37">#REF!</definedName>
    <definedName name="___non38">#REF!</definedName>
    <definedName name="___non39">#REF!</definedName>
    <definedName name="___non4">#REF!</definedName>
    <definedName name="___non40">#REF!</definedName>
    <definedName name="___non41">#REF!</definedName>
    <definedName name="___non42">#REF!</definedName>
    <definedName name="___non43">#REF!</definedName>
    <definedName name="___non44">#REF!</definedName>
    <definedName name="___non45">#REF!</definedName>
    <definedName name="___non46">#REF!</definedName>
    <definedName name="___non47">#REF!</definedName>
    <definedName name="___non48">#REF!</definedName>
    <definedName name="___non49">#REF!</definedName>
    <definedName name="___non5">#REF!</definedName>
    <definedName name="___non50">#REF!</definedName>
    <definedName name="___non51">[7]BAHAN!$E$62</definedName>
    <definedName name="___non52">#REF!</definedName>
    <definedName name="___non53">#REF!</definedName>
    <definedName name="___non54">#REF!</definedName>
    <definedName name="___non55">#REF!</definedName>
    <definedName name="___non56">#REF!</definedName>
    <definedName name="___non57">#REF!</definedName>
    <definedName name="___non58">#REF!</definedName>
    <definedName name="___non59">#REF!</definedName>
    <definedName name="___non6">#REF!</definedName>
    <definedName name="___non60">#REF!</definedName>
    <definedName name="___non61">#REF!</definedName>
    <definedName name="___non62">#REF!</definedName>
    <definedName name="___non63">#REF!</definedName>
    <definedName name="___non64">#REF!</definedName>
    <definedName name="___non65">#REF!</definedName>
    <definedName name="___non66">#REF!</definedName>
    <definedName name="___non67">#REF!</definedName>
    <definedName name="___non68">#REF!</definedName>
    <definedName name="___non69">#REF!</definedName>
    <definedName name="___non7">#REF!</definedName>
    <definedName name="___non70">#REF!</definedName>
    <definedName name="___non71">#REF!</definedName>
    <definedName name="___non72">#REF!</definedName>
    <definedName name="___non73">#REF!</definedName>
    <definedName name="___non74">#REF!</definedName>
    <definedName name="___non75">#REF!</definedName>
    <definedName name="___non76">#REF!</definedName>
    <definedName name="___non77">#REF!</definedName>
    <definedName name="___non78">#REF!</definedName>
    <definedName name="___non79">#REF!</definedName>
    <definedName name="___non8">#REF!</definedName>
    <definedName name="___non80">#REF!</definedName>
    <definedName name="___non81">#REF!</definedName>
    <definedName name="___non82">#REF!</definedName>
    <definedName name="___non83">#REF!</definedName>
    <definedName name="___non84">#REF!</definedName>
    <definedName name="___non85">#REF!</definedName>
    <definedName name="___non86">#REF!</definedName>
    <definedName name="___non87">#REF!</definedName>
    <definedName name="___non88">#REF!</definedName>
    <definedName name="___non89">#REF!</definedName>
    <definedName name="___non9">#REF!</definedName>
    <definedName name="___non90">#REF!</definedName>
    <definedName name="___non91">#REF!</definedName>
    <definedName name="___non92">#REF!</definedName>
    <definedName name="___non93">#REF!</definedName>
    <definedName name="___non94">#REF!</definedName>
    <definedName name="___non95">#REF!</definedName>
    <definedName name="___pk13">'[8]Analisa Satuan'!#REF!</definedName>
    <definedName name="___pk14">'[8]Analisa Satuan'!#REF!</definedName>
    <definedName name="___pk15">'[8]Analisa Satuan'!#REF!</definedName>
    <definedName name="___pk3">'[8]Analisa Satuan'!#REF!</definedName>
    <definedName name="___pk4">'[8]Analisa Satuan'!#REF!</definedName>
    <definedName name="___pk5">'[8]Analisa Satuan'!#REF!</definedName>
    <definedName name="___pk7">'[8]Analisa Satuan'!#REF!</definedName>
    <definedName name="___pk8">'[8]Analisa Satuan'!#REF!</definedName>
    <definedName name="___pvc1">[3]upah!#REF!</definedName>
    <definedName name="___pvc12">[3]upah!#REF!</definedName>
    <definedName name="___pvc34">[3]upah!#REF!</definedName>
    <definedName name="___pvc4">[3]upah!#REF!</definedName>
    <definedName name="___REK2">[5]RAB!#REF!</definedName>
    <definedName name="___STD1">#REF!</definedName>
    <definedName name="___STD2">#REF!</definedName>
    <definedName name="___STD3">#REF!</definedName>
    <definedName name="___STD4">#REF!</definedName>
    <definedName name="___STD5">#REF!</definedName>
    <definedName name="___STD6">#REF!</definedName>
    <definedName name="__123Graph_A" hidden="1">[9]Div2!#REF!</definedName>
    <definedName name="__123Graph_B" hidden="1">[9]Div2!#REF!</definedName>
    <definedName name="__123Graph_X" hidden="1">[9]Div2!#REF!</definedName>
    <definedName name="__ATB1">#REF!</definedName>
    <definedName name="__ATB2">#REF!</definedName>
    <definedName name="__ATB3">#REF!</definedName>
    <definedName name="__ATB4">#REF!</definedName>
    <definedName name="__cop15">'[6]RAB MEK 15 M MB '!#REF!</definedName>
    <definedName name="__cop20">'[6]RAB MEK 15 M MB '!#REF!</definedName>
    <definedName name="__cop25">'[6]RAB MEK 15 M MB '!#REF!</definedName>
    <definedName name="__cop32">'[6]RAB MEK 15 M MB '!#REF!</definedName>
    <definedName name="__cop40">'[6]RAB MEK 15 M MB '!#REF!</definedName>
    <definedName name="__cop50">'[6]RAB MEK 15 M MB '!#REF!</definedName>
    <definedName name="__dia10">#REF!</definedName>
    <definedName name="__dia12">#REF!</definedName>
    <definedName name="__dia16">#REF!</definedName>
    <definedName name="__dia19">#REF!</definedName>
    <definedName name="__dia6">#REF!</definedName>
    <definedName name="__dia8">#REF!</definedName>
    <definedName name="__DIV1">#REF!</definedName>
    <definedName name="__DIV10">#REF!</definedName>
    <definedName name="__DIV11">'[10]Kuantitas &amp; Harga'!#REF!</definedName>
    <definedName name="__DIV2">#REF!</definedName>
    <definedName name="__DIV3">#REF!</definedName>
    <definedName name="__DIV4">#REF!</definedName>
    <definedName name="__DIV5">#REF!</definedName>
    <definedName name="__DIV6">#REF!</definedName>
    <definedName name="__DIV7">#REF!</definedName>
    <definedName name="__DIV8">#REF!</definedName>
    <definedName name="__DIV9">#REF!</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EE31">#REF!</definedName>
    <definedName name="__EEE32">#REF!</definedName>
    <definedName name="__EEE33">#REF!</definedName>
    <definedName name="__Gal2">#REF!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JB3">#REF!</definedName>
    <definedName name="__JB4">#REF!</definedName>
    <definedName name="__JB5">#REF!</definedName>
    <definedName name="__KK012">#REF!</definedName>
    <definedName name="__KK016">#REF!</definedName>
    <definedName name="__KK017">#REF!</definedName>
    <definedName name="__KK224">#REF!</definedName>
    <definedName name="__KK342">#REF!</definedName>
    <definedName name="__KK514">#REF!</definedName>
    <definedName name="__KK520">#REF!</definedName>
    <definedName name="__KK618">#REF!</definedName>
    <definedName name="__KK638">#REF!</definedName>
    <definedName name="__KK705">#REF!</definedName>
    <definedName name="__KK710">#REF!</definedName>
    <definedName name="__KK715">#REF!</definedName>
    <definedName name="__KK720">#REF!</definedName>
    <definedName name="__KK721">#REF!</definedName>
    <definedName name="__KK722">#REF!</definedName>
    <definedName name="__KK730">#REF!</definedName>
    <definedName name="__LL061">#REF!</definedName>
    <definedName name="__LL071">#REF!</definedName>
    <definedName name="__LL072">#REF!</definedName>
    <definedName name="__LL073">#REF!</definedName>
    <definedName name="__LL079">#REF!</definedName>
    <definedName name="__LL081">#REF!</definedName>
    <definedName name="__LL082">#REF!</definedName>
    <definedName name="__LL083">#REF!</definedName>
    <definedName name="__LL091">#REF!</definedName>
    <definedName name="__LL099">#REF!</definedName>
    <definedName name="__LL101">#REF!</definedName>
    <definedName name="__LL103">#REF!</definedName>
    <definedName name="__LL106">#REF!</definedName>
    <definedName name="__LLL01">#REF!</definedName>
    <definedName name="__LLL02">#REF!</definedName>
    <definedName name="__LLL03">#REF!</definedName>
    <definedName name="__LLL04">#REF!</definedName>
    <definedName name="__LLL05">#REF!</definedName>
    <definedName name="__LLL06">#REF!</definedName>
    <definedName name="__LLL07">#REF!</definedName>
    <definedName name="__LLL08">#REF!</definedName>
    <definedName name="__LLL09">#REF!</definedName>
    <definedName name="__LLL10">#REF!</definedName>
    <definedName name="__LLL11">#REF!</definedName>
    <definedName name="__MDE01">#REF!</definedName>
    <definedName name="__MDE02">#REF!</definedName>
    <definedName name="__MDE03">#REF!</definedName>
    <definedName name="__MDE04">#REF!</definedName>
    <definedName name="__MDE05">#REF!</definedName>
    <definedName name="__MDE06">#REF!</definedName>
    <definedName name="__MDE07">#REF!</definedName>
    <definedName name="__MDE08">#REF!</definedName>
    <definedName name="__MDE09">#REF!</definedName>
    <definedName name="__MDE10">#REF!</definedName>
    <definedName name="__MDE11">#REF!</definedName>
    <definedName name="__MDE12">#REF!</definedName>
    <definedName name="__MDE13">#REF!</definedName>
    <definedName name="__MDE14">#REF!</definedName>
    <definedName name="__MDE15">#REF!</definedName>
    <definedName name="__MDE16">#REF!</definedName>
    <definedName name="__MDE17">#REF!</definedName>
    <definedName name="__MDE18">#REF!</definedName>
    <definedName name="__MDE19">#REF!</definedName>
    <definedName name="__MDE20">#REF!</definedName>
    <definedName name="__MDE21">#REF!</definedName>
    <definedName name="__MDE22">#REF!</definedName>
    <definedName name="__MDE23">#REF!</definedName>
    <definedName name="__MDE24">#REF!</definedName>
    <definedName name="__MDE25">#REF!</definedName>
    <definedName name="__MDE26">#REF!</definedName>
    <definedName name="__MDE27">#REF!</definedName>
    <definedName name="__MDE28">#REF!</definedName>
    <definedName name="__MDE29">#REF!</definedName>
    <definedName name="__MDE30">#REF!</definedName>
    <definedName name="__MDE31">#REF!</definedName>
    <definedName name="__MDE32">#REF!</definedName>
    <definedName name="__MDE33">#REF!</definedName>
    <definedName name="__MDE34">#REF!</definedName>
    <definedName name="__ME01">#REF!</definedName>
    <definedName name="__ME02">#REF!</definedName>
    <definedName name="__ME03">#REF!</definedName>
    <definedName name="__ME04">#REF!</definedName>
    <definedName name="__ME05">#REF!</definedName>
    <definedName name="__ME06">#REF!</definedName>
    <definedName name="__ME07">#REF!</definedName>
    <definedName name="__ME08">#REF!</definedName>
    <definedName name="__ME09">#REF!</definedName>
    <definedName name="__ME10">#REF!</definedName>
    <definedName name="__ME11">#REF!</definedName>
    <definedName name="__ME12">#REF!</definedName>
    <definedName name="__ME13">#REF!</definedName>
    <definedName name="__ME14">#REF!</definedName>
    <definedName name="__ME15">#REF!</definedName>
    <definedName name="__ME16">#REF!</definedName>
    <definedName name="__ME17">#REF!</definedName>
    <definedName name="__ME18">#REF!</definedName>
    <definedName name="__ME19">#REF!</definedName>
    <definedName name="__ME20">#REF!</definedName>
    <definedName name="__ME21">#REF!</definedName>
    <definedName name="__ME22">#REF!</definedName>
    <definedName name="__ME23">#REF!</definedName>
    <definedName name="__ME24">#REF!</definedName>
    <definedName name="__ME25">#REF!</definedName>
    <definedName name="__ME26">#REF!</definedName>
    <definedName name="__ME27">#REF!</definedName>
    <definedName name="__ME28">#REF!</definedName>
    <definedName name="__ME29">#REF!</definedName>
    <definedName name="__ME30">#REF!</definedName>
    <definedName name="__ME31">#REF!</definedName>
    <definedName name="__ME32">#REF!</definedName>
    <definedName name="__ME33">#REF!</definedName>
    <definedName name="__ME34">#REF!</definedName>
    <definedName name="__MM010">#REF!</definedName>
    <definedName name="__MM011">#REF!</definedName>
    <definedName name="__MM012">#REF!</definedName>
    <definedName name="__MM013">#REF!</definedName>
    <definedName name="__MM014">#REF!</definedName>
    <definedName name="__MM020">#REF!</definedName>
    <definedName name="__MM021">#REF!</definedName>
    <definedName name="__MM022">#REF!</definedName>
    <definedName name="__MM023">#REF!</definedName>
    <definedName name="__MM024">#REF!</definedName>
    <definedName name="__MM025">#REF!</definedName>
    <definedName name="__MM026">#REF!</definedName>
    <definedName name="__MM033">#REF!</definedName>
    <definedName name="__MM040">#REF!</definedName>
    <definedName name="__MM041">#REF!</definedName>
    <definedName name="__MM042">#REF!</definedName>
    <definedName name="__MM050">#REF!</definedName>
    <definedName name="__MM061">#REF!</definedName>
    <definedName name="__MM065">#REF!</definedName>
    <definedName name="__MM070">#REF!</definedName>
    <definedName name="__MM080">#REF!</definedName>
    <definedName name="__MM081">#REF!</definedName>
    <definedName name="__MM090">#REF!</definedName>
    <definedName name="__MM162">#REF!</definedName>
    <definedName name="__MM163">#REF!</definedName>
    <definedName name="__MM164">#REF!</definedName>
    <definedName name="__MM165">#REF!</definedName>
    <definedName name="__MM166">#REF!</definedName>
    <definedName name="__MM167">#REF!</definedName>
    <definedName name="__MM170">#REF!</definedName>
    <definedName name="__MM171">#REF!</definedName>
    <definedName name="__MM180">#REF!</definedName>
    <definedName name="__MM181">#REF!</definedName>
    <definedName name="__MM183">#REF!</definedName>
    <definedName name="__MM184">#REF!</definedName>
    <definedName name="__MM185">#REF!</definedName>
    <definedName name="__MMM01">#REF!</definedName>
    <definedName name="__MMM02">#REF!</definedName>
    <definedName name="__MMM03">#REF!</definedName>
    <definedName name="__MMM04">#REF!</definedName>
    <definedName name="__MMM05">#REF!</definedName>
    <definedName name="__MMM06">#REF!</definedName>
    <definedName name="__MMM07">#REF!</definedName>
    <definedName name="__MMM08">#REF!</definedName>
    <definedName name="__MMM09">#REF!</definedName>
    <definedName name="__MMM10">#REF!</definedName>
    <definedName name="__MMM11">#REF!</definedName>
    <definedName name="__MMM12">#REF!</definedName>
    <definedName name="__MMM13">#REF!</definedName>
    <definedName name="__MMM14">#REF!</definedName>
    <definedName name="__MMM15">#REF!</definedName>
    <definedName name="__MMM16">#REF!</definedName>
    <definedName name="__MMM17">#REF!</definedName>
    <definedName name="__MMM18">#REF!</definedName>
    <definedName name="__MMM19">#REF!</definedName>
    <definedName name="__MMM20">#REF!</definedName>
    <definedName name="__MMM21">#REF!</definedName>
    <definedName name="__MMM22">#REF!</definedName>
    <definedName name="__MMM23">#REF!</definedName>
    <definedName name="__MMM24">#REF!</definedName>
    <definedName name="__MMM25">#REF!</definedName>
    <definedName name="__MMM26">#REF!</definedName>
    <definedName name="__MMM27">#REF!</definedName>
    <definedName name="__MMM28">#REF!</definedName>
    <definedName name="__MMM29">#REF!</definedName>
    <definedName name="__MMM30">#REF!</definedName>
    <definedName name="__MMM31">#REF!</definedName>
    <definedName name="__MMM32">#REF!</definedName>
    <definedName name="__MMM33">#REF!</definedName>
    <definedName name="__MMM34">#REF!</definedName>
    <definedName name="__MMM35">#REF!</definedName>
    <definedName name="__MMM36">#REF!</definedName>
    <definedName name="__MMM37">#REF!</definedName>
    <definedName name="__MMM38">#REF!</definedName>
    <definedName name="__MMM39">#REF!</definedName>
    <definedName name="__MMM40">#REF!</definedName>
    <definedName name="__MMM41">#REF!</definedName>
    <definedName name="__MMM411">#REF!</definedName>
    <definedName name="__MMM42">#REF!</definedName>
    <definedName name="__MMM43">#REF!</definedName>
    <definedName name="__MMM44">#REF!</definedName>
    <definedName name="__MMM45">#REF!</definedName>
    <definedName name="__MMM46">#REF!</definedName>
    <definedName name="__MMM47">#REF!</definedName>
    <definedName name="__MMM48">#REF!</definedName>
    <definedName name="__MMM49">#REF!</definedName>
    <definedName name="__MMM50">#REF!</definedName>
    <definedName name="__MMM51">#REF!</definedName>
    <definedName name="__MMM52">#REF!</definedName>
    <definedName name="__MMM53">#REF!</definedName>
    <definedName name="__MMM54">#REF!</definedName>
    <definedName name="__MR011">#REF!</definedName>
    <definedName name="__MR012">#REF!</definedName>
    <definedName name="__non1">#REF!</definedName>
    <definedName name="__non10">#REF!</definedName>
    <definedName name="__non11">#REF!</definedName>
    <definedName name="__non12">#REF!</definedName>
    <definedName name="__non13">#REF!</definedName>
    <definedName name="__non14">#REF!</definedName>
    <definedName name="__non15">#REF!</definedName>
    <definedName name="__non16">#REF!</definedName>
    <definedName name="__non17">#REF!</definedName>
    <definedName name="__non18">#REF!</definedName>
    <definedName name="__non19">#REF!</definedName>
    <definedName name="__non2">#REF!</definedName>
    <definedName name="__non20">#REF!</definedName>
    <definedName name="__non21">#REF!</definedName>
    <definedName name="__non22">#REF!</definedName>
    <definedName name="__non23">#REF!</definedName>
    <definedName name="__non24">#REF!</definedName>
    <definedName name="__non25">#REF!</definedName>
    <definedName name="__non26">#REF!</definedName>
    <definedName name="__non27">#REF!</definedName>
    <definedName name="__non28">#REF!</definedName>
    <definedName name="__non29">#REF!</definedName>
    <definedName name="__non3">#REF!</definedName>
    <definedName name="__non30">#REF!</definedName>
    <definedName name="__non31">#REF!</definedName>
    <definedName name="__non32">#REF!</definedName>
    <definedName name="__non33">#REF!</definedName>
    <definedName name="__non34">#REF!</definedName>
    <definedName name="__non35">#REF!</definedName>
    <definedName name="__non36">#REF!</definedName>
    <definedName name="__non37">#REF!</definedName>
    <definedName name="__non38">#REF!</definedName>
    <definedName name="__non39">#REF!</definedName>
    <definedName name="__non4">#REF!</definedName>
    <definedName name="__non40">#REF!</definedName>
    <definedName name="__non41">#REF!</definedName>
    <definedName name="__non42">#REF!</definedName>
    <definedName name="__non43">#REF!</definedName>
    <definedName name="__non44">#REF!</definedName>
    <definedName name="__non45">#REF!</definedName>
    <definedName name="__non46">#REF!</definedName>
    <definedName name="__non47">#REF!</definedName>
    <definedName name="__non48">#REF!</definedName>
    <definedName name="__non49">#REF!</definedName>
    <definedName name="__non5">#REF!</definedName>
    <definedName name="__non50">#REF!</definedName>
    <definedName name="__non51">[7]BAHAN!$E$62</definedName>
    <definedName name="__non52">#REF!</definedName>
    <definedName name="__non53">#REF!</definedName>
    <definedName name="__non54">#REF!</definedName>
    <definedName name="__non55">#REF!</definedName>
    <definedName name="__non56">#REF!</definedName>
    <definedName name="__non57">#REF!</definedName>
    <definedName name="__non58">#REF!</definedName>
    <definedName name="__non59">#REF!</definedName>
    <definedName name="__non6">#REF!</definedName>
    <definedName name="__non60">#REF!</definedName>
    <definedName name="__non61">#REF!</definedName>
    <definedName name="__non62">#REF!</definedName>
    <definedName name="__non63">#REF!</definedName>
    <definedName name="__non64">#REF!</definedName>
    <definedName name="__non65">#REF!</definedName>
    <definedName name="__non66">#REF!</definedName>
    <definedName name="__non67">#REF!</definedName>
    <definedName name="__non68">#REF!</definedName>
    <definedName name="__non69">#REF!</definedName>
    <definedName name="__non7">#REF!</definedName>
    <definedName name="__non70">#REF!</definedName>
    <definedName name="__non71">#REF!</definedName>
    <definedName name="__non72">#REF!</definedName>
    <definedName name="__non73">#REF!</definedName>
    <definedName name="__non74">#REF!</definedName>
    <definedName name="__non75">#REF!</definedName>
    <definedName name="__non76">#REF!</definedName>
    <definedName name="__non77">#REF!</definedName>
    <definedName name="__non78">#REF!</definedName>
    <definedName name="__non79">#REF!</definedName>
    <definedName name="__non8">#REF!</definedName>
    <definedName name="__non80">#REF!</definedName>
    <definedName name="__non81">#REF!</definedName>
    <definedName name="__non82">#REF!</definedName>
    <definedName name="__non83">#REF!</definedName>
    <definedName name="__non84">#REF!</definedName>
    <definedName name="__non85">#REF!</definedName>
    <definedName name="__non86">#REF!</definedName>
    <definedName name="__non87">#REF!</definedName>
    <definedName name="__non88">#REF!</definedName>
    <definedName name="__non89">#REF!</definedName>
    <definedName name="__non9">#REF!</definedName>
    <definedName name="__non90">#REF!</definedName>
    <definedName name="__non91">#REF!</definedName>
    <definedName name="__non92">#REF!</definedName>
    <definedName name="__non93">#REF!</definedName>
    <definedName name="__non94">#REF!</definedName>
    <definedName name="__non95">#REF!</definedName>
    <definedName name="__pk13">'[8]Analisa Satuan'!#REF!</definedName>
    <definedName name="__pk14">'[8]Analisa Satuan'!#REF!</definedName>
    <definedName name="__pk15">'[8]Analisa Satuan'!#REF!</definedName>
    <definedName name="__pk3">'[8]Analisa Satuan'!#REF!</definedName>
    <definedName name="__pk4">'[8]Analisa Satuan'!#REF!</definedName>
    <definedName name="__pk5">'[8]Analisa Satuan'!#REF!</definedName>
    <definedName name="__pk7">'[8]Analisa Satuan'!#REF!</definedName>
    <definedName name="__pk8">'[8]Analisa Satuan'!#REF!</definedName>
    <definedName name="__pvc1">[3]upah!#REF!</definedName>
    <definedName name="__pvc12">[3]upah!#REF!</definedName>
    <definedName name="__pvc34">[3]upah!#REF!</definedName>
    <definedName name="__pvc4">[3]upah!#REF!</definedName>
    <definedName name="__rek2">'[11]8LT 12'!#REF!</definedName>
    <definedName name="__STD1">#REF!</definedName>
    <definedName name="__STD2">#REF!</definedName>
    <definedName name="__STD3">#REF!</definedName>
    <definedName name="__STD4">#REF!</definedName>
    <definedName name="__STD5">#REF!</definedName>
    <definedName name="__STD6">#REF!</definedName>
    <definedName name="_1_">[12]A!$H$42</definedName>
    <definedName name="_1_____123Graph_ACHART_1" hidden="1">[13]RAB!#REF!</definedName>
    <definedName name="_1__123Graph_ACHART_1" hidden="1">[14]RAB!#REF!</definedName>
    <definedName name="_10">[13]RAB!$J$238:$P$263</definedName>
    <definedName name="_10__123Graph_XCHART_1" hidden="1">[15]RAB!#REF!</definedName>
    <definedName name="_10U_BIASA">[12]A!$ET$8190</definedName>
    <definedName name="_11">[5]RAB!#REF!</definedName>
    <definedName name="_12">[13]RAB!$J$30:$P$68</definedName>
    <definedName name="_19__123Graph_ACHART_1" hidden="1">[13]RAB!#REF!</definedName>
    <definedName name="_2">[5]RAB!#REF!</definedName>
    <definedName name="_2_____123Graph_XCHART_1" hidden="1">[15]RAB!#REF!</definedName>
    <definedName name="_2__123Graph_ACHART_1" hidden="1">[16]RAB!#REF!</definedName>
    <definedName name="_2__123Graph_XCHART_1" hidden="1">[17]RAB!#REF!</definedName>
    <definedName name="_2A_BAHUJLN">[12]A!$ET$8190</definedName>
    <definedName name="_3">[5]RAB!#REF!</definedName>
    <definedName name="_3__123Graph_ACHART_1" hidden="1">[18]RAB!#REF!</definedName>
    <definedName name="_345">[13]RAB!$J$69:$P$112</definedName>
    <definedName name="_38__123Graph_XCHART_1" hidden="1">[15]RAB!#REF!</definedName>
    <definedName name="_3M_AGGKLASC">[12]A!$ET$8190</definedName>
    <definedName name="_4">[5]RAB!#REF!</definedName>
    <definedName name="_4__123Graph_ACHART_1" hidden="1">[19]RAB!#REF!</definedName>
    <definedName name="_4__123Graph_XCHART_1" hidden="1">[20]RAB!#REF!</definedName>
    <definedName name="_4M_GRAVEL">[12]A!$ET$8190</definedName>
    <definedName name="_5">[5]RAB!#REF!</definedName>
    <definedName name="_5___123Graph_ACHART_1" hidden="1">[13]RAB!#REF!</definedName>
    <definedName name="_5M_KAYUBAKAR">[12]A!$ET$8190</definedName>
    <definedName name="_6">[5]RAB!#REF!</definedName>
    <definedName name="_6___123Graph_XCHART_1" hidden="1">[15]RAB!#REF!</definedName>
    <definedName name="_6__123Graph_XCHART_1" hidden="1">[21]RAB!#REF!</definedName>
    <definedName name="_67">[13]RAB!$J$113:$P$155</definedName>
    <definedName name="_6P_STAMPER">[12]A!$ET$8190</definedName>
    <definedName name="_7">[5]RAB!#REF!</definedName>
    <definedName name="_7__123Graph_ACHART_1" hidden="1">[22]RAB!#REF!</definedName>
    <definedName name="_7.1__2">'[23]D7(1)'!#REF!</definedName>
    <definedName name="_7P_TANDEM">[12]A!$ET$8190</definedName>
    <definedName name="_8">[13]RAB!$J$156:$P$202</definedName>
    <definedName name="_8__123Graph_ACHART_1" hidden="1">[13]RAB!#REF!</definedName>
    <definedName name="_8__123Graph_XCHART_1" hidden="1">[24]RAB!#REF!</definedName>
    <definedName name="_8P_TIREROLLER">[12]A!$ET$8190</definedName>
    <definedName name="_9">[13]RAB!$J$203:$P$237</definedName>
    <definedName name="_9P_TREEWHEEL">[12]A!$ET$8190</definedName>
    <definedName name="_asas" hidden="1">[25]Div2!#REF!</definedName>
    <definedName name="_ATB1">#REF!</definedName>
    <definedName name="_ATB2">#REF!</definedName>
    <definedName name="_ATB3">#REF!</definedName>
    <definedName name="_ATB4">#REF!</definedName>
    <definedName name="_BAM1">#REF!</definedName>
    <definedName name="_BAM2">#REF!</definedName>
    <definedName name="_cop15">'[26]RAB MEK 15 M MB '!#REF!</definedName>
    <definedName name="_cop20">'[26]RAB MEK 15 M MB '!#REF!</definedName>
    <definedName name="_cop25">'[26]RAB MEK 15 M MB '!#REF!</definedName>
    <definedName name="_cop32">'[26]RAB MEK 15 M MB '!#REF!</definedName>
    <definedName name="_cop40">'[26]RAB MEK 15 M MB '!#REF!</definedName>
    <definedName name="_cop50">'[26]RAB MEK 15 M MB '!#REF!</definedName>
    <definedName name="_cor123">[27]anal!$K$825</definedName>
    <definedName name="_dia10">#REF!</definedName>
    <definedName name="_dia12">#REF!</definedName>
    <definedName name="_dia16">#REF!</definedName>
    <definedName name="_dia19">#REF!</definedName>
    <definedName name="_dia6">#REF!</definedName>
    <definedName name="_dia8">#REF!</definedName>
    <definedName name="_DIV1">'[10]Kuantitas &amp; Harga'!$I$28</definedName>
    <definedName name="_DIV10">'[10]Kuantitas &amp; Harga'!$I$408</definedName>
    <definedName name="_DIV11">[1]DKH!#REF!</definedName>
    <definedName name="_DIV2">'[10]Kuantitas &amp; Harga'!$I$55</definedName>
    <definedName name="_DIV3">'[10]Kuantitas &amp; Harga'!$I$86</definedName>
    <definedName name="_DIV4">'[10]Kuantitas &amp; Harga'!$I$103</definedName>
    <definedName name="_DIV5">'[10]Kuantitas &amp; Harga'!$I$125</definedName>
    <definedName name="_DIV6">'[10]Kuantitas &amp; Harga'!$I$174</definedName>
    <definedName name="_DIV7">'[10]Kuantitas &amp; Harga'!$I$306</definedName>
    <definedName name="_DIV8">'[10]Kuantitas &amp; Harga'!$I$367</definedName>
    <definedName name="_DIV9">'[10]Kuantitas &amp; Harga'!$I$396</definedName>
    <definedName name="_EEE01">#REF!</definedName>
    <definedName name="_EEE02">#REF!</definedName>
    <definedName name="_EEE03">#REF!</definedName>
    <definedName name="_EEE04">#REF!</definedName>
    <definedName name="_EEE05">#REF!</definedName>
    <definedName name="_EEE06">#REF!</definedName>
    <definedName name="_EEE07">#REF!</definedName>
    <definedName name="_EEE08">#REF!</definedName>
    <definedName name="_EEE09">#REF!</definedName>
    <definedName name="_EEE10">#REF!</definedName>
    <definedName name="_EEE11">#REF!</definedName>
    <definedName name="_EEE12">#REF!</definedName>
    <definedName name="_EEE13">#REF!</definedName>
    <definedName name="_EEE14">#REF!</definedName>
    <definedName name="_EEE15">#REF!</definedName>
    <definedName name="_EEE16">#REF!</definedName>
    <definedName name="_EEE17">#REF!</definedName>
    <definedName name="_EEE18">#REF!</definedName>
    <definedName name="_EEE19">#REF!</definedName>
    <definedName name="_EEE20">#REF!</definedName>
    <definedName name="_EEE21">#REF!</definedName>
    <definedName name="_EEE22">#REF!</definedName>
    <definedName name="_EEE23">#REF!</definedName>
    <definedName name="_EEE24">#REF!</definedName>
    <definedName name="_EEE25">#REF!</definedName>
    <definedName name="_EEE26">#REF!</definedName>
    <definedName name="_EEE27">#REF!</definedName>
    <definedName name="_EEE28">#REF!</definedName>
    <definedName name="_EEE29">#REF!</definedName>
    <definedName name="_EEE30">#REF!</definedName>
    <definedName name="_EEE31">#REF!</definedName>
    <definedName name="_EEE32">#REF!</definedName>
    <definedName name="_EEE33">#REF!</definedName>
    <definedName name="_Fill" hidden="1">#REF!</definedName>
    <definedName name="_Gal2">#REF!</definedName>
    <definedName name="_HAL1">'[10]Kuantitas &amp; Harga'!$B$3:$J$87</definedName>
    <definedName name="_HAL2">'[10]Kuantitas &amp; Harga'!$B$88:$J$126</definedName>
    <definedName name="_HAL3">'[10]Kuantitas &amp; Harga'!$B$127:$J$175</definedName>
    <definedName name="_HAL4">'[10]Kuantitas &amp; Harga'!$B$176:$J$221</definedName>
    <definedName name="_HAL5">'[10]Kuantitas &amp; Harga'!$B$222:$J$295</definedName>
    <definedName name="_HAL6">'[10]Kuantitas &amp; Harga'!$B$271:$J$307</definedName>
    <definedName name="_HAL7">'[10]Kuantitas &amp; Harga'!$B$308:$J$368</definedName>
    <definedName name="_HAL8">'[10]Kuantitas &amp; Harga'!$B$371:$J$470</definedName>
    <definedName name="_JB3">#REF!</definedName>
    <definedName name="_JB4">#REF!</definedName>
    <definedName name="_JB5">#REF!</definedName>
    <definedName name="_kap2">'[28]an sni'!$M$388</definedName>
    <definedName name="_Key1" hidden="1">#REF!</definedName>
    <definedName name="_KK012">#REF!</definedName>
    <definedName name="_KK016">#REF!</definedName>
    <definedName name="_KK017">#REF!</definedName>
    <definedName name="_KK224">#REF!</definedName>
    <definedName name="_KK342">#REF!</definedName>
    <definedName name="_KK514">#REF!</definedName>
    <definedName name="_KK520">#REF!</definedName>
    <definedName name="_KK618">#REF!</definedName>
    <definedName name="_KK638">#REF!</definedName>
    <definedName name="_KK705">#REF!</definedName>
    <definedName name="_KK710">#REF!</definedName>
    <definedName name="_KK715">#REF!</definedName>
    <definedName name="_KK720">#REF!</definedName>
    <definedName name="_KK721">#REF!</definedName>
    <definedName name="_KK722">#REF!</definedName>
    <definedName name="_KK730">#REF!</definedName>
    <definedName name="_LL01">'[29]Dhs 6'!#REF!</definedName>
    <definedName name="_LL02">'[29]Dhs 6'!#REF!</definedName>
    <definedName name="_LL03">'[29]Dhs 6'!#REF!</definedName>
    <definedName name="_LL04">'[29]Dhs 6'!#REF!</definedName>
    <definedName name="_LL05">'[29]Dhs 6'!#REF!</definedName>
    <definedName name="_LL06">'[29]Dhs 6'!#REF!</definedName>
    <definedName name="_LL061">#REF!</definedName>
    <definedName name="_LL07">'[29]Dhs 6'!#REF!</definedName>
    <definedName name="_LL071">#REF!</definedName>
    <definedName name="_LL072">#REF!</definedName>
    <definedName name="_LL073">#REF!</definedName>
    <definedName name="_LL079">#REF!</definedName>
    <definedName name="_LL08">'[29]Dhs 6'!#REF!</definedName>
    <definedName name="_LL081">#REF!</definedName>
    <definedName name="_LL082">#REF!</definedName>
    <definedName name="_LL083">#REF!</definedName>
    <definedName name="_LL09">'[29]Dhs 6'!#REF!</definedName>
    <definedName name="_LL091">#REF!</definedName>
    <definedName name="_LL099">#REF!</definedName>
    <definedName name="_LL10">'[29]Dhs 6'!#REF!</definedName>
    <definedName name="_LL101">#REF!</definedName>
    <definedName name="_LL103">#REF!</definedName>
    <definedName name="_LL106">#REF!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5">#REF!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8jh">#REF!</definedName>
    <definedName name="_ME09">#REF!</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0">#REF!</definedName>
    <definedName name="_ME31">#REF!</definedName>
    <definedName name="_ME32">#REF!</definedName>
    <definedName name="_ME33">#REF!</definedName>
    <definedName name="_ME34">#REF!</definedName>
    <definedName name="_ME35">#REF!</definedName>
    <definedName name="_ME36">#REF!</definedName>
    <definedName name="_ME37">#REF!</definedName>
    <definedName name="_ME38">#REF!</definedName>
    <definedName name="_ME39">#REF!</definedName>
    <definedName name="_ME40">#REF!</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M01">'[29]Dhs 6'!#REF!</definedName>
    <definedName name="_MM010">#REF!</definedName>
    <definedName name="_MM011">#REF!</definedName>
    <definedName name="_MM012">#REF!</definedName>
    <definedName name="_MM013">#REF!</definedName>
    <definedName name="_MM014">#REF!</definedName>
    <definedName name="_MM02">'[29]Dhs 6'!#REF!</definedName>
    <definedName name="_MM020">#REF!</definedName>
    <definedName name="_MM021">#REF!</definedName>
    <definedName name="_MM022">#REF!</definedName>
    <definedName name="_MM023">#REF!</definedName>
    <definedName name="_MM024">#REF!</definedName>
    <definedName name="_MM025">#REF!</definedName>
    <definedName name="_MM026">#REF!</definedName>
    <definedName name="_MM03">'[29]Dhs 6'!#REF!</definedName>
    <definedName name="_MM033">#REF!</definedName>
    <definedName name="_MM04">'[29]Dhs 6'!#REF!</definedName>
    <definedName name="_MM040">#REF!</definedName>
    <definedName name="_MM041">#REF!</definedName>
    <definedName name="_MM042">#REF!</definedName>
    <definedName name="_MM05">'[29]Dhs 6'!#REF!</definedName>
    <definedName name="_MM050">#REF!</definedName>
    <definedName name="_MM06">'[29]Dhs 6'!#REF!</definedName>
    <definedName name="_MM061">#REF!</definedName>
    <definedName name="_MM065">#REF!</definedName>
    <definedName name="_MM07">'[29]Dhs 6'!#REF!</definedName>
    <definedName name="_MM070">#REF!</definedName>
    <definedName name="_MM08">'[29]Dhs 6'!#REF!</definedName>
    <definedName name="_MM080">#REF!</definedName>
    <definedName name="_MM081">#REF!</definedName>
    <definedName name="_MM09">'[29]Dhs 6'!#REF!</definedName>
    <definedName name="_MM090">#REF!</definedName>
    <definedName name="_MM10">'[29]Dhs 6'!#REF!</definedName>
    <definedName name="_MM11">'[29]Dhs 6'!#REF!</definedName>
    <definedName name="_MM13">'[29]Dhs 6'!#REF!</definedName>
    <definedName name="_MM14">'[29]Dhs 6'!#REF!</definedName>
    <definedName name="_MM15">'[29]Dhs 6'!#REF!</definedName>
    <definedName name="_MM16">'[29]Dhs 6'!#REF!</definedName>
    <definedName name="_MM162">#REF!</definedName>
    <definedName name="_MM163">#REF!</definedName>
    <definedName name="_MM164">#REF!</definedName>
    <definedName name="_MM165">#REF!</definedName>
    <definedName name="_MM166">#REF!</definedName>
    <definedName name="_MM167">#REF!</definedName>
    <definedName name="_MM17">'[29]Dhs 6'!#REF!</definedName>
    <definedName name="_MM170">#REF!</definedName>
    <definedName name="_MM171">#REF!</definedName>
    <definedName name="_MM18">'[29]Dhs 6'!#REF!</definedName>
    <definedName name="_MM180">#REF!</definedName>
    <definedName name="_MM181">#REF!</definedName>
    <definedName name="_MM183">#REF!</definedName>
    <definedName name="_MM184">#REF!</definedName>
    <definedName name="_MM185">#REF!</definedName>
    <definedName name="_MM19">'[29]Dhs 6'!#REF!</definedName>
    <definedName name="_MM20">'[29]Dhs 6'!#REF!</definedName>
    <definedName name="_MM21">'[29]Dhs 6'!#REF!</definedName>
    <definedName name="_MM22">'[29]Dhs 6'!#REF!</definedName>
    <definedName name="_MM23">'[29]Dhs 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R011">#REF!</definedName>
    <definedName name="_MR012">#REF!</definedName>
    <definedName name="_non1">#REF!</definedName>
    <definedName name="_non10">#REF!</definedName>
    <definedName name="_non11">#REF!</definedName>
    <definedName name="_non12">#REF!</definedName>
    <definedName name="_non13">#REF!</definedName>
    <definedName name="_non14">#REF!</definedName>
    <definedName name="_non15">#REF!</definedName>
    <definedName name="_non16">#REF!</definedName>
    <definedName name="_non17">#REF!</definedName>
    <definedName name="_non18">#REF!</definedName>
    <definedName name="_non19">#REF!</definedName>
    <definedName name="_non2">#REF!</definedName>
    <definedName name="_non20">#REF!</definedName>
    <definedName name="_non21">#REF!</definedName>
    <definedName name="_non22">#REF!</definedName>
    <definedName name="_non23">#REF!</definedName>
    <definedName name="_non24">#REF!</definedName>
    <definedName name="_non25">#REF!</definedName>
    <definedName name="_non26">#REF!</definedName>
    <definedName name="_non27">#REF!</definedName>
    <definedName name="_non28">#REF!</definedName>
    <definedName name="_non29">#REF!</definedName>
    <definedName name="_non3">#REF!</definedName>
    <definedName name="_non30">#REF!</definedName>
    <definedName name="_non31">#REF!</definedName>
    <definedName name="_non32">#REF!</definedName>
    <definedName name="_non33">#REF!</definedName>
    <definedName name="_non34">#REF!</definedName>
    <definedName name="_non35">#REF!</definedName>
    <definedName name="_non36">#REF!</definedName>
    <definedName name="_non37">#REF!</definedName>
    <definedName name="_non38">#REF!</definedName>
    <definedName name="_non39">#REF!</definedName>
    <definedName name="_non4">#REF!</definedName>
    <definedName name="_non40">#REF!</definedName>
    <definedName name="_non41">#REF!</definedName>
    <definedName name="_non42">#REF!</definedName>
    <definedName name="_non43">#REF!</definedName>
    <definedName name="_non44">#REF!</definedName>
    <definedName name="_non45">#REF!</definedName>
    <definedName name="_non46">#REF!</definedName>
    <definedName name="_non47">#REF!</definedName>
    <definedName name="_non48">#REF!</definedName>
    <definedName name="_non49">#REF!</definedName>
    <definedName name="_non5">#REF!</definedName>
    <definedName name="_non50">#REF!</definedName>
    <definedName name="_non51">[7]BAHAN!$E$62</definedName>
    <definedName name="_non52">#REF!</definedName>
    <definedName name="_non53">#REF!</definedName>
    <definedName name="_non54">#REF!</definedName>
    <definedName name="_non55">#REF!</definedName>
    <definedName name="_non56">#REF!</definedName>
    <definedName name="_non57">#REF!</definedName>
    <definedName name="_non58">#REF!</definedName>
    <definedName name="_non59">#REF!</definedName>
    <definedName name="_non6">#REF!</definedName>
    <definedName name="_non60">#REF!</definedName>
    <definedName name="_non61">#REF!</definedName>
    <definedName name="_non62">#REF!</definedName>
    <definedName name="_non63">#REF!</definedName>
    <definedName name="_non64">#REF!</definedName>
    <definedName name="_non65">#REF!</definedName>
    <definedName name="_non66">#REF!</definedName>
    <definedName name="_non67">#REF!</definedName>
    <definedName name="_non68">#REF!</definedName>
    <definedName name="_non69">#REF!</definedName>
    <definedName name="_non7">#REF!</definedName>
    <definedName name="_non70">#REF!</definedName>
    <definedName name="_non71">#REF!</definedName>
    <definedName name="_non72">#REF!</definedName>
    <definedName name="_non73">#REF!</definedName>
    <definedName name="_non74">#REF!</definedName>
    <definedName name="_non75">#REF!</definedName>
    <definedName name="_non76">#REF!</definedName>
    <definedName name="_non77">#REF!</definedName>
    <definedName name="_non78">#REF!</definedName>
    <definedName name="_non79">#REF!</definedName>
    <definedName name="_non8">#REF!</definedName>
    <definedName name="_non80">#REF!</definedName>
    <definedName name="_non81">#REF!</definedName>
    <definedName name="_non82">#REF!</definedName>
    <definedName name="_non83">#REF!</definedName>
    <definedName name="_non84">#REF!</definedName>
    <definedName name="_non85">#REF!</definedName>
    <definedName name="_non86">#REF!</definedName>
    <definedName name="_non87">#REF!</definedName>
    <definedName name="_non88">#REF!</definedName>
    <definedName name="_non89">#REF!</definedName>
    <definedName name="_non9">#REF!</definedName>
    <definedName name="_non90">#REF!</definedName>
    <definedName name="_non91">#REF!</definedName>
    <definedName name="_non92">#REF!</definedName>
    <definedName name="_non93">#REF!</definedName>
    <definedName name="_non94">#REF!</definedName>
    <definedName name="_non95">#REF!</definedName>
    <definedName name="_Order1" hidden="1">255</definedName>
    <definedName name="_Order2" hidden="1">255</definedName>
    <definedName name="_pk13">'[8]Analisa Satuan'!#REF!</definedName>
    <definedName name="_pk14">'[8]Analisa Satuan'!#REF!</definedName>
    <definedName name="_pk15">'[8]Analisa Satuan'!#REF!</definedName>
    <definedName name="_pk3">'[8]Analisa Satuan'!#REF!</definedName>
    <definedName name="_pk4">'[8]Analisa Satuan'!#REF!</definedName>
    <definedName name="_pk5">'[8]Analisa Satuan'!#REF!</definedName>
    <definedName name="_pk7">'[8]Analisa Satuan'!#REF!</definedName>
    <definedName name="_pk8">'[8]Analisa Satuan'!#REF!</definedName>
    <definedName name="_pl13">'[30]an sni'!$M$283</definedName>
    <definedName name="_pl14">'[28]an sni'!$M$294</definedName>
    <definedName name="_pp1">#REF!</definedName>
    <definedName name="_pp15">#REF!</definedName>
    <definedName name="_pp323">#REF!</definedName>
    <definedName name="_pvc1">[3]upah!#REF!</definedName>
    <definedName name="_pvc12">[3]upah!#REF!</definedName>
    <definedName name="_pvc34">[3]upah!#REF!</definedName>
    <definedName name="_pvc4">[3]upah!#REF!</definedName>
    <definedName name="_rek2">'[31]8LT 12'!#REF!</definedName>
    <definedName name="_RID1">#REF!,#REF!</definedName>
    <definedName name="_RID2">#REF!,#REF!</definedName>
    <definedName name="_Sort" hidden="1">#REF!</definedName>
    <definedName name="_sp3">#REF!</definedName>
    <definedName name="_STD1">#REF!</definedName>
    <definedName name="_STD2">#REF!</definedName>
    <definedName name="_STD3">#REF!</definedName>
    <definedName name="_STD4">#REF!</definedName>
    <definedName name="_STD5">#REF!</definedName>
    <definedName name="_STD6">#REF!</definedName>
    <definedName name="_xleta.FILTER" hidden="1" xlm="1">#NAME?</definedName>
    <definedName name="_xleta.IF" hidden="1" xlm="1">#NAME?</definedName>
    <definedName name="_xleta.IFERROR" hidden="1" xlm="1">#NAME?</definedName>
    <definedName name="_xleta.TEXT" hidden="1" xlm="1">#NAME?</definedName>
    <definedName name="\A">#REF!</definedName>
    <definedName name="\F">#REF!</definedName>
    <definedName name="\G">[5]RAB!#REF!</definedName>
    <definedName name="\k">[16]RAB!#REF!</definedName>
    <definedName name="\M">[13]RAB!#REF!</definedName>
    <definedName name="\P">[13]RAB!#REF!</definedName>
    <definedName name="\Q">#REF!</definedName>
    <definedName name="\R">#REF!</definedName>
    <definedName name="\S">[13]RAB!#REF!</definedName>
    <definedName name="\T">#REF!</definedName>
    <definedName name="\V">[5]RAB!#REF!</definedName>
    <definedName name="a">[32]ASDP!#REF!</definedName>
    <definedName name="A.1">#REF!</definedName>
    <definedName name="a1\">'[32]AKS-KTP'!#REF!</definedName>
    <definedName name="AA">#N/A</definedName>
    <definedName name="AA_02">#REF!</definedName>
    <definedName name="AB.1">#REF!</definedName>
    <definedName name="AB.2">#REF!</definedName>
    <definedName name="AB.3">#REF!</definedName>
    <definedName name="AB.4">#REF!</definedName>
    <definedName name="AB.5">#REF!</definedName>
    <definedName name="AB.6">#REF!</definedName>
    <definedName name="ABC">#REF!</definedName>
    <definedName name="ABG">#REF!</definedName>
    <definedName name="ABU">#REF!</definedName>
    <definedName name="AC">#REF!</definedName>
    <definedName name="AC_1">#REF!</definedName>
    <definedName name="AC_2">#REF!</definedName>
    <definedName name="AC_3">#REF!</definedName>
    <definedName name="accpipagalv">[3]upah!#REF!</definedName>
    <definedName name="aci">#REF!</definedName>
    <definedName name="aciandinding">#REF!</definedName>
    <definedName name="Af">#REF!</definedName>
    <definedName name="AGREGAT">'[10]Kuantitas &amp; Harga'!$B$105:$J$126</definedName>
    <definedName name="AGREGATA">#REF!</definedName>
    <definedName name="AGREGATB">#REF!</definedName>
    <definedName name="AGREGATC">[1]AGREGAT!#REF!</definedName>
    <definedName name="agregathalus">[33]upahbahan!$G$111</definedName>
    <definedName name="agregatkasar">[33]upahbahan!$G$112</definedName>
    <definedName name="agro">#REF!</definedName>
    <definedName name="air">[33]upahbahan!$G$115</definedName>
    <definedName name="akte">[34]DATABASE!$C$24:$F$69</definedName>
    <definedName name="alamat">[34]DATABASE!$C$24:$O$54</definedName>
    <definedName name="ALAT">#REF!</definedName>
    <definedName name="ALAT001">#REF!</definedName>
    <definedName name="ALAT003">#REF!</definedName>
    <definedName name="ALAT010">#REF!</definedName>
    <definedName name="ALAT020">#REF!</definedName>
    <definedName name="ALAT031">#REF!</definedName>
    <definedName name="ALAT040">#REF!</definedName>
    <definedName name="ALAT051">#REF!</definedName>
    <definedName name="ALAT052">#REF!</definedName>
    <definedName name="ALAT080">#REF!</definedName>
    <definedName name="ALAT081">#REF!</definedName>
    <definedName name="ALAT082">#REF!</definedName>
    <definedName name="ALAT083">#REF!</definedName>
    <definedName name="ALAT084">#REF!</definedName>
    <definedName name="ALAT087">#REF!</definedName>
    <definedName name="ALAT088">#REF!</definedName>
    <definedName name="ALAT089">#REF!</definedName>
    <definedName name="ALAT1">#REF!</definedName>
    <definedName name="ALAT152">#REF!</definedName>
    <definedName name="ALAT153">#REF!</definedName>
    <definedName name="ALAT154">#REF!</definedName>
    <definedName name="ALAT155">#REF!</definedName>
    <definedName name="ALAT157">#REF!</definedName>
    <definedName name="ALAT172">#REF!</definedName>
    <definedName name="ALAT172J">#REF!</definedName>
    <definedName name="ALAT182">#REF!</definedName>
    <definedName name="ALAT2">#REF!</definedName>
    <definedName name="ALAT211">#REF!</definedName>
    <definedName name="ALAT212">#REF!</definedName>
    <definedName name="ALAT213">#REF!</definedName>
    <definedName name="ALAT221">#REF!</definedName>
    <definedName name="ALAT221J">#REF!</definedName>
    <definedName name="ALAT222">#REF!</definedName>
    <definedName name="ALAT251">#REF!</definedName>
    <definedName name="ALAT252">#REF!</definedName>
    <definedName name="ALAT253">#REF!</definedName>
    <definedName name="ALAT301">#REF!</definedName>
    <definedName name="ALAT311">#REF!</definedName>
    <definedName name="ALAT341">#REF!</definedName>
    <definedName name="ALAT342">#REF!</definedName>
    <definedName name="ALAT351">#REF!</definedName>
    <definedName name="ALATAMP">#REF!</definedName>
    <definedName name="alatbantu">[33]upahbahan!$G$78</definedName>
    <definedName name="ALATSTC">#REF!</definedName>
    <definedName name="ALATUTAMA">#REF!</definedName>
    <definedName name="ALIGE">#REF!</definedName>
    <definedName name="ALING">#REF!</definedName>
    <definedName name="ALU">#REF!</definedName>
    <definedName name="ALUKE">#REF!</definedName>
    <definedName name="AMP">#REF!</definedName>
    <definedName name="ampelas">[3]upah!$H$103</definedName>
    <definedName name="Amplas">#REF!</definedName>
    <definedName name="AN">#REF!</definedName>
    <definedName name="AN.">#REF!</definedName>
    <definedName name="An.18">#REF!</definedName>
    <definedName name="An.18c">#REF!</definedName>
    <definedName name="an.2">#REF!</definedName>
    <definedName name="An.a">#REF!</definedName>
    <definedName name="An.A1">#REF!</definedName>
    <definedName name="An.A11">#REF!</definedName>
    <definedName name="An.A11a">#REF!</definedName>
    <definedName name="An.A17">#REF!</definedName>
    <definedName name="An.A17.a">#REF!</definedName>
    <definedName name="An.A17a">#REF!</definedName>
    <definedName name="An.a18.">#REF!</definedName>
    <definedName name="An.A18a">#REF!</definedName>
    <definedName name="An.A18b">#REF!</definedName>
    <definedName name="An.A3">#REF!</definedName>
    <definedName name="An.A5.a">#REF!</definedName>
    <definedName name="An.b">#REF!</definedName>
    <definedName name="An.c">#REF!</definedName>
    <definedName name="An.C7">#REF!</definedName>
    <definedName name="An.C7a">#REF!</definedName>
    <definedName name="An.d">#REF!</definedName>
    <definedName name="An.e">#REF!</definedName>
    <definedName name="An.f">#REF!</definedName>
    <definedName name="An.F10">#REF!</definedName>
    <definedName name="An.F10.F1a">#REF!</definedName>
    <definedName name="An.F16">#REF!</definedName>
    <definedName name="An.F2">#REF!</definedName>
    <definedName name="An.F21">#REF!</definedName>
    <definedName name="An.F22">#REF!</definedName>
    <definedName name="An.F22a">#REF!</definedName>
    <definedName name="An.F2a">#REF!</definedName>
    <definedName name="An.F2b">#REF!</definedName>
    <definedName name="An.F2c">#REF!</definedName>
    <definedName name="An.F2d">#REF!</definedName>
    <definedName name="An.F2e">#REF!</definedName>
    <definedName name="An.F33.36">#REF!</definedName>
    <definedName name="An.F35">#REF!</definedName>
    <definedName name="An.F36">#REF!</definedName>
    <definedName name="An.F36a">#REF!</definedName>
    <definedName name="An.F36b">#REF!</definedName>
    <definedName name="An.F60">#REF!</definedName>
    <definedName name="An.F8">#REF!</definedName>
    <definedName name="An.F8a">#REF!</definedName>
    <definedName name="An.FIV.16">#REF!</definedName>
    <definedName name="An.Fv">#REF!</definedName>
    <definedName name="An.g">#REF!</definedName>
    <definedName name="An.G.III.2">#REF!</definedName>
    <definedName name="An.G.III.4">#REF!</definedName>
    <definedName name="An.G.III.4a">#REF!</definedName>
    <definedName name="An.G2">#REF!</definedName>
    <definedName name="An.G23.h">#REF!</definedName>
    <definedName name="An.G41">#REF!</definedName>
    <definedName name="An.G41a">#REF!</definedName>
    <definedName name="An.G41aa">#REF!</definedName>
    <definedName name="An.G41ab">#REF!</definedName>
    <definedName name="An.G41ac">#REF!</definedName>
    <definedName name="An.G41ad">#REF!</definedName>
    <definedName name="An.G41ae">#REF!</definedName>
    <definedName name="An.G41c">#REF!</definedName>
    <definedName name="An.G41d">#REF!</definedName>
    <definedName name="An.G41e">#REF!</definedName>
    <definedName name="An.G41f">#REF!</definedName>
    <definedName name="An.G41g">#REF!</definedName>
    <definedName name="An.G41h">#REF!</definedName>
    <definedName name="An.G41i">#REF!</definedName>
    <definedName name="An.G41j">#REF!</definedName>
    <definedName name="An.G41k">#REF!</definedName>
    <definedName name="An.G41l">#REF!</definedName>
    <definedName name="An.G41m">#REF!</definedName>
    <definedName name="An.G41n">#REF!</definedName>
    <definedName name="An.G41o">#REF!</definedName>
    <definedName name="An.G41p">#REF!</definedName>
    <definedName name="An.G41q">#REF!</definedName>
    <definedName name="An.G41r">#REF!</definedName>
    <definedName name="An.G41s">#REF!</definedName>
    <definedName name="An.G41t">#REF!</definedName>
    <definedName name="An.G41u">#REF!</definedName>
    <definedName name="An.G41v">#REF!</definedName>
    <definedName name="An.G41w">#REF!</definedName>
    <definedName name="An.G41x">#REF!</definedName>
    <definedName name="An.G41y">#REF!</definedName>
    <definedName name="An.G41z">#REF!</definedName>
    <definedName name="An.G43a">#REF!</definedName>
    <definedName name="An.G43b">#REF!</definedName>
    <definedName name="An.G43c">#REF!</definedName>
    <definedName name="An.G50h.G47">#REF!</definedName>
    <definedName name="An.G50i.G47">#REF!</definedName>
    <definedName name="An.G50i.G47a">#REF!</definedName>
    <definedName name="An.G50p.G47">#REF!</definedName>
    <definedName name="An.G53.K30">#REF!</definedName>
    <definedName name="An.G53.K30a">#REF!</definedName>
    <definedName name="An.G53h">#REF!</definedName>
    <definedName name="An.h">#REF!</definedName>
    <definedName name="An.H10">#REF!</definedName>
    <definedName name="An.H5">#REF!</definedName>
    <definedName name="An.H6">#REF!</definedName>
    <definedName name="An.H6a">#REF!</definedName>
    <definedName name="An.H6b">#REF!</definedName>
    <definedName name="An.i">#REF!</definedName>
    <definedName name="An.j">#REF!</definedName>
    <definedName name="An.K">#REF!</definedName>
    <definedName name="An.K9.23.30">#REF!</definedName>
    <definedName name="An.K9.23.30a">#REF!</definedName>
    <definedName name="An.K9.23.30b">#REF!</definedName>
    <definedName name="An.Ka">#REF!</definedName>
    <definedName name="An.Kb">#REF!</definedName>
    <definedName name="An.L">#REF!</definedName>
    <definedName name="An.La">#REF!</definedName>
    <definedName name="An.Lb">#REF!</definedName>
    <definedName name="An.Lc">#REF!</definedName>
    <definedName name="An.Ld">#REF!</definedName>
    <definedName name="An.Le">#REF!</definedName>
    <definedName name="An.m">#REF!</definedName>
    <definedName name="An.m1">#REF!</definedName>
    <definedName name="An.m2">#REF!</definedName>
    <definedName name="An.m3">#REF!</definedName>
    <definedName name="An.m4">#REF!</definedName>
    <definedName name="An.m5">#REF!</definedName>
    <definedName name="An.m7">#REF!</definedName>
    <definedName name="An.n">#REF!</definedName>
    <definedName name="An.n1">#REF!</definedName>
    <definedName name="An.n2">#REF!</definedName>
    <definedName name="An.n3">#REF!</definedName>
    <definedName name="An.n4">#REF!</definedName>
    <definedName name="An.n5">#REF!</definedName>
    <definedName name="An.n6">#REF!</definedName>
    <definedName name="An.n7">#REF!</definedName>
    <definedName name="An.o">#REF!</definedName>
    <definedName name="An.p">#REF!</definedName>
    <definedName name="An.Q">#REF!</definedName>
    <definedName name="An.R">#REF!</definedName>
    <definedName name="An.S">#REF!</definedName>
    <definedName name="ANALISA">[35]upahbahan!$I$14</definedName>
    <definedName name="ANALISA_HARGA_SATUAN">#REF!</definedName>
    <definedName name="analisa1">#REF!</definedName>
    <definedName name="analisa10">#REF!</definedName>
    <definedName name="analisa100">#REF!</definedName>
    <definedName name="analisa101">#REF!</definedName>
    <definedName name="Analisa101A">[1]A.Div10!#REF!</definedName>
    <definedName name="Analisa101B">[1]A.Div10!#REF!</definedName>
    <definedName name="Analisa101C">[1]A.Div10!#REF!</definedName>
    <definedName name="Analisa101D">[1]A.Div10!#REF!</definedName>
    <definedName name="Analisa101E">[1]A.Div10!#REF!</definedName>
    <definedName name="analisa102">#REF!</definedName>
    <definedName name="analisa103">#REF!</definedName>
    <definedName name="analisa104">#REF!</definedName>
    <definedName name="analisa105">#REF!</definedName>
    <definedName name="analisa106">#REF!</definedName>
    <definedName name="analisa107">#REF!</definedName>
    <definedName name="analisa108">#REF!</definedName>
    <definedName name="analisa109">#REF!</definedName>
    <definedName name="analisa11">#REF!</definedName>
    <definedName name="analisa110">#REF!</definedName>
    <definedName name="analisa111">#REF!</definedName>
    <definedName name="analisa112">#REF!</definedName>
    <definedName name="analisa113">#REF!</definedName>
    <definedName name="analisa114">#REF!</definedName>
    <definedName name="analisa115">#REF!</definedName>
    <definedName name="analisa116">#REF!</definedName>
    <definedName name="analisa117">#REF!</definedName>
    <definedName name="analisa118">#REF!</definedName>
    <definedName name="analisa119">#REF!</definedName>
    <definedName name="analisa12">#REF!</definedName>
    <definedName name="analisa13">#REF!</definedName>
    <definedName name="analisa14">#REF!</definedName>
    <definedName name="analisa15">#REF!</definedName>
    <definedName name="analisa16">#REF!</definedName>
    <definedName name="analisa17">#REF!</definedName>
    <definedName name="analisa18">#REF!</definedName>
    <definedName name="analisa19">#REF!</definedName>
    <definedName name="analisa2">#REF!</definedName>
    <definedName name="analisa20">#REF!</definedName>
    <definedName name="Analisa21">[36]Div2!$B$2:$L$67</definedName>
    <definedName name="analisa22">#REF!</definedName>
    <definedName name="Analisa22Man">[36]Div2!$B$68:$L$133</definedName>
    <definedName name="Analisa22Mek">[36]Div2!$B$134:$L$199</definedName>
    <definedName name="analisa23">#REF!</definedName>
    <definedName name="analisa24">#REF!</definedName>
    <definedName name="analisa25">#REF!</definedName>
    <definedName name="analisa26">#REF!</definedName>
    <definedName name="analisa27">#REF!</definedName>
    <definedName name="analisa28">#REF!</definedName>
    <definedName name="analisa29">#REF!</definedName>
    <definedName name="analisa3">#REF!</definedName>
    <definedName name="analisa30">#REF!</definedName>
    <definedName name="analisa31">#REF!</definedName>
    <definedName name="Analisa311">[36]Div3!$B$2:$L$68</definedName>
    <definedName name="Analisa313">[36]Div3!$B$69:$L$199</definedName>
    <definedName name="Analisa314">[36]Div3!$B$200:$L$267</definedName>
    <definedName name="analisa32">#REF!</definedName>
    <definedName name="Analisa321">[9]Div3!#REF!</definedName>
    <definedName name="Analisa322">[37]Div3!#REF!</definedName>
    <definedName name="analisa33">#REF!</definedName>
    <definedName name="analisa34">#REF!</definedName>
    <definedName name="analisa35">#REF!</definedName>
    <definedName name="analisa36">#REF!</definedName>
    <definedName name="analisa37">#REF!</definedName>
    <definedName name="analisa38">#REF!</definedName>
    <definedName name="analisa39">#REF!</definedName>
    <definedName name="analisa4">#REF!</definedName>
    <definedName name="analisa40">#REF!</definedName>
    <definedName name="analisa41">#REF!</definedName>
    <definedName name="analisa42">#REF!</definedName>
    <definedName name="Analisa421">[36]Div4!$B$2:$L$67</definedName>
    <definedName name="Analisa422">[36]Div4!$B$68:$L$133</definedName>
    <definedName name="analisa43">#REF!</definedName>
    <definedName name="analisa44">#REF!</definedName>
    <definedName name="analisa45">#REF!</definedName>
    <definedName name="analisa46">#REF!</definedName>
    <definedName name="analisa47">#REF!</definedName>
    <definedName name="analisa48">#REF!</definedName>
    <definedName name="analisa49">#REF!</definedName>
    <definedName name="analisa5">#REF!</definedName>
    <definedName name="analisa50">#REF!</definedName>
    <definedName name="analisa51">#REF!</definedName>
    <definedName name="Analisa511">#REF!</definedName>
    <definedName name="Analisa512">#REF!</definedName>
    <definedName name="analisa52">#REF!</definedName>
    <definedName name="analisa53">#REF!</definedName>
    <definedName name="analisa54">#REF!</definedName>
    <definedName name="Analisa55">#REF!</definedName>
    <definedName name="analisa56">#REF!</definedName>
    <definedName name="analisa57">#REF!</definedName>
    <definedName name="analisa58">#REF!</definedName>
    <definedName name="analisa59">#REF!</definedName>
    <definedName name="analisa6">#REF!</definedName>
    <definedName name="analisa6_2_1">#REF!</definedName>
    <definedName name="analisa6_2_2">#REF!</definedName>
    <definedName name="analisa6_3_5a">#REF!</definedName>
    <definedName name="analisa6_4_0">#REF!</definedName>
    <definedName name="analisa60">#REF!</definedName>
    <definedName name="analisa61">#REF!</definedName>
    <definedName name="Analisa611">#REF!</definedName>
    <definedName name="Analisa612">#REF!</definedName>
    <definedName name="analisa62">#REF!</definedName>
    <definedName name="analisa63">#REF!</definedName>
    <definedName name="Analisa631">#REF!</definedName>
    <definedName name="Analisa633">#REF!</definedName>
    <definedName name="Analisa634">#REF!</definedName>
    <definedName name="analisa64">#REF!</definedName>
    <definedName name="analisa65">#REF!</definedName>
    <definedName name="analisa66">#REF!</definedName>
    <definedName name="Analisa661">#REF!</definedName>
    <definedName name="analisa67">#REF!</definedName>
    <definedName name="analisa68">#REF!</definedName>
    <definedName name="analisa69">#REF!</definedName>
    <definedName name="analisa7">#REF!</definedName>
    <definedName name="analisa70">#REF!</definedName>
    <definedName name="Analisa70105">#REF!</definedName>
    <definedName name="Analisa70107">#REF!</definedName>
    <definedName name="Analisa70108">#REF!</definedName>
    <definedName name="Analisa70301">#REF!</definedName>
    <definedName name="Analisa70608">#REF!</definedName>
    <definedName name="Analisa70614">#REF!</definedName>
    <definedName name="Analisa70702">#REF!</definedName>
    <definedName name="Analisa70703">#REF!</definedName>
    <definedName name="Analisa70706">#REF!</definedName>
    <definedName name="Analisa70707">#REF!</definedName>
    <definedName name="Analisa709">#REF!</definedName>
    <definedName name="analisa71">#REF!</definedName>
    <definedName name="Analisa71003">#REF!</definedName>
    <definedName name="Analisa71106">#REF!</definedName>
    <definedName name="Analisa71202">#REF!</definedName>
    <definedName name="Analisa713">#REF!</definedName>
    <definedName name="Analisa71511">#REF!</definedName>
    <definedName name="analisa72">#REF!</definedName>
    <definedName name="analisa73">#REF!</definedName>
    <definedName name="analisa74">#REF!</definedName>
    <definedName name="analisa75">#REF!</definedName>
    <definedName name="analisa76">#REF!</definedName>
    <definedName name="analisa77">#REF!</definedName>
    <definedName name="analisa78">#REF!</definedName>
    <definedName name="analisa79">#REF!</definedName>
    <definedName name="analisa8">#REF!</definedName>
    <definedName name="analisa80">#REF!</definedName>
    <definedName name="analisa81">#REF!</definedName>
    <definedName name="analisa82">#REF!</definedName>
    <definedName name="analisa83">#REF!</definedName>
    <definedName name="analisa84">#REF!</definedName>
    <definedName name="Analisa8405">#REF!</definedName>
    <definedName name="analisa85">#REF!</definedName>
    <definedName name="analisa86">#REF!</definedName>
    <definedName name="analisa87">#REF!</definedName>
    <definedName name="analisa88">#REF!</definedName>
    <definedName name="analisa89">#REF!</definedName>
    <definedName name="analisa9">#REF!</definedName>
    <definedName name="analisa90">#REF!</definedName>
    <definedName name="analisa91">#REF!</definedName>
    <definedName name="analisa92">#REF!</definedName>
    <definedName name="analisa93">#REF!</definedName>
    <definedName name="analisa94">#REF!</definedName>
    <definedName name="analisa95">#REF!</definedName>
    <definedName name="analisa96">#REF!</definedName>
    <definedName name="analisa97">#REF!</definedName>
    <definedName name="analisa98">#REF!</definedName>
    <definedName name="analisa99">#REF!</definedName>
    <definedName name="angkut">'[38]ANALISA PEKERJAAN 04'!$P$2815</definedName>
    <definedName name="ANGKUT2">#REF!</definedName>
    <definedName name="ANLS.BAHAN">#REF!</definedName>
    <definedName name="ANTEK">'[39]anls by sewa'!$BE$103</definedName>
    <definedName name="ARIF">[40]RAB!#REF!</definedName>
    <definedName name="as">[13]RAB!#REF!</definedName>
    <definedName name="asdas">#REF!</definedName>
    <definedName name="ASPAL">'[10]Kuantitas &amp; Harga'!$B$127:$J$175</definedName>
    <definedName name="ASPAL1">#REF!</definedName>
    <definedName name="aspalelmusi">[33]upahbahan!$G$114</definedName>
    <definedName name="aspalt">'[41]h-bhn'!$H$24</definedName>
    <definedName name="asphaltfiniseher">[33]upahbahan!#REF!</definedName>
    <definedName name="asphaltfinisher">[33]upahbahan!#REF!</definedName>
    <definedName name="asphaltmixingplant">[33]upahbahan!#REF!</definedName>
    <definedName name="asphaltsprayer">[33]upahbahan!$G$75</definedName>
    <definedName name="AtapMetal">#REF!</definedName>
    <definedName name="atb">#REF!</definedName>
    <definedName name="atb.2">#REF!</definedName>
    <definedName name="atbl">'[38]ANALISA PEKERJAAN 04'!$P$1153</definedName>
    <definedName name="atbl.1">#REF!</definedName>
    <definedName name="atbl.2">#REF!</definedName>
    <definedName name="atbl.3">#REF!</definedName>
    <definedName name="ATE">[19]RAB!#REF!</definedName>
    <definedName name="b">#REF!</definedName>
    <definedName name="B.Gunung">#REF!</definedName>
    <definedName name="bagpro">#REF!</definedName>
    <definedName name="BAHAN">'[42]Upah Bahan'!$A$8:$P$106</definedName>
    <definedName name="Bahan1">#REF!</definedName>
    <definedName name="Bahan2">#REF!</definedName>
    <definedName name="BAHANFM">#REF!</definedName>
    <definedName name="bahu">'[38]ANALISA PEKERJAAN 04'!$P$767</definedName>
    <definedName name="BAHU1">#REF!</definedName>
    <definedName name="bajaringan">[3]upah!#REF!</definedName>
    <definedName name="bajatulangan">[33]upahbahan!#REF!</definedName>
    <definedName name="bajau.24">#REF!</definedName>
    <definedName name="balok616cempaka">[3]upah!$H$66</definedName>
    <definedName name="balokkyklasiii">[43]upah!$H$62</definedName>
    <definedName name="bambu">[3]upah!#REF!</definedName>
    <definedName name="baru">#REF!</definedName>
    <definedName name="bata">#REF!</definedName>
    <definedName name="bata13">'[30]an sni'!$M$237</definedName>
    <definedName name="bata13b">'[30]ANL-M'!$J$157</definedName>
    <definedName name="bata14">'[28]an sni'!$M$249</definedName>
    <definedName name="bata14b">'[28]ANL-M'!$J$169</definedName>
    <definedName name="batako">#REF!</definedName>
    <definedName name="batako14b">'[30]ANL-M'!$J$206</definedName>
    <definedName name="batu">[33]upahbahan!$G$116</definedName>
    <definedName name="Batu_bata">[44]Harga!$F$23</definedName>
    <definedName name="Batu_kali">[44]Harga!$F$21</definedName>
    <definedName name="Batu_kerikil">[44]Harga!$F$22</definedName>
    <definedName name="batualam">[3]upah!#REF!</definedName>
    <definedName name="batubata">[3]upah!$H$56</definedName>
    <definedName name="BATUBELAH">#REF!</definedName>
    <definedName name="batugun">#REF!</definedName>
    <definedName name="batugunung">'[41]h-bhn'!$H$10</definedName>
    <definedName name="BATUKALI">#REF!</definedName>
    <definedName name="BATUKOSONG">[45]VOLUME!#REF!</definedName>
    <definedName name="batukuary">'[41]h-bhn'!$H$13</definedName>
    <definedName name="batupecah12">'[41]h-bhn'!$H$19</definedName>
    <definedName name="batupecah13">[33]upahbahan!$G$119</definedName>
    <definedName name="batupecah15">'[41]h-bhn'!$H$15</definedName>
    <definedName name="batupecah1520">'[41]h-bhn'!$H$15</definedName>
    <definedName name="batupecah23">'[41]h-bhn'!$H$18</definedName>
    <definedName name="batupecah35">[33]upahbahan!$G$118</definedName>
    <definedName name="batupecah57">[33]upahbahan!$G$117</definedName>
    <definedName name="batutempel">[3]upah!#REF!</definedName>
    <definedName name="BB">[16]RAB!#REF!</definedName>
    <definedName name="bbb">[46]RAB!#REF!</definedName>
    <definedName name="BBM">#REF!</definedName>
    <definedName name="BCD">#REF!</definedName>
    <definedName name="beach">#REF!</definedName>
    <definedName name="begisting">[41]BEGISTING!$K$56</definedName>
    <definedName name="bekisting">'[38]ANALISA PEKERJAAN 04'!$P$382</definedName>
    <definedName name="benang">#REF!</definedName>
    <definedName name="bensin">'[41]h-bhn'!$H$34</definedName>
    <definedName name="besi">#REF!</definedName>
    <definedName name="Besi_Beton">[44]Harga!$F$32</definedName>
    <definedName name="besi1kg">[27]anal!$K$846</definedName>
    <definedName name="BesiAngker">#REF!</definedName>
    <definedName name="besibeton">[3]upah!$H$59</definedName>
    <definedName name="besibetonulir">[33]upahbahan!#REF!</definedName>
    <definedName name="besisiku">#REF!</definedName>
    <definedName name="besistrip">[3]upah!$H$61</definedName>
    <definedName name="beton.k.225">#REF!</definedName>
    <definedName name="beton.k.bo">#REF!</definedName>
    <definedName name="beton120">'[30]ANL-M'!$J$463</definedName>
    <definedName name="beton180">'[30]an sni'!$M$178</definedName>
    <definedName name="betona">'[38]ANALISA PEKERJAAN 04'!$P$1472</definedName>
    <definedName name="betonk125">[33]analisa!$K$4578</definedName>
    <definedName name="betonk175">[33]analisa!$K$4461</definedName>
    <definedName name="betonk225">'[41]BETON-K225'!$K$57</definedName>
    <definedName name="BETONK250">[33]analisa!$K$1226</definedName>
    <definedName name="betonk300">[33]analisa!$K$4400</definedName>
    <definedName name="betonk350">[33]analisa!$K$4339</definedName>
    <definedName name="betonk400">[33]analisa!$K$4278</definedName>
    <definedName name="betonk500">[33]analisa!$K$4217</definedName>
    <definedName name="betonsiklopk175">[33]analisa!$K$4520</definedName>
    <definedName name="Beugel">#REF!</definedName>
    <definedName name="bhu">#REF!</definedName>
    <definedName name="BIAYA">#REF!</definedName>
    <definedName name="bice">'[38]ANALISA PEKERJAAN 04'!$P$3754</definedName>
    <definedName name="bilalang">[33]upahbahan!#REF!</definedName>
    <definedName name="bilang_2">[47]bilang!$C$3</definedName>
    <definedName name="bilang_5">[47]bilang!$C$6</definedName>
    <definedName name="bilang_6">[47]bilang!$C$7</definedName>
    <definedName name="bingkai">'[28]an sni'!$M$339</definedName>
    <definedName name="bingkaib">'[28]ANL-M'!$J$591</definedName>
    <definedName name="BOBOT">#REF!</definedName>
    <definedName name="BOIL">#REF!</definedName>
    <definedName name="BPS">#REF!</definedName>
    <definedName name="bri">#REF!</definedName>
    <definedName name="bronjong">[41]BRONJONG!$K$56</definedName>
    <definedName name="Bt.kasar">#REF!</definedName>
    <definedName name="BTN">'[48]DATA REKENING PENGEMPON'!$A$9:$Z$182</definedName>
    <definedName name="BTNKP">'[42]DATA REKENING KARANGPULE'!$A$9:$T$31</definedName>
    <definedName name="bu">[27]anal!$M$3</definedName>
    <definedName name="buang">#REF!</definedName>
    <definedName name="Bubung">#REF!</definedName>
    <definedName name="BUBUNG30">'[28]an sni'!$M$481</definedName>
    <definedName name="BUBUNG30B">'[28]ANL-M'!$J$749</definedName>
    <definedName name="budi">[33]upahbahan!#REF!</definedName>
    <definedName name="buisbeton">#REF!</definedName>
    <definedName name="BULAN4">#REF!</definedName>
    <definedName name="BULAN5">#REF!</definedName>
    <definedName name="buldozer">#REF!</definedName>
    <definedName name="bulldozer">[33]upahbahan!#REF!</definedName>
    <definedName name="buras">[41]BURAS!$K$57</definedName>
    <definedName name="buruh">#REF!</definedName>
    <definedName name="buruhsemiterlatih">'[41]h-tenaga'!$H$22</definedName>
    <definedName name="buruhtakterlatih">'[41]h-tenaga'!$H$23</definedName>
    <definedName name="buruhterlatih">'[41]h-tenaga'!$H$21</definedName>
    <definedName name="Bust">#N/A</definedName>
    <definedName name="C_">[13]RAB!$J$36:$P$39</definedName>
    <definedName name="cap6_2_1">#REF!</definedName>
    <definedName name="cap6_2_2">#REF!</definedName>
    <definedName name="cap6_3_5a">#REF!</definedName>
    <definedName name="cap6_4_0">#REF!</definedName>
    <definedName name="cat">'[41]h-bhn'!$H$39</definedName>
    <definedName name="Cat_Glotex">[44]Harga!$F$60</definedName>
    <definedName name="Cat_Metrolite">[44]Harga!$F$59</definedName>
    <definedName name="CAT_MINYAK">[49]Daf_Upah_Bahan!$H$49</definedName>
    <definedName name="Cat_Vernis">[44]Harga!$F$61</definedName>
    <definedName name="catbesi">'[41]cat-besi'!$K$56</definedName>
    <definedName name="catdasar">[3]upah!$H$105</definedName>
    <definedName name="CatImpra">#REF!</definedName>
    <definedName name="catkansteen">#REF!</definedName>
    <definedName name="CatKayu">#REF!</definedName>
    <definedName name="catlalatex">[3]upah!$H$106</definedName>
    <definedName name="catmenieseng">[3]upah!#REF!</definedName>
    <definedName name="catminyak">#REF!</definedName>
    <definedName name="catseng">#REF!</definedName>
    <definedName name="cattembk">'[38]ANALISA PEKERJAAN 04'!$P$1600</definedName>
    <definedName name="CatTembok">#REF!</definedName>
    <definedName name="CatWater">#REF!</definedName>
    <definedName name="CC_06">#REF!</definedName>
    <definedName name="CCTV">#REF!</definedName>
    <definedName name="cek">#REF!</definedName>
    <definedName name="cempaka">#REF!</definedName>
    <definedName name="cerucut">'[50]DEVI 7 cerucut'!$AA$653</definedName>
    <definedName name="cetakan">#REF!</definedName>
    <definedName name="cetbasah">#REF!</definedName>
    <definedName name="cetbent">#REF!</definedName>
    <definedName name="cetbersih">#REF!</definedName>
    <definedName name="cetdprd">#REF!</definedName>
    <definedName name="cetdufa">#REF!</definedName>
    <definedName name="cetjalan">#REF!</definedName>
    <definedName name="cetlab">#REF!</definedName>
    <definedName name="cetland">#REF!</definedName>
    <definedName name="cetmayau">#REF!</definedName>
    <definedName name="cetmeet">#REF!</definedName>
    <definedName name="cetmesjid">#REF!</definedName>
    <definedName name="cetmus">#REF!</definedName>
    <definedName name="cetp2p">#REF!</definedName>
    <definedName name="cetpagar">#REF!</definedName>
    <definedName name="cetpendopo">#REF!</definedName>
    <definedName name="cetpkp">#REF!</definedName>
    <definedName name="cetplp">#REF!</definedName>
    <definedName name="cetppab">#REF!</definedName>
    <definedName name="cetpsrbas">#REF!</definedName>
    <definedName name="cetpsrr">#REF!</definedName>
    <definedName name="cetres">#REF!</definedName>
    <definedName name="cetsal">#REF!</definedName>
    <definedName name="cetsport">#REF!</definedName>
    <definedName name="cettoilet">#REF!</definedName>
    <definedName name="cetwar">#REF!</definedName>
    <definedName name="chipping">[33]upahbahan!#REF!</definedName>
    <definedName name="ClosedCongkok">#REF!</definedName>
    <definedName name="ClosedDuduk">#REF!</definedName>
    <definedName name="closetjongkok">#REF!</definedName>
    <definedName name="co">[51]upah!$I$19</definedName>
    <definedName name="compresor">'[41]h-alat'!$H$28</definedName>
    <definedName name="compressor">[33]upahbahan!#REF!</definedName>
    <definedName name="concretemixer">[33]upahbahan!#REF!</definedName>
    <definedName name="concretevibrator">[33]upahbahan!#REF!</definedName>
    <definedName name="CONCRETEVIBRO">#REF!</definedName>
    <definedName name="Continue">#N/A</definedName>
    <definedName name="COV">#REF!</definedName>
    <definedName name="COVER">#REF!</definedName>
    <definedName name="CRANE">#REF!</definedName>
    <definedName name="ctembok">'[38]ANALISA PEKERJAAN 04'!$P$1984</definedName>
    <definedName name="ctembokb">'[30]ANL-M'!$J$811</definedName>
    <definedName name="CV">[34]DATABASE!$C$24:$P$54</definedName>
    <definedName name="cvb" hidden="1">[15]RAB!#REF!</definedName>
    <definedName name="d">[16]RAB!#REF!</definedName>
    <definedName name="DAFTARSEWA">#REF!</definedName>
    <definedName name="damija">[41]DAMIJA!$K$53</definedName>
    <definedName name="dasar">#REF!</definedName>
    <definedName name="data">'[52]DATA BASE 1-99'!#REF!</definedName>
    <definedName name="data_base">'[53]data base'!$A$5:$L$154</definedName>
    <definedName name="data02">#REF!</definedName>
    <definedName name="DATA10">[54]DATA2!$A$7:$L$138</definedName>
    <definedName name="_xlnm.Database">#REF!</definedName>
    <definedName name="DATAUPAH">#REF!</definedName>
    <definedName name="DAYWORK">#REF!</definedName>
    <definedName name="DAYWORKS">'[10]Kuantitas &amp; Harga'!$B$308:$J$368</definedName>
    <definedName name="db">[55]STR!$L$4</definedName>
    <definedName name="ddd">[56]upahbahan!$K$17</definedName>
    <definedName name="DED">#REF!</definedName>
    <definedName name="Dempul">#REF!</definedName>
    <definedName name="devisi1">[33]rab1!$I$28</definedName>
    <definedName name="devisi2">[33]rab1!$I$48</definedName>
    <definedName name="devisi3">[33]rab1!$I$68</definedName>
    <definedName name="devisi4">[33]rab1!$I$94</definedName>
    <definedName name="devisi5">[33]rab1!$I$108</definedName>
    <definedName name="devisi6">[33]rab1!$I$139</definedName>
    <definedName name="devisi7">[33]rab1!$I$306</definedName>
    <definedName name="devisi8">[33]rab1!$I$364</definedName>
    <definedName name="dibuat">[3]rab!$B$170</definedName>
    <definedName name="Dibulatkan">#REF!</definedName>
    <definedName name="dinbasah">#REF!</definedName>
    <definedName name="dinbent">#REF!</definedName>
    <definedName name="dinbersih">#REF!</definedName>
    <definedName name="dindprd">#REF!</definedName>
    <definedName name="dindufa">#REF!</definedName>
    <definedName name="dinjalan">#REF!</definedName>
    <definedName name="dinlab">#REF!</definedName>
    <definedName name="dinland">#REF!</definedName>
    <definedName name="dinmayau">#REF!</definedName>
    <definedName name="dinmeet">#REF!</definedName>
    <definedName name="dinmesjid">#REF!</definedName>
    <definedName name="dinmus">#REF!</definedName>
    <definedName name="dinp2p">#REF!</definedName>
    <definedName name="dinpagar">#REF!</definedName>
    <definedName name="dinpendopo">#REF!</definedName>
    <definedName name="dinpkp">#REF!</definedName>
    <definedName name="dinplp">#REF!</definedName>
    <definedName name="dinppab">#REF!</definedName>
    <definedName name="dinpsrbas">#REF!</definedName>
    <definedName name="dinpsrr">#REF!</definedName>
    <definedName name="dinres">#REF!</definedName>
    <definedName name="dinsal">#REF!</definedName>
    <definedName name="dinsport">#REF!</definedName>
    <definedName name="dintoilet">#REF!</definedName>
    <definedName name="dinwar">#REF!</definedName>
    <definedName name="direktur">[57]inst.pemrintah!#REF!</definedName>
    <definedName name="DIRUT">[58]FAK!$B$16</definedName>
    <definedName name="dis6_2_1">#REF!</definedName>
    <definedName name="dis6_2_2">#REF!</definedName>
    <definedName name="dis6_3_5a">#REF!</definedName>
    <definedName name="dis6_4_0">#REF!</definedName>
    <definedName name="DIVISI">[13]RAB!$J$30:$P$263</definedName>
    <definedName name="DMJ">[59]DEI.2!$W$336</definedName>
    <definedName name="Document_array">{"Book1","MC 0 DAN RABP PAGAR 2006 TERMYN 3-3.xls","MC 0 DAN RABP PAGAR 2006 TERMYN 2.xls"}</definedName>
    <definedName name="Documents_array">#N/A</definedName>
    <definedName name="dolken">[3]upah!#REF!</definedName>
    <definedName name="doser">'[41]h-alat'!$H$10</definedName>
    <definedName name="DPRD1">#REF!</definedName>
    <definedName name="DRAINASE">'[10]Kuantitas &amp; Harga'!$B$30:$J$56</definedName>
    <definedName name="dsd">#REF!</definedName>
    <definedName name="dsgf">[13]RAB!#REF!</definedName>
    <definedName name="dt35ton">'[41]h-alat'!$H$25</definedName>
    <definedName name="dt5ton">'[41]h-alat'!$H$26</definedName>
    <definedName name="DUA">#REF!</definedName>
    <definedName name="dumptruck">[33]upahbahan!$G$67</definedName>
    <definedName name="DUMPTRUCK1">#REF!</definedName>
    <definedName name="DUMPTRUCK2">#REF!</definedName>
    <definedName name="dumptruck34">[33]upahbahan!$G$68</definedName>
    <definedName name="dumpul">#REF!</definedName>
    <definedName name="e">#REF!</definedName>
    <definedName name="e6_2_1">#REF!</definedName>
    <definedName name="e6_2_2">#REF!</definedName>
    <definedName name="e6_3_5a">#REF!</definedName>
    <definedName name="e6_4_0">#REF!</definedName>
    <definedName name="ee">'[60]DEVI 2'!#REF!</definedName>
    <definedName name="EE_01A">#REF!</definedName>
    <definedName name="EEE06REV">#REF!</definedName>
    <definedName name="EEE09REV1">#REF!</definedName>
    <definedName name="EEE12a">'[29]Dhs 6'!#REF!</definedName>
    <definedName name="EEE12b">'[29]Dhs 6'!#REF!</definedName>
    <definedName name="EEE17REV">#REF!</definedName>
    <definedName name="EEE17REV1">#REF!</definedName>
    <definedName name="ELASTOM">#REF!</definedName>
    <definedName name="engselbesar">#REF!</definedName>
    <definedName name="EngselJendela">#REF!</definedName>
    <definedName name="EngselPintu">#REF!</definedName>
    <definedName name="ERECT_1">#REF!</definedName>
    <definedName name="ERECT_2">#REF!</definedName>
    <definedName name="ERYT5E">[61]DEI.2!#REF!</definedName>
    <definedName name="excavator">[33]upahbahan!$G$69</definedName>
    <definedName name="Excel_BuiltIn_Print_Titles_2">#REF!</definedName>
    <definedName name="Excel_BuiltIn_Print_Titles_3">#REF!</definedName>
    <definedName name="Excel_BuiltIn_Print_Titles_5">#REF!</definedName>
    <definedName name="expantionjoint">'[41]s-jadi (2)'!$H$120</definedName>
    <definedName name="expanyolet">[3]upah!#REF!</definedName>
    <definedName name="f">#REF!</definedName>
    <definedName name="FA">#REF!</definedName>
    <definedName name="Fak">#REF!</definedName>
    <definedName name="Faktor">#REF!</definedName>
    <definedName name="Faktorial">#REF!</definedName>
    <definedName name="Farmasi">[13]RAB!#REF!</definedName>
    <definedName name="fcu">#REF!</definedName>
    <definedName name="ff">#REF!</definedName>
    <definedName name="FGDG">[40]RAB!$A$30:$H$68</definedName>
    <definedName name="fghgs">#REF!</definedName>
    <definedName name="fgnmjym">[62]DEV.3!#REF!</definedName>
    <definedName name="filler">[33]upahbahan!#REF!</definedName>
    <definedName name="filterplastik">[33]upahbahan!#REF!</definedName>
    <definedName name="FINISHER">#REF!</definedName>
    <definedName name="FLATBEDTRUCK">#REF!</definedName>
    <definedName name="floor">#REF!</definedName>
    <definedName name="floordrain">[3]upah!#REF!</definedName>
    <definedName name="floordrainplastik">[3]upah!#REF!</definedName>
    <definedName name="form">[1]A.Div3!#REF!</definedName>
    <definedName name="FORM1">[61]DEV.6!#REF!</definedName>
    <definedName name="FORM1011">#REF!</definedName>
    <definedName name="FORM1012">#REF!</definedName>
    <definedName name="FORM1013">#REF!</definedName>
    <definedName name="FORM1014">#REF!</definedName>
    <definedName name="FORM1015">#REF!</definedName>
    <definedName name="FORM123">[61]DEV.6!#REF!</definedName>
    <definedName name="form1234">[62]DEV.5!$O$1:$Z$63</definedName>
    <definedName name="FORM21">'[1]A.Div 2'!#REF!</definedName>
    <definedName name="form225">[62]DEV.5!$O$470:$Z$530</definedName>
    <definedName name="FORM22E">'[1]A.Div 2'!#REF!</definedName>
    <definedName name="FORM22L">'[1]A.Div 2'!#REF!</definedName>
    <definedName name="FORM231">'[1]A.Div 2'!#REF!</definedName>
    <definedName name="FORM232">'[1]A.Div 2'!#REF!</definedName>
    <definedName name="FORM233">'[1]A.Div 2'!#REF!</definedName>
    <definedName name="FORM234">'[1]A.Div 2'!#REF!</definedName>
    <definedName name="FORM2345">'[63]A.Div 2'!#REF!</definedName>
    <definedName name="Form235">#REF!</definedName>
    <definedName name="Form236">#REF!</definedName>
    <definedName name="FORM241">'[1]A.Div 2'!#REF!</definedName>
    <definedName name="FORM242">'[1]A.Div 2'!#REF!</definedName>
    <definedName name="FORM243">'[1]A.Div 2'!#REF!</definedName>
    <definedName name="FORM311">[1]A.Div3!#REF!</definedName>
    <definedName name="FORM312">[1]A.Div3!#REF!</definedName>
    <definedName name="FORM313">[1]A.Div3!#REF!</definedName>
    <definedName name="FORM314">[1]A.Div3!#REF!</definedName>
    <definedName name="FORM315">[1]A.Div3!#REF!</definedName>
    <definedName name="FORM319">[64]DEV.3!$M$106:$X$106</definedName>
    <definedName name="FORM321">[1]A.Div3!#REF!</definedName>
    <definedName name="FORM322">[1]A.Div3!#REF!</definedName>
    <definedName name="FORM323">[1]A.Div3!#REF!</definedName>
    <definedName name="FORM323L">#REF!</definedName>
    <definedName name="FORM324">#REF!</definedName>
    <definedName name="FORM33">[1]A.Div3!#REF!</definedName>
    <definedName name="FORM331">#REF!</definedName>
    <definedName name="FORM346">#REF!</definedName>
    <definedName name="FORM421">'[1]A.Div 4'!#REF!</definedName>
    <definedName name="FORM422">'[1]A.Div 4'!#REF!</definedName>
    <definedName name="FORM423">'[1]A.Div 4'!#REF!</definedName>
    <definedName name="FORM424">'[1]A.Div 4'!#REF!</definedName>
    <definedName name="FORM425">'[1]A.Div 4'!#REF!</definedName>
    <definedName name="FORM426">'[1]A.Div 4'!#REF!</definedName>
    <definedName name="FORM427">'[1]A.Div 4'!#REF!</definedName>
    <definedName name="FORM511">[1]A.Div5!#REF!</definedName>
    <definedName name="FORM512">[1]A.Div5!#REF!</definedName>
    <definedName name="FORM521">[1]A.Div5!#REF!</definedName>
    <definedName name="FORM522">[1]A.Div5!#REF!</definedName>
    <definedName name="FORM541">[1]A.Div5!#REF!</definedName>
    <definedName name="FORM542">[1]A.Div5!#REF!</definedName>
    <definedName name="FORM611">#REF!</definedName>
    <definedName name="FORM612">#REF!</definedName>
    <definedName name="FORM621">#REF!</definedName>
    <definedName name="FORM622">#REF!</definedName>
    <definedName name="FORM623">#REF!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#REF!</definedName>
    <definedName name="FORM66PERATA">#REF!</definedName>
    <definedName name="FORM66PERMUKAAN">#REF!</definedName>
    <definedName name="FORM7101">[1]A.Div7!#REF!</definedName>
    <definedName name="FORM7102">[1]A.Div7!#REF!</definedName>
    <definedName name="FORM7103">[1]A.Div7!#REF!</definedName>
    <definedName name="FORM711">#REF!</definedName>
    <definedName name="FORM712">[1]A.Div7!#REF!</definedName>
    <definedName name="FORM7122">#REF!</definedName>
    <definedName name="FORM713">[1]A.Div7!#REF!</definedName>
    <definedName name="FORM714">#REF!</definedName>
    <definedName name="FORM715">[1]A.Div7!#REF!</definedName>
    <definedName name="FORM716">[1]A.Div7!#REF!</definedName>
    <definedName name="FORM717">[1]A.Div7!#REF!</definedName>
    <definedName name="FORM718">[1]A.Div7!#REF!</definedName>
    <definedName name="FORM721">#REF!</definedName>
    <definedName name="FORM731">#REF!</definedName>
    <definedName name="FORM732">#REF!</definedName>
    <definedName name="FORM733">#REF!</definedName>
    <definedName name="FORM734">#REF!</definedName>
    <definedName name="FORM735">#REF!</definedName>
    <definedName name="FORM73PL">[1]A.Div7!#REF!</definedName>
    <definedName name="FORM73UL">[1]A.Div7!#REF!</definedName>
    <definedName name="FORM744">#REF!</definedName>
    <definedName name="FORM745">#REF!</definedName>
    <definedName name="FORM751">[1]A.Div7!#REF!</definedName>
    <definedName name="FORM752">[1]A.Div7!#REF!</definedName>
    <definedName name="FORM7610">#REF!</definedName>
    <definedName name="FORM7611">[1]A.Div7!#REF!</definedName>
    <definedName name="FORM7612">[1]A.Div7!#REF!</definedName>
    <definedName name="FORM7612a">#REF!</definedName>
    <definedName name="FORM7612b">#REF!</definedName>
    <definedName name="FORM7612c">#REF!</definedName>
    <definedName name="FORM7613">[1]A.Div7!#REF!</definedName>
    <definedName name="FORM7613a">#REF!</definedName>
    <definedName name="FORM7613b">#REF!</definedName>
    <definedName name="FORM7613c">#REF!</definedName>
    <definedName name="FORM7614">[1]A.Div7!#REF!</definedName>
    <definedName name="FORM7614a">#REF!</definedName>
    <definedName name="FORM7614b">#REF!</definedName>
    <definedName name="FORM7614c">#REF!</definedName>
    <definedName name="FORM7614d">#REF!</definedName>
    <definedName name="FORM7614e">#REF!</definedName>
    <definedName name="FORM7615">[1]A.Div7!#REF!</definedName>
    <definedName name="FORM7616">[1]A.Div7!#REF!</definedName>
    <definedName name="FORM7617">[1]A.Div7!#REF!</definedName>
    <definedName name="FORM7618">[1]A.Div7!#REF!</definedName>
    <definedName name="FORM7619">[1]A.Div7!#REF!</definedName>
    <definedName name="FORM7620">[1]A.Div7!#REF!</definedName>
    <definedName name="FORM7621">[1]A.Div7!#REF!</definedName>
    <definedName name="FORM7625">[1]A.Div7!#REF!</definedName>
    <definedName name="FORM7626">[1]A.Div7!#REF!</definedName>
    <definedName name="FORM767">[1]A.Div7!#REF!</definedName>
    <definedName name="FORM768">[1]A.Div7!#REF!</definedName>
    <definedName name="FORM769">[1]A.Div7!#REF!</definedName>
    <definedName name="FORM7694">[63]A.Div7!#REF!</definedName>
    <definedName name="FORM76X">[1]A.Div7!#REF!</definedName>
    <definedName name="FORM771">[1]A.Div7!#REF!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75">[1]A.Div7!#REF!</definedName>
    <definedName name="FORM79">[1]A.Div7!#REF!</definedName>
    <definedName name="FORM79L">[1]A.Div7!#REF!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841">#REF!</definedName>
    <definedName name="FORM8410">#REF!</definedName>
    <definedName name="FORM842">#REF!</definedName>
    <definedName name="FORM843">#REF!</definedName>
    <definedName name="FORM844">#REF!</definedName>
    <definedName name="FORM845">#REF!</definedName>
    <definedName name="FORM846">#REF!</definedName>
    <definedName name="FORM847">#REF!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GEOTEKSTIL">[1]A.Div7!#REF!</definedName>
    <definedName name="FORMLatasirK">#REF!</definedName>
    <definedName name="FORMLatasirKL">#REF!</definedName>
    <definedName name="formm3333">[62]DEV.3!#REF!</definedName>
    <definedName name="FOTO">'[65]FORMAT PM-03'!$A$13:$AF$265</definedName>
    <definedName name="FOTO.3">#REF!</definedName>
    <definedName name="FRRDS">#REF!</definedName>
    <definedName name="fulvimixer">[33]upahbahan!#REF!</definedName>
    <definedName name="g">#REF!</definedName>
    <definedName name="G.ALAT">'[50]DEV.3 Alat'!$AI$48</definedName>
    <definedName name="gal">'[30]an sni'!$M$43</definedName>
    <definedName name="GAL.ALAT">[50]DEV.3!$AI$48</definedName>
    <definedName name="GAL.BIASA">[50]DEV.3!$AI$155</definedName>
    <definedName name="gala">'[38]ANALISA PEKERJAAN 04'!$P$1728</definedName>
    <definedName name="GALB">'[30]ANL-M'!$I$8</definedName>
    <definedName name="galbatu">'[38]ANALISA PEKERJAAN 04'!$P$3566</definedName>
    <definedName name="GALBIS_1">#REF!</definedName>
    <definedName name="GALBIS_2">#REF!</definedName>
    <definedName name="galia.padas">#REF!</definedName>
    <definedName name="galian.tnhbiasa">#REF!</definedName>
    <definedName name="galianalat">#REF!</definedName>
    <definedName name="GALIANBIASA">[66]DEV.3!$W$154</definedName>
    <definedName name="galiandrainase">[33]analisa!$K$96</definedName>
    <definedName name="galianstruk">#REF!</definedName>
    <definedName name="galiantanah">[41]GALIAN!$K$56</definedName>
    <definedName name="galiantanahbiasa">#REF!</definedName>
    <definedName name="galiantnh">'[38]ANALISA PEKERJAAN 04'!$P$2752</definedName>
    <definedName name="galkonts">[41]GAL.KONST!$K$53</definedName>
    <definedName name="galmandor">#REF!</definedName>
    <definedName name="galsaluran">#REF!</definedName>
    <definedName name="GALSEL_1">#REF!</definedName>
    <definedName name="GALSEL_2">#REF!</definedName>
    <definedName name="generatorset">[33]upahbahan!#REF!</definedName>
    <definedName name="GENSET">#REF!</definedName>
    <definedName name="gentengsakuraroof">[3]upah!#REF!</definedName>
    <definedName name="gentengsuryaroof">[3]upah!#REF!</definedName>
    <definedName name="GGHL" hidden="1">[19]RAB!#REF!</definedName>
    <definedName name="gipsum">[3]upah!#REF!</definedName>
    <definedName name="gjnnj">[62]DEV.3!#REF!</definedName>
    <definedName name="GMORTAR">[66]DEI.2!$W$158</definedName>
    <definedName name="gording">'[28]an sni'!$M$400</definedName>
    <definedName name="gordingb">'[28]ANL-M'!$J$663</definedName>
    <definedName name="gorong1">'[38]ANALISA PEKERJAAN 04'!$P$254</definedName>
    <definedName name="GORONG120_1">#REF!</definedName>
    <definedName name="GORONG120_2">#REF!</definedName>
    <definedName name="gorong15">'[38]ANALISA PEKERJAAN 04'!$P$2112</definedName>
    <definedName name="GORONG2">'[38]ANALISA PEKERJAAN 04'!$P$2176</definedName>
    <definedName name="GORONG75_1">#REF!</definedName>
    <definedName name="GORONG75_2">#REF!</definedName>
    <definedName name="gra">#REF!</definedName>
    <definedName name="GRADER">#REF!</definedName>
    <definedName name="GRAVEL">#REF!</definedName>
    <definedName name="greder">'[41]h-alat'!$H$11</definedName>
    <definedName name="Grend.Jendela">#REF!</definedName>
    <definedName name="grendel">#REF!</definedName>
    <definedName name="grendeljendela">[3]upah!$H$82</definedName>
    <definedName name="grendelpintu">[3]upah!$H$91</definedName>
    <definedName name="gtt" hidden="1">{#N/A,#N/A,FALSE,"REK";#N/A,#N/A,FALSE,"rab"}</definedName>
    <definedName name="GUNUNG">#REF!</definedName>
    <definedName name="H.meridien">#REF!</definedName>
    <definedName name="HakAngin">#REF!</definedName>
    <definedName name="halaman">#REF!</definedName>
    <definedName name="Halogen20">#REF!</definedName>
    <definedName name="hamdan">#REF!</definedName>
    <definedName name="hampar">'[38]ANALISA PEKERJAAN 04'!$P$1280</definedName>
    <definedName name="HARGA">#REF!</definedName>
    <definedName name="HEKTO_1">#REF!</definedName>
    <definedName name="HEKTO_2">#REF!</definedName>
    <definedName name="Hello">#N/A</definedName>
    <definedName name="hengseljendela">[3]upah!$H$80</definedName>
    <definedName name="hengselpintu">[3]upah!$H$79</definedName>
    <definedName name="hsd">'[67]DIV 5 6'!#REF!</definedName>
    <definedName name="HU">'[68]ANAL-'!#REF!</definedName>
    <definedName name="i">[69]Div2!$B$2:$L$67</definedName>
    <definedName name="ii">[3]rab!#REF!</definedName>
    <definedName name="iii">[3]rab!#REF!</definedName>
    <definedName name="ijuk">[3]upah!#REF!</definedName>
    <definedName name="inslistrik">[27]uba!$H$79</definedName>
    <definedName name="iv">[3]rab!#REF!</definedName>
    <definedName name="ix">[3]rab!#REF!</definedName>
    <definedName name="J">#REF!</definedName>
    <definedName name="JAB">[58]FAK!$B$15</definedName>
    <definedName name="JABTN">[34]DATABASE!$C$24:$E$54</definedName>
    <definedName name="jack">#REF!</definedName>
    <definedName name="jackhammer">[33]upahbahan!#REF!</definedName>
    <definedName name="JADWAL_BAR">[13]RAB!#REF!</definedName>
    <definedName name="JADWAL_S">[13]RAB!#REF!</definedName>
    <definedName name="jasbasah">#REF!</definedName>
    <definedName name="jasbent">#REF!</definedName>
    <definedName name="jasbersih">#REF!</definedName>
    <definedName name="jasdprd">#REF!</definedName>
    <definedName name="jasdufa">#REF!</definedName>
    <definedName name="jasjalan">#REF!</definedName>
    <definedName name="jaslab">#REF!</definedName>
    <definedName name="jasland">#REF!</definedName>
    <definedName name="jasmayau">#REF!</definedName>
    <definedName name="jasmeet">#REF!</definedName>
    <definedName name="jasmesjid">#REF!</definedName>
    <definedName name="jasmus">#REF!</definedName>
    <definedName name="jasp2p">#REF!</definedName>
    <definedName name="jaspagar">#REF!</definedName>
    <definedName name="jaspendopo">#REF!</definedName>
    <definedName name="jaspkp">#REF!</definedName>
    <definedName name="jasplp">#REF!</definedName>
    <definedName name="jasppab">#REF!</definedName>
    <definedName name="jaspsrbas">#REF!</definedName>
    <definedName name="jaspsrr">#REF!</definedName>
    <definedName name="jasres">#REF!</definedName>
    <definedName name="jassal">#REF!</definedName>
    <definedName name="jassport">#REF!</definedName>
    <definedName name="jastoilet">#REF!</definedName>
    <definedName name="jaswar">#REF!</definedName>
    <definedName name="JBTAN">[34]DATABASE!$C$24:$J$54</definedName>
    <definedName name="jessi">#REF!</definedName>
    <definedName name="jkjkjk">#REF!</definedName>
    <definedName name="JL_NAS">#REF!</definedName>
    <definedName name="JOE">#REF!</definedName>
    <definedName name="JPEMBA">[13]RAB!#REF!</definedName>
    <definedName name="JPENING">[13]RAB!#REF!</definedName>
    <definedName name="juf">#REF!</definedName>
    <definedName name="jumlah">[33]rekap!$G$51</definedName>
    <definedName name="K">#REF!</definedName>
    <definedName name="K_125_1">#REF!</definedName>
    <definedName name="K_125_2">#REF!</definedName>
    <definedName name="K_175_1">#REF!</definedName>
    <definedName name="K_175_2">#REF!</definedName>
    <definedName name="K_175_3">#REF!</definedName>
    <definedName name="K_175_4">#REF!</definedName>
    <definedName name="K_225_1">#REF!</definedName>
    <definedName name="K_225_2">#REF!</definedName>
    <definedName name="K_275_1">#REF!</definedName>
    <definedName name="K_275_2">#REF!</definedName>
    <definedName name="K_350_1">#REF!</definedName>
    <definedName name="K_350_2">#REF!</definedName>
    <definedName name="KABEL">#REF!</definedName>
    <definedName name="Kaca_polos_4_5_mm">[44]Harga!$F$58</definedName>
    <definedName name="KacaBuram3">#REF!</definedName>
    <definedName name="kacapolos">[3]upah!$H$94</definedName>
    <definedName name="KacaRayben5">#REF!</definedName>
    <definedName name="kaitangin">[3]upah!$H$93</definedName>
    <definedName name="kalami">[64]DEI.2!#REF!</definedName>
    <definedName name="kalipgr">'[30]ANL-M'!$J$130</definedName>
    <definedName name="kanjalan">#REF!</definedName>
    <definedName name="kanp2p">#REF!</definedName>
    <definedName name="kanpkp">#REF!</definedName>
    <definedName name="kanplp">#REF!</definedName>
    <definedName name="kanppab">#REF!</definedName>
    <definedName name="kantor">#REF!</definedName>
    <definedName name="KAP2B">'[28]ANL-M'!$J$637</definedName>
    <definedName name="kapur">[3]upah!$H$102</definedName>
    <definedName name="karetelastomer">'[41]s-jadi (2)'!$H$114</definedName>
    <definedName name="kasar">'[70]upah-bahan'!$I$30</definedName>
    <definedName name="KASARHALUS">#REF!</definedName>
    <definedName name="Kasau5.7">#REF!</definedName>
    <definedName name="kawat">#REF!</definedName>
    <definedName name="Kawat_Beton">[44]Harga!$F$33</definedName>
    <definedName name="kawatbeton">[3]upah!$H$60</definedName>
    <definedName name="kawatbronjong">[33]upahbahan!#REF!</definedName>
    <definedName name="KawatDuri">#REF!</definedName>
    <definedName name="kawatlas">#REF!</definedName>
    <definedName name="Kayu_Campur">'[71]Upah &amp; Bahan '!$G$26</definedName>
    <definedName name="Kayu_kls_II">[44]Harga!$F$26</definedName>
    <definedName name="Kayu_kls_III">[44]Harga!$F$27</definedName>
    <definedName name="kayuacuan">'[41]h-bhn'!$H$32</definedName>
    <definedName name="kayubakar">[33]upahbahan!#REF!</definedName>
    <definedName name="kayubesi">[3]upah!#REF!</definedName>
    <definedName name="kayukalsIII">'[41]h-bhn'!$H$38</definedName>
    <definedName name="kayukelasiii">[33]upahbahan!#REF!</definedName>
    <definedName name="kayuklasII">'[41]h-bhn'!$H$42</definedName>
    <definedName name="kayuklasiii">[3]upah!$H$62</definedName>
    <definedName name="kayuklasiii57">[3]upah!#REF!</definedName>
    <definedName name="kayuklsii57">[3]upah!#REF!</definedName>
    <definedName name="kayuprofilsp1">[3]upah!#REF!</definedName>
    <definedName name="kayuprofilsp3">[3]upah!$H$77</definedName>
    <definedName name="kayuprofilsp7">[3]upah!#REF!</definedName>
    <definedName name="kcp">[72]DEV.iiii6!#REF!</definedName>
    <definedName name="Kegiatan">#REF!</definedName>
    <definedName name="KELASC">'[59]DEV.5 '!$W$377</definedName>
    <definedName name="KEPALA">[13]RAB!$A$30:$H$33</definedName>
    <definedName name="Kepala_Tukang">'[71]Upah &amp; Bahan '!$G$47</definedName>
    <definedName name="KEPALATUK">#REF!</definedName>
    <definedName name="kepalatukang">[3]upah!$H$25</definedName>
    <definedName name="keptuk">#REF!</definedName>
    <definedName name="Keramik_20x20">[44]Harga!$F$44</definedName>
    <definedName name="Keramik_20x20_Kulit_jeruk">[44]Harga!$F$43</definedName>
    <definedName name="Keramik_30x30">[44]Harga!$F$45</definedName>
    <definedName name="Keramik20.20">#REF!</definedName>
    <definedName name="Keramik25.25">#REF!</definedName>
    <definedName name="keramik30">'[38]ANALISA PEKERJAAN 04'!$P$3690</definedName>
    <definedName name="Keramik30.30">#REF!</definedName>
    <definedName name="Keramik40.40">#REF!</definedName>
    <definedName name="kerikil">[3]upah!$H$57</definedName>
    <definedName name="kerikilhalus">#REF!</definedName>
    <definedName name="kerikilhamparhalus">#REF!</definedName>
    <definedName name="kerikilkasar">#REF!</definedName>
    <definedName name="kerikilroyalty">'[41]h-bhn'!$H$11</definedName>
    <definedName name="kerikilsungai">'[41]h-bhn'!$H$11</definedName>
    <definedName name="kerilpecahtrsA">'[41]K-017'!$K$59</definedName>
    <definedName name="KILO_1">#REF!</definedName>
    <definedName name="KILO_2">#REF!</definedName>
    <definedName name="kjcytk">[62]DEI.2!#REF!</definedName>
    <definedName name="kk">#REF!</definedName>
    <definedName name="KK020M">#REF!</definedName>
    <definedName name="KK020T">#REF!</definedName>
    <definedName name="KK224M">#REF!</definedName>
    <definedName name="KK225M">#REF!</definedName>
    <definedName name="KK321M">#REF!</definedName>
    <definedName name="KK722M">#REF!</definedName>
    <definedName name="KK901M">#REF!</definedName>
    <definedName name="KK903M">#REF!</definedName>
    <definedName name="KK904M">#REF!</definedName>
    <definedName name="KLAS_A1">#REF!</definedName>
    <definedName name="KLAS_A2">#REF!</definedName>
    <definedName name="KLAS_A3">#REF!</definedName>
    <definedName name="KLAS_B1">#REF!</definedName>
    <definedName name="KLAS_B2">#REF!</definedName>
    <definedName name="KLAS_B3">#REF!</definedName>
    <definedName name="kloset">[3]upah!#REF!</definedName>
    <definedName name="klosetduduk">[3]upah!#REF!</definedName>
    <definedName name="klosettoto">[3]upah!#REF!</definedName>
    <definedName name="komdprd">#REF!</definedName>
    <definedName name="komlab">#REF!</definedName>
    <definedName name="kommesjid">#REF!</definedName>
    <definedName name="komp2p">#REF!</definedName>
    <definedName name="komplp">#REF!</definedName>
    <definedName name="komppab">#REF!</definedName>
    <definedName name="kompsrr">#REF!</definedName>
    <definedName name="komsport">#REF!</definedName>
    <definedName name="komubent">#REF!</definedName>
    <definedName name="komujalan">#REF!</definedName>
    <definedName name="komumeet">#REF!</definedName>
    <definedName name="komumesjid">#REF!</definedName>
    <definedName name="komupendopo">#REF!</definedName>
    <definedName name="komupkp">#REF!</definedName>
    <definedName name="komupsrbas">#REF!</definedName>
    <definedName name="komusport">#REF!</definedName>
    <definedName name="konektor">'[6]RAB MEK 15 M MB '!#REF!</definedName>
    <definedName name="konstjalan">#REF!</definedName>
    <definedName name="konstpkp">#REF!</definedName>
    <definedName name="kontrak">#REF!</definedName>
    <definedName name="KOP">'[73]Canal malanu'!$C$4</definedName>
    <definedName name="koreksi" hidden="1">{#N/A,#N/A,FALSE,"REK";#N/A,#N/A,FALSE,"Bq-ARS"}</definedName>
    <definedName name="kosen">'[28]an sni'!$M$318</definedName>
    <definedName name="kosenb">'[28]ANL-M'!$J$504</definedName>
    <definedName name="kosonga">'[38]ANALISA PEKERJAAN 04'!$P$3003</definedName>
    <definedName name="KOTA">#REF!</definedName>
    <definedName name="KPB">'[54]data KPB'!$B$9:$F$145</definedName>
    <definedName name="kranair">[3]upah!#REF!</definedName>
    <definedName name="kraser">'[41]h-alat'!$H$12</definedName>
    <definedName name="krlsgaitaksaringA">'[41]K-012'!$K$49</definedName>
    <definedName name="krlsungai">'[41]h-bhn'!$H$14</definedName>
    <definedName name="krlsungairoyalty">'[41]h-bhn'!$H$11</definedName>
    <definedName name="krlsungaitrsA">'[41]K-016'!$K$53</definedName>
    <definedName name="krltaktersaringM">'[41]K-013'!$K$49</definedName>
    <definedName name="kt">[74]BU!$E$6</definedName>
    <definedName name="KUANTITAS">'[10]Kuantitas &amp; Harga'!$B$3:$J$470</definedName>
    <definedName name="Kuas">#REF!</definedName>
    <definedName name="KUITANSI">#REF!</definedName>
    <definedName name="KUITANSI2">#REF!</definedName>
    <definedName name="kunci">[3]upah!$H$78</definedName>
    <definedName name="kunci2">#REF!</definedName>
    <definedName name="KunciPintu">#REF!</definedName>
    <definedName name="kuncisedang">[3]upah!#REF!</definedName>
    <definedName name="Kurs">#REF!</definedName>
    <definedName name="kwas">'[41]h-bhn'!$H$40</definedName>
    <definedName name="Ky.Mangi">#REF!</definedName>
    <definedName name="KyBesi5.10">#REF!</definedName>
    <definedName name="kyBesi6.12">#REF!</definedName>
    <definedName name="kyBesy10.10">#REF!</definedName>
    <definedName name="kyklasii35">[3]upah!#REF!</definedName>
    <definedName name="KyLamberser">#REF!</definedName>
    <definedName name="KyLombo">[7]BAHAN!$I$23</definedName>
    <definedName name="KyMangi">#REF!</definedName>
    <definedName name="l6_2_1">#REF!</definedName>
    <definedName name="l6_2_2">#REF!</definedName>
    <definedName name="l6_3_5a">#REF!</definedName>
    <definedName name="l6_4_0">#REF!</definedName>
    <definedName name="LAB">#REF!</definedName>
    <definedName name="lain">#REF!</definedName>
    <definedName name="lain1">#REF!</definedName>
    <definedName name="lain10">#REF!</definedName>
    <definedName name="lain2">#REF!</definedName>
    <definedName name="lain3">#REF!</definedName>
    <definedName name="lain4">#REF!</definedName>
    <definedName name="lain5">#REF!</definedName>
    <definedName name="lain6">#REF!</definedName>
    <definedName name="lain7">#REF!</definedName>
    <definedName name="lain8">#REF!</definedName>
    <definedName name="lain9">#REF!</definedName>
    <definedName name="LAINLAIN">'[10]Kuantitas &amp; Harga'!$B$371:$J$409</definedName>
    <definedName name="Lambrisering">[44]Harga!#REF!</definedName>
    <definedName name="LAMPU">#REF!</definedName>
    <definedName name="lampupijar">[3]upah!#REF!</definedName>
    <definedName name="lampurm">#REF!</definedName>
    <definedName name="lamputl">[3]upah!#REF!</definedName>
    <definedName name="lampuxl">[3]upah!#REF!</definedName>
    <definedName name="lantaikayu">'[41]lti-gelagar kayu'!$K$56</definedName>
    <definedName name="LAP.BULANAN">{"Book1","MC 0 DAN RABP PAGAR 2006 TERMYN 3-3.xls","MC 0 DAN RABP PAGAR 2006 TERMYN 2.xls"}</definedName>
    <definedName name="lapen">'[38]ANALISA PEKERJAAN 04'!$P$510</definedName>
    <definedName name="lapen3cm">'[41]lapen-3'!$K$60</definedName>
    <definedName name="lapen5cm">'[41]lapen-5'!$K$60</definedName>
    <definedName name="lapenkerikil">'[41]lapen-krl'!$K$60</definedName>
    <definedName name="lapis.agg.klasB">#REF!</definedName>
    <definedName name="lapisaggr.klasA">#REF!</definedName>
    <definedName name="laston.3">#REF!</definedName>
    <definedName name="laston.m2">#REF!</definedName>
    <definedName name="layan">'[38]ANALISA PEKERJAAN 04'!$P$3628</definedName>
    <definedName name="lem">#REF!</definedName>
    <definedName name="lemarijalan">#REF!</definedName>
    <definedName name="lemarilab">#REF!</definedName>
    <definedName name="lemariwar">#REF!</definedName>
    <definedName name="lembarsering">[3]upah!#REF!</definedName>
    <definedName name="LemFox">#REF!</definedName>
    <definedName name="lemgipsum">[3]upah!#REF!</definedName>
    <definedName name="lemkayu">[3]upah!#REF!</definedName>
    <definedName name="LemPVC">#REF!</definedName>
    <definedName name="lia">#REF!</definedName>
    <definedName name="LIFT">#REF!</definedName>
    <definedName name="List_KabupatenKota">#REF!</definedName>
    <definedName name="List_KabupatenKota_Kecamatan">#REF!</definedName>
    <definedName name="List_KecamatanKode">#REF!</definedName>
    <definedName name="List_KecamatanKode_Kelurahan">#REF!</definedName>
    <definedName name="listplafond">[3]upah!#REF!</definedName>
    <definedName name="ListPropil4">#REF!</definedName>
    <definedName name="listrik">#REF!</definedName>
    <definedName name="LmpPijar40">#REF!</definedName>
    <definedName name="LmpPijar60">#REF!</definedName>
    <definedName name="LmpTL2.40">#REF!</definedName>
    <definedName name="loader">'[41]h-alat'!$H$13</definedName>
    <definedName name="lokal1">#REF!</definedName>
    <definedName name="lokal10">#REF!</definedName>
    <definedName name="lokal11">#REF!</definedName>
    <definedName name="lokal12">#REF!</definedName>
    <definedName name="lokal13">#REF!</definedName>
    <definedName name="lokal14">#REF!</definedName>
    <definedName name="lokal15">#REF!</definedName>
    <definedName name="lokal16">#REF!</definedName>
    <definedName name="lokal17">#REF!</definedName>
    <definedName name="lokal18">#REF!</definedName>
    <definedName name="lokal19">#REF!</definedName>
    <definedName name="lokal2">#REF!</definedName>
    <definedName name="Lokal20">#REF!</definedName>
    <definedName name="lokal3">#REF!</definedName>
    <definedName name="lokal4">#REF!</definedName>
    <definedName name="lokal5">#REF!</definedName>
    <definedName name="lokal6">#REF!</definedName>
    <definedName name="lokal7">#REF!</definedName>
    <definedName name="lokal8">#REF!</definedName>
    <definedName name="lokal9">#REF!</definedName>
    <definedName name="Lokasi">[34]DATABASE!$C$24:$R$54</definedName>
    <definedName name="LOKASI2">#REF!</definedName>
    <definedName name="LOKASI3">#REF!</definedName>
    <definedName name="lpaklasa">'[41]LPA KLAS A'!$K$56</definedName>
    <definedName name="lpaklasb">'[41]LPA-KLAS B'!$K$55</definedName>
    <definedName name="lpbklasc">'[41]LPB KLAS C'!$K$56</definedName>
    <definedName name="m">[16]RAB!#REF!</definedName>
    <definedName name="m.3">#REF!</definedName>
    <definedName name="m6_2_1">#REF!</definedName>
    <definedName name="m6_2_2">#REF!</definedName>
    <definedName name="m6_3_5a">#REF!</definedName>
    <definedName name="m6_4_0">#REF!</definedName>
    <definedName name="MACADAM">[66]DEV.6!$W$1107</definedName>
    <definedName name="makbent">#REF!</definedName>
    <definedName name="makjalan">#REF!</definedName>
    <definedName name="makp2p">#REF!</definedName>
    <definedName name="makpkp">#REF!</definedName>
    <definedName name="makplp">#REF!</definedName>
    <definedName name="makppab">#REF!</definedName>
    <definedName name="makpsrbas">#REF!</definedName>
    <definedName name="mall">#REF!</definedName>
    <definedName name="mallbalok">[27]anal!#REF!</definedName>
    <definedName name="mallkolom">[27]anal!$K$892</definedName>
    <definedName name="mallpon">[27]anal!$K$868</definedName>
    <definedName name="mallslof">[27]anal!$K$915</definedName>
    <definedName name="man">#REF!</definedName>
    <definedName name="mandor">[3]upah!$H$23</definedName>
    <definedName name="MANE">#REF!</definedName>
    <definedName name="MANEK">#REF!</definedName>
    <definedName name="MANES">#REF!</definedName>
    <definedName name="mangdprd">#REF!</definedName>
    <definedName name="mangmesjid">#REF!</definedName>
    <definedName name="mangp2p">#REF!</definedName>
    <definedName name="mangpkp">#REF!</definedName>
    <definedName name="mangplp">#REF!</definedName>
    <definedName name="mangppab">#REF!</definedName>
    <definedName name="MARKA_1">#REF!</definedName>
    <definedName name="MARKA_2">#REF!</definedName>
    <definedName name="markajalan">#REF!</definedName>
    <definedName name="MARNES">#REF!</definedName>
    <definedName name="MASTER">#REF!</definedName>
    <definedName name="matakran">#REF!</definedName>
    <definedName name="matbasah">#REF!</definedName>
    <definedName name="matbent">#REF!</definedName>
    <definedName name="matbersih">#REF!</definedName>
    <definedName name="matdprd">#REF!</definedName>
    <definedName name="matdufa">#REF!</definedName>
    <definedName name="MATERIAL">#REF!</definedName>
    <definedName name="materialpilihan">[33]upahbahan!$G$120</definedName>
    <definedName name="matjalan">#REF!</definedName>
    <definedName name="matlab">#REF!</definedName>
    <definedName name="matland">#REF!</definedName>
    <definedName name="matmayau">#REF!</definedName>
    <definedName name="matmeet">#REF!</definedName>
    <definedName name="matmesjid">#REF!</definedName>
    <definedName name="matmus">#REF!</definedName>
    <definedName name="matp2p">#REF!</definedName>
    <definedName name="matpagar">#REF!</definedName>
    <definedName name="matpendopo">#REF!</definedName>
    <definedName name="matpkp">#REF!</definedName>
    <definedName name="matplp">#REF!</definedName>
    <definedName name="matppab">#REF!</definedName>
    <definedName name="matpsrbas">#REF!</definedName>
    <definedName name="matpsrr">#REF!</definedName>
    <definedName name="matres">#REF!</definedName>
    <definedName name="matsal">#REF!</definedName>
    <definedName name="matsport">#REF!</definedName>
    <definedName name="mattoilet">#REF!</definedName>
    <definedName name="MATV">#REF!</definedName>
    <definedName name="matwar">#REF!</definedName>
    <definedName name="MAYAU">#REF!</definedName>
    <definedName name="mbasah">#REF!</definedName>
    <definedName name="mbent">#REF!</definedName>
    <definedName name="mbent2">#REF!</definedName>
    <definedName name="mbersih">#REF!</definedName>
    <definedName name="mclear">#REF!</definedName>
    <definedName name="md">#REF!</definedName>
    <definedName name="mdprd">#REF!</definedName>
    <definedName name="mdprd2">[75]PSAP!$S$558</definedName>
    <definedName name="mdufa">#REF!</definedName>
    <definedName name="mejajalan">#REF!</definedName>
    <definedName name="mejalab">#REF!</definedName>
    <definedName name="mejap2p">#REF!</definedName>
    <definedName name="mejawar">#REF!</definedName>
    <definedName name="mekanik">[33]upahbahan!$G$31</definedName>
    <definedName name="MEKANIKAL">#REF!</definedName>
    <definedName name="meng">[3]rab!$B$166</definedName>
    <definedName name="meni">#REF!</definedName>
    <definedName name="MeniBesi">#REF!</definedName>
    <definedName name="MeniKayu">#REF!</definedName>
    <definedName name="MENUBOQ">[13]RAB!#REF!</definedName>
    <definedName name="Meny_Besi">[44]Harga!$F$63</definedName>
    <definedName name="menyiram">[27]anal!$K$930</definedName>
    <definedName name="meridien">#REF!</definedName>
    <definedName name="mesingilasIIIroda">'[41]h-alat'!$H$17</definedName>
    <definedName name="mesinlas">#REF!</definedName>
    <definedName name="metro">#REF!</definedName>
    <definedName name="metrolite">[3]upah!$H$104</definedName>
    <definedName name="mhgm">[62]DEV.3!#REF!</definedName>
    <definedName name="MINOR">'[10]Kuantitas &amp; Harga'!$B$304:$J$307</definedName>
    <definedName name="Minyak_Cat">[44]Harga!$F$62</definedName>
    <definedName name="minyakbakar">'[41]h-bhn'!$H$25</definedName>
    <definedName name="minyakbekisting">[3]upah!$H$109</definedName>
    <definedName name="minyakcat">[3]upah!$H$108</definedName>
    <definedName name="minyaktanah">[33]upahbahan!#REF!</definedName>
    <definedName name="mixer">#REF!</definedName>
    <definedName name="mjalan">#REF!</definedName>
    <definedName name="mkanp2p">#REF!</definedName>
    <definedName name="mlab">#REF!</definedName>
    <definedName name="mlabdufa">#REF!</definedName>
    <definedName name="mland">#REF!</definedName>
    <definedName name="MM080Z">#REF!</definedName>
    <definedName name="MM12a">'[29]Dhs 6'!#REF!</definedName>
    <definedName name="MM12b">'[29]Dhs 6'!#REF!</definedName>
    <definedName name="mmayau">#REF!</definedName>
    <definedName name="mmeet">#REF!</definedName>
    <definedName name="mmesjid">#REF!</definedName>
    <definedName name="MMM12A">'[29]Dhs 6'!#REF!</definedName>
    <definedName name="MMM12B">'[29]Dhs 6'!#REF!</definedName>
    <definedName name="MMM17A">#REF!</definedName>
    <definedName name="MMM35A">#REF!</definedName>
    <definedName name="MMMX">'[29]Dhs 6'!#REF!</definedName>
    <definedName name="mmus">#REF!</definedName>
    <definedName name="MOBILISASI">'[10]Kuantitas &amp; Harga'!$B$16:$J$29</definedName>
    <definedName name="molen025">'[41]h-alat'!$H$30</definedName>
    <definedName name="molen050">'[41]h-alat'!$H$31</definedName>
    <definedName name="mortal">#REF!</definedName>
    <definedName name="MORTAR">[66]DEI.2!$W$247</definedName>
    <definedName name="MOTOBOI">#REF!</definedName>
    <definedName name="motorgrader">[33]upahbahan!$G$72</definedName>
    <definedName name="mowilex">#REF!</definedName>
    <definedName name="mp2p">#REF!</definedName>
    <definedName name="mpagar">#REF!</definedName>
    <definedName name="mpendopo">#REF!</definedName>
    <definedName name="mpkp">#REF!</definedName>
    <definedName name="mplp">#REF!</definedName>
    <definedName name="mppab">#REF!</definedName>
    <definedName name="mpsrbas">#REF!</definedName>
    <definedName name="mpsrbas2">#REF!</definedName>
    <definedName name="mpsrr">#REF!</definedName>
    <definedName name="mres">#REF!</definedName>
    <definedName name="msal">#REF!</definedName>
    <definedName name="msport">#REF!</definedName>
    <definedName name="mtasbaq">#REF!</definedName>
    <definedName name="mtoilet">#REF!</definedName>
    <definedName name="MurBaut14">#REF!</definedName>
    <definedName name="mwar">#REF!</definedName>
    <definedName name="myhm">[62]DEV.3!$O$168:$Z$228</definedName>
    <definedName name="MykCatThinner">#REF!</definedName>
    <definedName name="NAMA">[34]DATABASE!$C$24:$D$54</definedName>
    <definedName name="namadirektur">[33]OUTPUT!$A$5</definedName>
    <definedName name="namateknik">[43]RAB!$F$90</definedName>
    <definedName name="nanadirektur">[33]OUTPUT!$A$5</definedName>
    <definedName name="nantu">#REF!</definedName>
    <definedName name="NE">#REF!</definedName>
    <definedName name="NEW">'[48]DATA BASE PER DESA-KELURAHAN'!$A$6:$BF$115</definedName>
    <definedName name="NILAIKON">[34]DATABASE!$C$24:$M$54</definedName>
    <definedName name="NMABESAR">[34]DATABASE!$C$24:$I$54</definedName>
    <definedName name="NNN">#REF!</definedName>
    <definedName name="no">#REF!</definedName>
    <definedName name="nokgentangsuryaroof">[3]upah!#REF!</definedName>
    <definedName name="nokgenteng">[3]upah!#REF!</definedName>
    <definedName name="NokMetal">#REF!</definedName>
    <definedName name="NOKONTRAK">[34]DATABASE!$C$24:$N$54</definedName>
    <definedName name="NOMOR">[34]DATABASE!$C$24:$C$54</definedName>
    <definedName name="non60a">#REF!</definedName>
    <definedName name="non60b">#REF!</definedName>
    <definedName name="o">#REF!</definedName>
    <definedName name="Oker">#REF!</definedName>
    <definedName name="operator">[33]upahbahan!$G$28</definedName>
    <definedName name="oprsemiterlatih">'[41]h-tenaga'!$H$16</definedName>
    <definedName name="ORG_HARI">#REF!</definedName>
    <definedName name="org.hari">#N/A</definedName>
    <definedName name="OVERHEAD">#REF!</definedName>
    <definedName name="P">'[76]INPUT HARGA'!$F$25</definedName>
    <definedName name="pabrik">[77]PABRIK!$B$4:$B$162</definedName>
    <definedName name="pabrik1">[77]PABRIK!$B$4:$F$162</definedName>
    <definedName name="pacthing">[41]PACTHING!$K$58</definedName>
    <definedName name="padatgrg">'[41]PADAT-GRG'!$K$53</definedName>
    <definedName name="PAKET">[34]DATABASE!$C$24:$G$54</definedName>
    <definedName name="paku">[3]upah!$H$63</definedName>
    <definedName name="Paku_Seng">[44]Harga!$F$35</definedName>
    <definedName name="Paku_Triplex">[44]Harga!$F$36</definedName>
    <definedName name="PakuBeton">#REF!</definedName>
    <definedName name="PakuBiasa4.15">[7]BAHAN!$I$62</definedName>
    <definedName name="pakugenteng">[3]upah!#REF!</definedName>
    <definedName name="pakugipsum">[3]upah!#REF!</definedName>
    <definedName name="PakuSekrup">#REF!</definedName>
    <definedName name="pakuseng">[3]upah!$H$65</definedName>
    <definedName name="pakutrip">#REF!</definedName>
    <definedName name="PakuTriplek2.3">#REF!</definedName>
    <definedName name="pakutripleks">[3]upah!$H$64</definedName>
    <definedName name="PAN">#REF!</definedName>
    <definedName name="panelgipsum">[3]upah!#REF!</definedName>
    <definedName name="pangdprd">#REF!</definedName>
    <definedName name="pangdufa">#REF!</definedName>
    <definedName name="pangjalan">#REF!</definedName>
    <definedName name="pangmayau">#REF!</definedName>
    <definedName name="pangmesjid">#REF!</definedName>
    <definedName name="pangp2p">#REF!</definedName>
    <definedName name="pangpkp">#REF!</definedName>
    <definedName name="pangplp">#REF!</definedName>
    <definedName name="pangpsrbas">#REF!</definedName>
    <definedName name="pangpsrr">#REF!</definedName>
    <definedName name="pangsport">#REF!</definedName>
    <definedName name="panjangtarget">#REF!</definedName>
    <definedName name="papancempaka">[3]upah!$H$70</definedName>
    <definedName name="papanklasII">'[41]h-bhn'!$H$43</definedName>
    <definedName name="papanKyBesi3">#REF!</definedName>
    <definedName name="PapanKyBesi4">#REF!</definedName>
    <definedName name="papankyklsiii">[43]upah!$H$63</definedName>
    <definedName name="papanlambers">#REF!</definedName>
    <definedName name="papanlinggua">[3]upah!#REF!</definedName>
    <definedName name="papanLinggua4">#REF!</definedName>
    <definedName name="parit">'[38]ANALISA PEKERJAAN 04'!$P$574</definedName>
    <definedName name="paritA">'[41]PARIT-A'!$K$56</definedName>
    <definedName name="paritM">'[41]PARIT-samping'!$K$54</definedName>
    <definedName name="paritsampingM">'[41]PARIT-samping'!$K$54</definedName>
    <definedName name="PAS.BATU">'[66]DEVI 7'!$X$537</definedName>
    <definedName name="pas.batudnmortar">#REF!</definedName>
    <definedName name="pasang.bt.adukan">#REF!</definedName>
    <definedName name="pasanganbatu">[33]analisa!$K$155</definedName>
    <definedName name="PASBATAK_1">#REF!</definedName>
    <definedName name="PASBATAK_2">#REF!</definedName>
    <definedName name="PASBATMOR_1">#REF!</definedName>
    <definedName name="PASBATMOR_2">#REF!</definedName>
    <definedName name="pasbatu">'[38]ANALISA PEKERJAAN 04'!$P$832</definedName>
    <definedName name="pasbatuparit">'[41]PAS-B-Parit'!$K$58</definedName>
    <definedName name="pasbttuk">#REF!</definedName>
    <definedName name="PASIR">#REF!</definedName>
    <definedName name="PASIR_BETON">[78]HARGA!$F$41</definedName>
    <definedName name="PASIR_PASANG">[78]HARGA!$F$38</definedName>
    <definedName name="Pasir_urug">[44]Harga!$F$19</definedName>
    <definedName name="pasirbeton">'[41]h-bhn'!$H$21</definedName>
    <definedName name="pasirkasar">[33]upahbahan!$G$122</definedName>
    <definedName name="pasirpas">#REF!</definedName>
    <definedName name="pasirpasang">[3]upah!$H$53</definedName>
    <definedName name="pasirplester">#REF!</definedName>
    <definedName name="pasirur">#REF!</definedName>
    <definedName name="PASIRURUG">#REF!</definedName>
    <definedName name="paskosong">'[28]an sni'!$M$87</definedName>
    <definedName name="PASKOSONGB">'[28]ANL-M'!$J$91</definedName>
    <definedName name="PASMORTAR">[50]DEI.2!$W$247</definedName>
    <definedName name="patokpengarah">#REF!</definedName>
    <definedName name="pav">#REF!</definedName>
    <definedName name="PavBlok">#REF!</definedName>
    <definedName name="paving">#REF!</definedName>
    <definedName name="pavstone">#REF!</definedName>
    <definedName name="pay6_2_1">#REF!</definedName>
    <definedName name="pay6_2_2">#REF!</definedName>
    <definedName name="pay6_3_5a">#REF!</definedName>
    <definedName name="pay6_4_0">#REF!</definedName>
    <definedName name="PBJ">[50]DEV.3!$AI$343</definedName>
    <definedName name="PBJALAN">[66]DEV.3!$W$453</definedName>
    <definedName name="pc">#REF!</definedName>
    <definedName name="PC_1">#REF!</definedName>
    <definedName name="PC_2">#REF!</definedName>
    <definedName name="pedestarianroller">[33]upahbahan!$G$77</definedName>
    <definedName name="PEDESTRIANROLLER">#REF!</definedName>
    <definedName name="pek">#REF!</definedName>
    <definedName name="pekerja">[3]upah!$H$21</definedName>
    <definedName name="PEKERJAAN">#REF!</definedName>
    <definedName name="pelumas">'[41]h-bhn'!$H$35</definedName>
    <definedName name="pemb.mekanik">'[41]h-tenaga'!$H$12</definedName>
    <definedName name="PEMB.SAL">[50]DEI.2!$Z$439</definedName>
    <definedName name="pembantumekanik">[33]upahbahan!$G$32</definedName>
    <definedName name="pembantuoperator">[33]upahbahan!$G$29</definedName>
    <definedName name="pembantuopr">'[41]h-tenaga'!$H$17</definedName>
    <definedName name="pembantusopir">'[41]h-tenaga'!$H$20</definedName>
    <definedName name="pembantusupir">#REF!</definedName>
    <definedName name="pembesian">'[38]ANALISA PEKERJAAN 04'!$P$318</definedName>
    <definedName name="Pembongkaran">#REF!</definedName>
    <definedName name="PEMBOPERATOR">#REF!</definedName>
    <definedName name="PEMBSOPIR">#REF!</definedName>
    <definedName name="PENGARAH_1">#REF!</definedName>
    <definedName name="PENGARAH_2">#REF!</definedName>
    <definedName name="pengecetan">[41]PENGECETAN!$K$59</definedName>
    <definedName name="penghampar">'[41]h-alat'!$H$16</definedName>
    <definedName name="penguk2">'[79]ANAL-'!#REF!</definedName>
    <definedName name="penjalan">#REF!</definedName>
    <definedName name="penp2p">#REF!</definedName>
    <definedName name="penpkp">#REF!</definedName>
    <definedName name="PERALATAN">'[29]Dhs 6'!#REF!</definedName>
    <definedName name="perancah">[41]PERANCAH!$K$56</definedName>
    <definedName name="persiapan">#REF!</definedName>
    <definedName name="petenglampu">[3]upah!$H$98</definedName>
    <definedName name="PewarnaImpra">#REF!</definedName>
    <definedName name="PhnPelindung">#REF!</definedName>
    <definedName name="Pijar15">#REF!</definedName>
    <definedName name="Pijar40">#REF!</definedName>
    <definedName name="pintufiber">[3]upah!#REF!</definedName>
    <definedName name="pipabajabergelombang">[33]upahbahan!#REF!</definedName>
    <definedName name="pipadrainase">'[41]s-jadi (2)'!$H$118</definedName>
    <definedName name="PipaGAl1">#REF!</definedName>
    <definedName name="PipaGal1.2">#REF!</definedName>
    <definedName name="PipaGAl2">#REF!</definedName>
    <definedName name="PipaGal3.4">#REF!</definedName>
    <definedName name="pipagalv">[3]upah!#REF!</definedName>
    <definedName name="pipagalv112m1">[3]upah!#REF!</definedName>
    <definedName name="pipagalv1m1">[3]upah!#REF!</definedName>
    <definedName name="pipagalv34m1">[3]upah!#REF!</definedName>
    <definedName name="pipagalv4m1">[3]upah!#REF!</definedName>
    <definedName name="pipagalvm1">[3]upah!#REF!</definedName>
    <definedName name="pipaporous">[33]upahbahan!#REF!</definedName>
    <definedName name="pipapvc">[3]upah!$H$97</definedName>
    <definedName name="PipaPVC1">#REF!</definedName>
    <definedName name="pipapvc12">[3]upah!#REF!</definedName>
    <definedName name="PipaPVC2">#REF!</definedName>
    <definedName name="PipaPVC4">#REF!</definedName>
    <definedName name="PipaPVC5.2">#REF!</definedName>
    <definedName name="pipasandaran">'[41]s-jadi (2)'!$H$116</definedName>
    <definedName name="PISAN3_">#REF!</definedName>
    <definedName name="pk">#REF!</definedName>
    <definedName name="pkali14">'[30]an sni'!$M$111</definedName>
    <definedName name="pkali14b">'[30]ANL-M'!$J$116</definedName>
    <definedName name="pkanjalan">#REF!</definedName>
    <definedName name="pkanp2p">#REF!</definedName>
    <definedName name="pkanpkp">#REF!</definedName>
    <definedName name="pkanplp">#REF!</definedName>
    <definedName name="pkanpsrbas">#REF!</definedName>
    <definedName name="pl">'[38]ANALISA PEKERJAAN 04'!$P$897</definedName>
    <definedName name="pl12b">'[28]ANL-M'!$J$231</definedName>
    <definedName name="pl13b">'[30]ANL-M'!$J$245</definedName>
    <definedName name="pl14b">'[30]ANL-M'!$J$258</definedName>
    <definedName name="plamur">[3]upah!#REF!</definedName>
    <definedName name="Plastik">'[59]Basic Price CV. NKP'!$F$43</definedName>
    <definedName name="PLESTER">#REF!</definedName>
    <definedName name="plesteran">[41]PLESTERAN!$K$57</definedName>
    <definedName name="plint">#REF!</definedName>
    <definedName name="plkywood">[3]upah!#REF!</definedName>
    <definedName name="plywood">[3]upah!#REF!</definedName>
    <definedName name="politur">[3]upah!$H$110</definedName>
    <definedName name="POMPA">#REF!</definedName>
    <definedName name="pompa5cm">'[41]h-alat'!$H$32</definedName>
    <definedName name="pompaair">[3]upah!#REF!</definedName>
    <definedName name="PONTODON">[19]RAB!#REF!</definedName>
    <definedName name="pp">#REF!</definedName>
    <definedName name="ppab">#REF!</definedName>
    <definedName name="pph">[80]terbilang!$B$92</definedName>
    <definedName name="pplaywood">'[28]an sni'!$M$352</definedName>
    <definedName name="ppn">[80]terbilang!$B$69</definedName>
    <definedName name="primecoat">#REF!</definedName>
    <definedName name="_xlnm.Print_Area" localSheetId="1">'A. LPD'!$A$1:$M$1260</definedName>
    <definedName name="_xlnm.Print_Area" localSheetId="0">Checklist!$A$1:$D$11</definedName>
    <definedName name="_xlnm.Print_Area" localSheetId="2">'Progress 100%'!$A$1:$P$1160</definedName>
    <definedName name="_xlnm.Print_Area" localSheetId="4">Sheet1!$A$1:$H$14</definedName>
    <definedName name="_xlnm.Print_Area">#REF!</definedName>
    <definedName name="PRINT_AREA_MI">'[81]ANAL-'!#REF!</definedName>
    <definedName name="_xlnm.Print_Titles">'[10]Kuantitas &amp; Harga'!$A$3:$IV$15</definedName>
    <definedName name="prod.atb">#REF!</definedName>
    <definedName name="prod.atbl">#REF!</definedName>
    <definedName name="prod.laston">#REF!</definedName>
    <definedName name="prodbtpecahA">'[41]K-018'!$K$57</definedName>
    <definedName name="profilgipsum12cm">[3]upah!#REF!</definedName>
    <definedName name="profilgipsum17cm">[3]upah!#REF!</definedName>
    <definedName name="profilgipsum3cm">[3]upah!#REF!</definedName>
    <definedName name="prop">#REF!</definedName>
    <definedName name="prtgaliantanah">'[41]PARIT GAL.TNH'!$K$57</definedName>
    <definedName name="prtsampingM">'[41]PARIT-samping'!$K$54</definedName>
    <definedName name="PT">[58]FAK!$B$13</definedName>
    <definedName name="PTJW">#REF!</definedName>
    <definedName name="ptripleks">'[28]ANL-M'!$J$530</definedName>
    <definedName name="PULE">'[42]DATA BASE PER DESA-KELURAHAN'!$B$7:$BF$36</definedName>
    <definedName name="PULE2">#REF!</definedName>
    <definedName name="PUSAT">#REF!</definedName>
    <definedName name="Q">#REF!</definedName>
    <definedName name="RAB">#REF!</definedName>
    <definedName name="RAB_ALTERNATIF2">[16]RAB!#REF!</definedName>
    <definedName name="rabat">'[38]ANALISA PEKERJAAN 04'!$P$2496</definedName>
    <definedName name="rabatb">'[28]ANL-M'!$J$297</definedName>
    <definedName name="RAMBU_1">#REF!</definedName>
    <definedName name="RAMBU_2">#REF!</definedName>
    <definedName name="rambujalan">#REF!</definedName>
    <definedName name="rawa">'[82]DEV.3 rawa'!$W$48</definedName>
    <definedName name="rawatjbt">'[41]Rawat-JBT'!$K$57</definedName>
    <definedName name="rdinding">'[28]an sni'!$M$434</definedName>
    <definedName name="rdindingb">'[28]ANL-M'!$J$544</definedName>
    <definedName name="RE">[40]RAB!#REF!</definedName>
    <definedName name="REK">[5]RAB!#REF!</definedName>
    <definedName name="REKAP">[13]RAB!$A$30:$H$68</definedName>
    <definedName name="REKAP_1">#REF!</definedName>
    <definedName name="REKAP_2">#REF!</definedName>
    <definedName name="REKAP_3">#REF!</definedName>
    <definedName name="REKAP_4">#REF!</definedName>
    <definedName name="Reng3.5">#REF!</definedName>
    <definedName name="Reng5.5">#REF!</definedName>
    <definedName name="RESIDU">#REF!</definedName>
    <definedName name="RINCIANSEWA">#REF!</definedName>
    <definedName name="RINCIANSEWA2">#REF!</definedName>
    <definedName name="rodakaret815">'[41]h-alat'!$H$21</definedName>
    <definedName name="rollfilm">'[41]h-bhn'!$H$37</definedName>
    <definedName name="RUTIN">'[10]Kuantitas &amp; Harga'!#REF!</definedName>
    <definedName name="rytrh">[62]DEI.2!#REF!</definedName>
    <definedName name="SADMHBA">'[83]DIV.7(a)'!$A$180:$J$377</definedName>
    <definedName name="SAH">[13]RAB!$A$62:$H$68</definedName>
    <definedName name="saklardoubleinbow">[3]upah!$H$99</definedName>
    <definedName name="SaklarGanda">#REF!</definedName>
    <definedName name="SaklarTunggal">#REF!</definedName>
    <definedName name="saklartunggalinbow">[3]upah!$H$100</definedName>
    <definedName name="salran">'[84]Analisa copy'!$H$44</definedName>
    <definedName name="Samb.Knee5.2">#REF!</definedName>
    <definedName name="Samb.T.stuk5.2">#REF!</definedName>
    <definedName name="Samp.T.Stuk4">#REF!</definedName>
    <definedName name="sandsheet">'[41]SAND SHEET'!$K$57</definedName>
    <definedName name="sat6_2_1">#REF!</definedName>
    <definedName name="sat6_2_2">#REF!</definedName>
    <definedName name="sat6_3_5a">#REF!</definedName>
    <definedName name="sat6_4_0">#REF!</definedName>
    <definedName name="satu">#REF!</definedName>
    <definedName name="saw">#REF!</definedName>
    <definedName name="SCHEDULE">'[85]SCHEDULE OK'!#REF!</definedName>
    <definedName name="SDFSDF">[40]RAB!$J$30:$P$263</definedName>
    <definedName name="sekring">[3]upah!#REF!</definedName>
    <definedName name="SekringBox2">#REF!</definedName>
    <definedName name="semen">[3]upah!$H$55</definedName>
    <definedName name="Semen_50_Kg">[44]Harga!$F$30</definedName>
    <definedName name="Semen_putih">[44]Harga!$F$31</definedName>
    <definedName name="semen1">[3]upah!$H$54</definedName>
    <definedName name="semenPC">[7]BAHAN!$I$27</definedName>
    <definedName name="SemenPutih">#REF!</definedName>
    <definedName name="semenwar">#REF!</definedName>
    <definedName name="semeoperator">'[41]h-tenaga'!$H$16</definedName>
    <definedName name="semioperator">'[41]h-tenaga'!$H$16</definedName>
    <definedName name="SendingImpra">#REF!</definedName>
    <definedName name="Seng_BJLS30">[44]Harga!$F$37</definedName>
    <definedName name="Seng_Plat">[44]Harga!$F$38</definedName>
    <definedName name="seng25">'[28]an sni'!$M$456</definedName>
    <definedName name="seng25b">'[28]ANL-M'!$J$737</definedName>
    <definedName name="sengalumu">#REF!</definedName>
    <definedName name="sengbjls20">[3]upah!$H$75</definedName>
    <definedName name="sengplat">[3]upah!$H$76</definedName>
    <definedName name="sengplat25">#REF!</definedName>
    <definedName name="sengplatbjls30">[3]upah!#REF!</definedName>
    <definedName name="siaptnhdsr">'[38]ANALISA PEKERJAAN 04'!$P$1856</definedName>
    <definedName name="siaran">[41]SIARAN!$K$57</definedName>
    <definedName name="SIRTU">#REF!</definedName>
    <definedName name="sirturoyalty">'[41]h-bhn'!$H$12</definedName>
    <definedName name="skdjfkjsdf">#REF!</definedName>
    <definedName name="skrinplant">'[41]h-alat'!$H$14</definedName>
    <definedName name="SLH">[13]RAB!#REF!</definedName>
    <definedName name="smn">#REF!</definedName>
    <definedName name="solar">'[41]h-bhn'!$H$33</definedName>
    <definedName name="sopir">[33]upahbahan!$G$30</definedName>
    <definedName name="sopirpersonil">'[41]h-tenaga'!$H$19</definedName>
    <definedName name="sopirterampil">'[41]h-tenaga'!$H$18</definedName>
    <definedName name="SOUND">#REF!</definedName>
    <definedName name="SPEMBA">[15]RAB!#REF!</definedName>
    <definedName name="SPENING">[13]RAB!#REF!</definedName>
    <definedName name="split">[3]upah!$H$58</definedName>
    <definedName name="SPRAYER">#REF!</definedName>
    <definedName name="SREHAB">[13]RAB!#REF!</definedName>
    <definedName name="stamper">[33]upahbahan!#REF!</definedName>
    <definedName name="StarNSTangga">#REF!</definedName>
    <definedName name="Status">#REF!</definedName>
    <definedName name="Steal2">#REF!</definedName>
    <definedName name="Steel1">#REF!</definedName>
    <definedName name="Steel2">#REF!</definedName>
    <definedName name="STONECRUSHER">#REF!</definedName>
    <definedName name="stopkontak">[3]upah!$H$101</definedName>
    <definedName name="StopKontakAC">#REF!</definedName>
    <definedName name="stopkran">#REF!</definedName>
    <definedName name="strip">#REF!</definedName>
    <definedName name="STRUKTUR">'[10]Kuantitas &amp; Harga'!$B$176:$J$303</definedName>
    <definedName name="subgrade">'[41]SUB-GRADE'!$K$56</definedName>
    <definedName name="subkon">[33]OUTPUT!$A$9</definedName>
    <definedName name="SURAT">[86]h.satuan!$C$14:$C$23</definedName>
    <definedName name="T">'[87]INPUT HARGA'!$F$19</definedName>
    <definedName name="tackcoat">#REF!</definedName>
    <definedName name="tagihan">[80]terbilang!$B$45</definedName>
    <definedName name="talang">#REF!</definedName>
    <definedName name="TalangAirPVC3">#REF!</definedName>
    <definedName name="taliijuk">[3]upah!#REF!</definedName>
    <definedName name="TAMBAHAN">#REF!</definedName>
    <definedName name="TAMPER">#REF!</definedName>
    <definedName name="TANAH">'[10]Kuantitas &amp; Harga'!$B$59:$J$87</definedName>
    <definedName name="TANAH_URUG">[78]HARGA!$F$35</definedName>
    <definedName name="tanahbiasa">[33]upahbahan!#REF!</definedName>
    <definedName name="tanahurug">[3]upah!$H$50</definedName>
    <definedName name="tandem610">'[41]h-alat'!$H$22</definedName>
    <definedName name="tandemroller">[33]upahbahan!$G$74</definedName>
    <definedName name="tangkiair">'[41]h-alat'!$H$24</definedName>
    <definedName name="tankiair">#REF!</definedName>
    <definedName name="tarikanjendela">[3]upah!$H$96</definedName>
    <definedName name="tarikanpintu">[3]upah!$H$95</definedName>
    <definedName name="tasirtu">[33]upahbahan!#REF!</definedName>
    <definedName name="TaxTV">10%</definedName>
    <definedName name="TaxXL">5%</definedName>
    <definedName name="TC_1">#REF!</definedName>
    <definedName name="TC_2">#REF!</definedName>
    <definedName name="TeakWood">#REF!</definedName>
    <definedName name="teakwoodbes">#REF!</definedName>
    <definedName name="tegel2025">#REF!</definedName>
    <definedName name="tegel20x20">[3]upah!#REF!</definedName>
    <definedName name="tegel20x25">[3]upah!#REF!</definedName>
    <definedName name="tegel3030">#REF!</definedName>
    <definedName name="tegel40x40">[3]upah!#REF!</definedName>
    <definedName name="tegelkeramik20x25">[3]upah!#REF!</definedName>
    <definedName name="tegelkeramik30x30">[3]upah!#REF!</definedName>
    <definedName name="tegelkeramik30x30warna">[3]upah!#REF!</definedName>
    <definedName name="tegelkeramik40x40">[3]upah!#REF!</definedName>
    <definedName name="tegelkeramik40x40warna">[3]upah!#REF!</definedName>
    <definedName name="tegelplint">[3]upah!#REF!</definedName>
    <definedName name="tegelplint10x30">[3]upah!#REF!</definedName>
    <definedName name="tegelplint10x30warna">[3]upah!#REF!</definedName>
    <definedName name="tegelplint10x40warna">[3]upah!#REF!</definedName>
    <definedName name="tegelwafel">[3]upah!#REF!</definedName>
    <definedName name="telfor">'[38]ANALISA PEKERJAAN 04'!$P$62</definedName>
    <definedName name="TELFORD">'[66]DEV 6 T''FORD'!$I$69</definedName>
    <definedName name="TELP">#REF!</definedName>
    <definedName name="tempatcuci">#REF!</definedName>
    <definedName name="tenagateknis">'[41]h-tenaga'!$H$24</definedName>
    <definedName name="TERBILANG_ADIZA" hidden="1">[15]RAB!#REF!</definedName>
    <definedName name="terminal">'[6]RAB MEK 15 M MB '!#REF!</definedName>
    <definedName name="tes">#REF!</definedName>
    <definedName name="TFL_KabKota">#REF!</definedName>
    <definedName name="TFL_Provinsi">#REF!</definedName>
    <definedName name="TGL">[88]FAK!$B$12</definedName>
    <definedName name="Thinner">#REF!</definedName>
    <definedName name="THOTON">[32]ASDP!#REF!</definedName>
    <definedName name="THREEWHEELROLLER">#REF!</definedName>
    <definedName name="threewhellroller">[33]upahbahan!$G$76</definedName>
    <definedName name="tiangpengaman">'[41]TIANG PENGAMAN'!$K$57</definedName>
    <definedName name="tim.urug.tnhbiasa">#REF!</definedName>
    <definedName name="timbrisan">[41]tmbrisan!$K$56</definedName>
    <definedName name="TIMBUNAN">[50]DEV.3!$AI$216</definedName>
    <definedName name="timbunanbiasa">#REF!</definedName>
    <definedName name="timbunankembalitanah">#REF!</definedName>
    <definedName name="timbunanpasir">#REF!</definedName>
    <definedName name="timbunantanah">[41]TIMBUNAN!$K$56</definedName>
    <definedName name="timbunantanahurug">#REF!</definedName>
    <definedName name="timbunb">'[38]ANALISA PEKERJAAN 04'!$P$1408</definedName>
    <definedName name="TIREROLLER">#REF!</definedName>
    <definedName name="tk">#REF!</definedName>
    <definedName name="TK_01">#REF!</definedName>
    <definedName name="TK_03">#REF!</definedName>
    <definedName name="TK_04">#REF!</definedName>
    <definedName name="tkb">[74]BU!$E$7</definedName>
    <definedName name="tkk">[74]BU!$E$9</definedName>
    <definedName name="tkl">[74]BU!$E$10</definedName>
    <definedName name="tmbpilihan">'[41]h-bhn'!$H$23</definedName>
    <definedName name="Tmpcuci">#REF!</definedName>
    <definedName name="TOWER">#REF!</definedName>
    <definedName name="TRACKLOADER">#REF!</definedName>
    <definedName name="TRAILLER">#REF!</definedName>
    <definedName name="trip27">#REF!</definedName>
    <definedName name="tripleks">[3]upah!$H$74</definedName>
    <definedName name="tripleks12">#REF!</definedName>
    <definedName name="Tripleks4">#REF!</definedName>
    <definedName name="TripleksAluminium">#REF!</definedName>
    <definedName name="TripleksAlumum">#REF!</definedName>
    <definedName name="TripleksLapAlum">#REF!</definedName>
    <definedName name="Triplex">[44]Harga!$F$40</definedName>
    <definedName name="truk">#REF!</definedName>
    <definedName name="truk35ton">'[41]h-alat'!$H$23</definedName>
    <definedName name="TST">'[79]ANAL-'!#REF!</definedName>
    <definedName name="tt">[13]RAB!#REF!</definedName>
    <definedName name="tuk">#REF!</definedName>
    <definedName name="TUKAIR">#REF!</definedName>
    <definedName name="tukang">[3]upah!$H$24</definedName>
    <definedName name="tukangbatu">[43]upah!$H$22</definedName>
    <definedName name="tukangbesi">[43]upah!$H$24</definedName>
    <definedName name="tukangkayu">[43]upah!$H$23</definedName>
    <definedName name="TUKBATU">[89]upahbahan!$H$23</definedName>
    <definedName name="TUKBESI">#REF!</definedName>
    <definedName name="TUKCAT">#REF!</definedName>
    <definedName name="TUKKAYU">#REF!</definedName>
    <definedName name="TUKLISTRIK">#REF!</definedName>
    <definedName name="tulangan">[41]TULANGAN!$K$56</definedName>
    <definedName name="tulanganbeton">'[41]h-bhn'!$H$30</definedName>
    <definedName name="tyreroller">[33]upahbahan!#REF!</definedName>
    <definedName name="U_24">#REF!</definedName>
    <definedName name="U_32">#REF!</definedName>
    <definedName name="UMUM">#REF!</definedName>
    <definedName name="Umum_Tahun">#REF!</definedName>
    <definedName name="UP.1">[7]BAHAN!$E$7</definedName>
    <definedName name="UP.10">#REF!</definedName>
    <definedName name="UP.11">#REF!</definedName>
    <definedName name="UP.12">#REF!</definedName>
    <definedName name="UP.13">#REF!</definedName>
    <definedName name="UP.14">#REF!</definedName>
    <definedName name="UP.2">[7]BAHAN!$E$8</definedName>
    <definedName name="UP.3">#REF!</definedName>
    <definedName name="UP.4">#REF!</definedName>
    <definedName name="UP.5">#REF!</definedName>
    <definedName name="UP.6">#REF!</definedName>
    <definedName name="UP.7">#REF!</definedName>
    <definedName name="UP.8">#REF!</definedName>
    <definedName name="UP.9">[7]BAHAN!$E$10</definedName>
    <definedName name="upah">[77]UPAH!$B$5:$B$13</definedName>
    <definedName name="upah1">[77]UPAH!$B$5:$D$13</definedName>
    <definedName name="upah10">#REF!</definedName>
    <definedName name="upah11">#REF!</definedName>
    <definedName name="upah12">#REF!</definedName>
    <definedName name="upah13">#REF!</definedName>
    <definedName name="upah14">#REF!</definedName>
    <definedName name="upah15">'[6]RAB MEK 15 M MB '!#REF!</definedName>
    <definedName name="upah2">#REF!</definedName>
    <definedName name="upah20">'[6]RAB MEK 15 M MB '!#REF!</definedName>
    <definedName name="upah25">'[6]RAB MEK 15 M MB '!#REF!</definedName>
    <definedName name="upah3">#REF!</definedName>
    <definedName name="upah32">'[6]RAB MEK 15 M MB '!#REF!</definedName>
    <definedName name="upah4">#REF!</definedName>
    <definedName name="upah40">'[6]RAB MEK 15 M MB '!#REF!</definedName>
    <definedName name="upah5">#REF!</definedName>
    <definedName name="upah6">#REF!</definedName>
    <definedName name="upah7">#REF!</definedName>
    <definedName name="upah8">#REF!</definedName>
    <definedName name="upah9">#REF!</definedName>
    <definedName name="upahbasah">#REF!</definedName>
    <definedName name="upahbent">#REF!</definedName>
    <definedName name="upahbersih">#REF!</definedName>
    <definedName name="upahdprd">#REF!</definedName>
    <definedName name="upahdufa">#REF!</definedName>
    <definedName name="upahjalan">#REF!</definedName>
    <definedName name="upahkonektor">'[6]RAB MEK 15 M MB '!#REF!</definedName>
    <definedName name="upahlab">#REF!</definedName>
    <definedName name="upahland">#REF!</definedName>
    <definedName name="upahmayau">#REF!</definedName>
    <definedName name="upahmeet">#REF!</definedName>
    <definedName name="upahmesjid">#REF!</definedName>
    <definedName name="upahmus">#REF!</definedName>
    <definedName name="upahnama">#REF!</definedName>
    <definedName name="upahp2p">#REF!</definedName>
    <definedName name="upahpagar">#REF!</definedName>
    <definedName name="upahpendopo">#REF!</definedName>
    <definedName name="upahpkp">#REF!</definedName>
    <definedName name="upahplp">#REF!</definedName>
    <definedName name="upahppab">#REF!</definedName>
    <definedName name="upahpsrbas">#REF!</definedName>
    <definedName name="upahpsrr">#REF!</definedName>
    <definedName name="upahrab">#REF!</definedName>
    <definedName name="upahres">#REF!</definedName>
    <definedName name="upahsal">#REF!</definedName>
    <definedName name="upahsport">#REF!</definedName>
    <definedName name="upahterminal">'[6]RAB MEK 15 M MB '!#REF!</definedName>
    <definedName name="upahtoilet">#REF!</definedName>
    <definedName name="upahwar">#REF!</definedName>
    <definedName name="upasir">'[38]ANALISA PEKERJAAN 04'!$P$2368</definedName>
    <definedName name="UPASIRB">'[30]ANL-M'!$J$46</definedName>
    <definedName name="UPBAH">'[53]Upah Bahan'!$A$9:$F$67</definedName>
    <definedName name="Urai">'[90]VOL 03'!$Z$43:$Z$102</definedName>
    <definedName name="UraiA">#REF!</definedName>
    <definedName name="URAIAN">#REF!</definedName>
    <definedName name="URAIAN21">#REF!</definedName>
    <definedName name="URAIAN22E">#REF!</definedName>
    <definedName name="URAIAN22L">#REF!</definedName>
    <definedName name="URAIAN231">#REF!</definedName>
    <definedName name="URAIAN232">#REF!</definedName>
    <definedName name="URAIAN233">#REF!</definedName>
    <definedName name="URAIAN234">'[1]A.Div 2'!#REF!</definedName>
    <definedName name="URAIAN234L">#REF!</definedName>
    <definedName name="Uraian235">#REF!</definedName>
    <definedName name="Uraian236">#REF!</definedName>
    <definedName name="URAIAN241">'[1]A.Div 2'!#REF!</definedName>
    <definedName name="URAIAN242">'[1]A.Div 2'!#REF!</definedName>
    <definedName name="URAIAN243">'[1]A.Div 2'!#REF!</definedName>
    <definedName name="Uraian311">#REF!</definedName>
    <definedName name="Uraian312">[91]A.Div3!#REF!</definedName>
    <definedName name="Uraian313">[91]A.Div3!#REF!</definedName>
    <definedName name="Uraian314">[91]A.Div3!#REF!</definedName>
    <definedName name="Uraian315">[91]A.Div3!#REF!</definedName>
    <definedName name="Uraian319">[64]DEV.3!$A$106:$J$106</definedName>
    <definedName name="Uraian321">#REF!</definedName>
    <definedName name="Uraian322">#REF!</definedName>
    <definedName name="Uraian323">#REF!</definedName>
    <definedName name="URAIAN323L">#REF!</definedName>
    <definedName name="Uraian324">#REF!</definedName>
    <definedName name="Uraian33">#REF!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'[92]DIV 5 6'!$B$1:$K$181</definedName>
    <definedName name="URAIAN512">'[92]DIV 5 6'!$B$182:$K$362</definedName>
    <definedName name="URAIAN521">'[92]DIV 5 6'!#REF!</definedName>
    <definedName name="URAIAN522">'[92]DIV 5 6'!#REF!</definedName>
    <definedName name="URAIAN541">'[92]DIV 5 6'!#REF!</definedName>
    <definedName name="URAIAN542">[1]A.Div5!#REF!</definedName>
    <definedName name="URAIAN611">#REF!</definedName>
    <definedName name="URAIAN612">#REF!</definedName>
    <definedName name="URAIAN621">#REF!</definedName>
    <definedName name="URAIAN622">#REF!</definedName>
    <definedName name="URAIAN623">#REF!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#REF!</definedName>
    <definedName name="URAIAN66PERATA">#REF!</definedName>
    <definedName name="URAIAN66PERMUKAAN">#REF!</definedName>
    <definedName name="URAIAN7101">#REF!</definedName>
    <definedName name="URAIAN7102">#REF!</definedName>
    <definedName name="URAIAN7103">#REF!</definedName>
    <definedName name="URAIAN711">#REF!</definedName>
    <definedName name="URAIAN712">[1]A.Div7!#REF!</definedName>
    <definedName name="URAIAN713">#REF!</definedName>
    <definedName name="URAIAN714">#REF!</definedName>
    <definedName name="URAIAN715">#REF!</definedName>
    <definedName name="URAIAN716">#REF!</definedName>
    <definedName name="URAIAN717">#REF!</definedName>
    <definedName name="URAIAN718">#REF!</definedName>
    <definedName name="URAIAN721">#REF!</definedName>
    <definedName name="URAIAN731">#REF!</definedName>
    <definedName name="URAIAN732">#REF!</definedName>
    <definedName name="URAIAN733">#REF!</definedName>
    <definedName name="URAIAN734">#REF!</definedName>
    <definedName name="URAIAN735">#REF!</definedName>
    <definedName name="URAIAN73PL">#REF!</definedName>
    <definedName name="URAIAN73UL">[1]A.Div7!#REF!</definedName>
    <definedName name="URAIAN744">#REF!</definedName>
    <definedName name="URAIAN745">#REF!</definedName>
    <definedName name="URAIAN751">[91]A.Div7!#REF!</definedName>
    <definedName name="URAIAN752">[91]A.Div7!#REF!</definedName>
    <definedName name="URAIAN7610">#REF!</definedName>
    <definedName name="URAIAN7611">[91]A.Div7!#REF!</definedName>
    <definedName name="URAIAN7612">[1]A.Div7!#REF!</definedName>
    <definedName name="URAIAN7612a">#REF!</definedName>
    <definedName name="URAIAN7612b">#REF!</definedName>
    <definedName name="URAIAN7612c">#REF!</definedName>
    <definedName name="URAIAN7613">[1]A.Div7!#REF!</definedName>
    <definedName name="URAIAN7613a">#REF!</definedName>
    <definedName name="URAIAN7613b">#REF!</definedName>
    <definedName name="URAIAN7613c">#REF!</definedName>
    <definedName name="URAIAN7614">[91]A.Div7!#REF!</definedName>
    <definedName name="URAIAN7614a">#REF!</definedName>
    <definedName name="URAIAN7614b">#REF!</definedName>
    <definedName name="URAIAN7614d">#REF!</definedName>
    <definedName name="URAIAN7614e">#REF!</definedName>
    <definedName name="URAIAN7615">[1]A.Div7!#REF!</definedName>
    <definedName name="URAIAN7616">[1]A.Div7!#REF!</definedName>
    <definedName name="URAIAN7617">[91]A.Div7!#REF!</definedName>
    <definedName name="URAIAN7618">[91]A.Div7!#REF!</definedName>
    <definedName name="URAIAN7619">[91]A.Div7!#REF!</definedName>
    <definedName name="URAIAN7620">[91]A.Div7!#REF!</definedName>
    <definedName name="URAIAN7621">[91]A.Div7!#REF!</definedName>
    <definedName name="URAIAN7625">[91]A.Div7!#REF!</definedName>
    <definedName name="URAIAN7626">[91]A.Div7!#REF!</definedName>
    <definedName name="URAIAN767">[91]A.Div7!#REF!</definedName>
    <definedName name="URAIAN768">[91]A.Div7!#REF!</definedName>
    <definedName name="URAIAN769">[91]A.Div7!#REF!</definedName>
    <definedName name="URAIAN76x">[91]A.Div7!#REF!</definedName>
    <definedName name="URAIAN771">[91]A.Div7!#REF!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75">#REF!</definedName>
    <definedName name="URAIAN79">#REF!</definedName>
    <definedName name="URAIAN79L">#REF!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841">#REF!</definedName>
    <definedName name="Uraian8410">#REF!</definedName>
    <definedName name="Uraian842">#REF!</definedName>
    <definedName name="Uraian843">#REF!</definedName>
    <definedName name="Uraian844">#REF!</definedName>
    <definedName name="Uraian845">#REF!</definedName>
    <definedName name="Uraian846">#REF!</definedName>
    <definedName name="Uraian847">#REF!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GEOTEKSTIL">[1]A.Div7!#REF!</definedName>
    <definedName name="URAIANLatasirK">#REF!</definedName>
    <definedName name="URAIANLatasirKL">#REF!</definedName>
    <definedName name="UraiB">#REF!</definedName>
    <definedName name="UraiC">#REF!</definedName>
    <definedName name="UraiD">#REF!</definedName>
    <definedName name="urgpasir">'[41]urg-pasir'!$K$56</definedName>
    <definedName name="Urinior">#REF!</definedName>
    <definedName name="urinoir">[3]upah!#REF!</definedName>
    <definedName name="URPIL_1">#REF!</definedName>
    <definedName name="URPIL_2">#REF!</definedName>
    <definedName name="URPIL_3">#REF!</definedName>
    <definedName name="URTANBIS_1">#REF!</definedName>
    <definedName name="URTANBIS_2">#REF!</definedName>
    <definedName name="URTANBIS_3">#REF!</definedName>
    <definedName name="urug">'[30]an sni'!$M$48</definedName>
    <definedName name="uruganporous">[33]upahbahan!#REF!</definedName>
    <definedName name="urugatnh.bhpilih">#REF!</definedName>
    <definedName name="URUGB">'[30]ANL-M'!$I$11</definedName>
    <definedName name="USD">#REF!</definedName>
    <definedName name="USDM">#REF!</definedName>
    <definedName name="usulan">#N/A</definedName>
    <definedName name="UTAIAN7614c">#REF!</definedName>
    <definedName name="UTAMA">[13]RAB!#REF!</definedName>
    <definedName name="utanah">'[28]an sni'!$M$73</definedName>
    <definedName name="UTANAHB">'[28]ANL-M'!$J$55</definedName>
    <definedName name="utk">#REF!</definedName>
    <definedName name="UYIUYIYIYI">'[39]anls by sewa'!$BE$707</definedName>
    <definedName name="ventilasib">'[28]ANL-M'!$J$782</definedName>
    <definedName name="VERLAP">'[93]VERLAP DESA 1'!$A$15:$AN$334</definedName>
    <definedName name="vi">[3]rab!#REF!</definedName>
    <definedName name="vibrator">'[41]h-alat'!$H$29</definedName>
    <definedName name="vibratoryroller">[33]upahbahan!$G$73</definedName>
    <definedName name="vibro10ton">'[41]h-alat'!$H$18</definedName>
    <definedName name="vibro600kg">'[41]h-alat'!$H$19</definedName>
    <definedName name="VIBROROLLER">#REF!</definedName>
    <definedName name="viii">[3]rab!#REF!</definedName>
    <definedName name="vol">[34]DATABASE!$C$24:$H$54</definedName>
    <definedName name="w">[51]upah!$I$12</definedName>
    <definedName name="wastafel">[3]upah!#REF!</definedName>
    <definedName name="wastafelstand">#REF!</definedName>
    <definedName name="wastafeltoto">[3]upah!#REF!</definedName>
    <definedName name="WATERPUMP">#REF!</definedName>
    <definedName name="watertanker">[33]upahbahan!$G$71</definedName>
    <definedName name="WE">[32]ASDP!#REF!</definedName>
    <definedName name="WHEELLOADER">#REF!</definedName>
    <definedName name="whellloader">[33]upahbahan!$G$70</definedName>
    <definedName name="WLKT1">#REF!</definedName>
    <definedName name="WLKT2">#REF!</definedName>
    <definedName name="wrn.AAA." hidden="1">{#N/A,#N/A,FALSE,"REK";#N/A,#N/A,FALSE,"Bq-ARS"}</definedName>
    <definedName name="wrn.rtpl." hidden="1">{#N/A,#N/A,FALSE,"REK-S-TPL";#N/A,#N/A,FALSE,"REK-TPML";#N/A,#N/A,FALSE,"RAB-TEMPEL"}</definedName>
    <definedName name="wrn.ry." hidden="1">{#N/A,#N/A,FALSE,"REK";#N/A,#N/A,FALSE,"rab"}</definedName>
    <definedName name="XXX">'[63]A.Div 2'!#REF!</definedName>
    <definedName name="Yang10">[34]DATABASE!$C$24:$AE$54</definedName>
    <definedName name="Yang11">[34]DATABASE!$C$24:$AF$54</definedName>
    <definedName name="Yang3">[34]DATABASE!$C$24:$X$54</definedName>
    <definedName name="Yang4">[34]DATABASE!$C$24:$Y$54</definedName>
    <definedName name="Yang5">[34]DATABASE!$C$24:$Z$54</definedName>
    <definedName name="yang6">[34]DATABASE!$C$24:$AA$54</definedName>
    <definedName name="yang8">[34]DATABASE!$C$24:$AC$54</definedName>
    <definedName name="yang9">[34]DATABASE!$C$24:$AD$54</definedName>
    <definedName name="YEN">#REF!</definedName>
    <definedName name="yusuf">[57]inst.pemrintah!#REF!</definedName>
    <definedName name="yuyu">[13]RAB!#REF!</definedName>
    <definedName name="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L986" i="5" l="1"/>
  <c r="A986" i="5"/>
  <c r="L981" i="5"/>
  <c r="A978" i="5"/>
  <c r="L971" i="5"/>
  <c r="E939" i="5"/>
  <c r="A939" i="5"/>
  <c r="E938" i="5"/>
  <c r="A938" i="5"/>
  <c r="E937" i="5"/>
  <c r="E936" i="5"/>
  <c r="A936" i="5"/>
  <c r="L928" i="5"/>
  <c r="A928" i="5"/>
  <c r="L923" i="5"/>
  <c r="A920" i="5"/>
  <c r="L913" i="5"/>
  <c r="E881" i="5"/>
  <c r="A881" i="5"/>
  <c r="E880" i="5"/>
  <c r="A880" i="5"/>
  <c r="E879" i="5"/>
  <c r="E878" i="5"/>
  <c r="A878" i="5"/>
  <c r="L870" i="5"/>
  <c r="A870" i="5"/>
  <c r="L865" i="5"/>
  <c r="A862" i="5"/>
  <c r="L855" i="5"/>
  <c r="E823" i="5"/>
  <c r="A823" i="5"/>
  <c r="E822" i="5"/>
  <c r="A822" i="5"/>
  <c r="E821" i="5"/>
  <c r="E820" i="5"/>
  <c r="A820" i="5"/>
  <c r="L812" i="5"/>
  <c r="A812" i="5"/>
  <c r="L807" i="5"/>
  <c r="A804" i="5"/>
  <c r="L797" i="5"/>
  <c r="E765" i="5"/>
  <c r="A765" i="5"/>
  <c r="E764" i="5"/>
  <c r="A764" i="5"/>
  <c r="E763" i="5"/>
  <c r="E762" i="5"/>
  <c r="A762" i="5"/>
  <c r="L754" i="5"/>
  <c r="A754" i="5"/>
  <c r="L749" i="5"/>
  <c r="A746" i="5"/>
  <c r="L739" i="5"/>
  <c r="E707" i="5"/>
  <c r="A707" i="5"/>
  <c r="E706" i="5"/>
  <c r="A706" i="5"/>
  <c r="E705" i="5"/>
  <c r="E704" i="5"/>
  <c r="A704" i="5"/>
  <c r="L696" i="5"/>
  <c r="A696" i="5"/>
  <c r="L691" i="5"/>
  <c r="A688" i="5"/>
  <c r="L681" i="5"/>
  <c r="E649" i="5"/>
  <c r="A649" i="5"/>
  <c r="E648" i="5"/>
  <c r="A648" i="5"/>
  <c r="E647" i="5"/>
  <c r="E646" i="5"/>
  <c r="A646" i="5"/>
  <c r="L638" i="5"/>
  <c r="A638" i="5"/>
  <c r="L633" i="5"/>
  <c r="A630" i="5"/>
  <c r="L623" i="5"/>
  <c r="E591" i="5"/>
  <c r="A591" i="5"/>
  <c r="E590" i="5"/>
  <c r="A590" i="5"/>
  <c r="E589" i="5"/>
  <c r="E588" i="5"/>
  <c r="A588" i="5"/>
  <c r="L580" i="5"/>
  <c r="A580" i="5"/>
  <c r="L575" i="5"/>
  <c r="A572" i="5"/>
  <c r="L565" i="5"/>
  <c r="D561" i="5"/>
  <c r="F561" i="5" s="1"/>
  <c r="L559" i="5"/>
  <c r="D556" i="5"/>
  <c r="L555" i="5"/>
  <c r="D555" i="5"/>
  <c r="N553" i="5"/>
  <c r="L551" i="5"/>
  <c r="F551" i="5"/>
  <c r="D551" i="5"/>
  <c r="N550" i="5"/>
  <c r="L549" i="5"/>
  <c r="F549" i="5"/>
  <c r="D549" i="5"/>
  <c r="N545" i="5"/>
  <c r="L544" i="5"/>
  <c r="F544" i="5"/>
  <c r="D544" i="5"/>
  <c r="N543" i="5"/>
  <c r="L542" i="5"/>
  <c r="F542" i="5"/>
  <c r="D542" i="5"/>
  <c r="N541" i="5"/>
  <c r="D538" i="5"/>
  <c r="E533" i="5"/>
  <c r="A533" i="5"/>
  <c r="E532" i="5"/>
  <c r="A532" i="5"/>
  <c r="E531" i="5"/>
  <c r="E530" i="5"/>
  <c r="A530" i="5"/>
  <c r="E529" i="5"/>
  <c r="E528" i="5"/>
  <c r="L572" i="5" s="1"/>
  <c r="E527" i="5"/>
  <c r="E526" i="5"/>
  <c r="Q523" i="5"/>
  <c r="L557" i="5" s="1"/>
  <c r="L1160" i="5"/>
  <c r="A1160" i="5"/>
  <c r="L1155" i="5"/>
  <c r="A1152" i="5"/>
  <c r="L1145" i="5"/>
  <c r="E1113" i="5"/>
  <c r="A1113" i="5"/>
  <c r="E1112" i="5"/>
  <c r="A1112" i="5"/>
  <c r="E1111" i="5"/>
  <c r="E1110" i="5"/>
  <c r="A1110" i="5"/>
  <c r="L1102" i="5"/>
  <c r="A1102" i="5"/>
  <c r="L1097" i="5"/>
  <c r="A1094" i="5"/>
  <c r="L1087" i="5"/>
  <c r="E1055" i="5"/>
  <c r="A1055" i="5"/>
  <c r="E1054" i="5"/>
  <c r="A1054" i="5"/>
  <c r="E1053" i="5"/>
  <c r="E1052" i="5"/>
  <c r="A1052" i="5"/>
  <c r="L1044" i="5"/>
  <c r="A1044" i="5"/>
  <c r="L1039" i="5"/>
  <c r="A1036" i="5"/>
  <c r="L1029" i="5"/>
  <c r="E997" i="5"/>
  <c r="A997" i="5"/>
  <c r="E996" i="5"/>
  <c r="A996" i="5"/>
  <c r="E995" i="5"/>
  <c r="E994" i="5"/>
  <c r="A994" i="5"/>
  <c r="Q291" i="5"/>
  <c r="E294" i="5"/>
  <c r="E295" i="5"/>
  <c r="E296" i="5"/>
  <c r="L340" i="5" s="1"/>
  <c r="E297" i="5"/>
  <c r="A298" i="5"/>
  <c r="E298" i="5"/>
  <c r="E299" i="5"/>
  <c r="A300" i="5"/>
  <c r="E300" i="5"/>
  <c r="A301" i="5"/>
  <c r="E301" i="5"/>
  <c r="D306" i="5"/>
  <c r="L306" i="5"/>
  <c r="D309" i="5"/>
  <c r="F309" i="5"/>
  <c r="L309" i="5"/>
  <c r="N309" i="5"/>
  <c r="D310" i="5"/>
  <c r="F310" i="5"/>
  <c r="L310" i="5"/>
  <c r="N310" i="5"/>
  <c r="D311" i="5"/>
  <c r="F311" i="5"/>
  <c r="L311" i="5"/>
  <c r="N311" i="5"/>
  <c r="D312" i="5"/>
  <c r="F312" i="5"/>
  <c r="L312" i="5"/>
  <c r="N312" i="5"/>
  <c r="D313" i="5"/>
  <c r="F313" i="5"/>
  <c r="L313" i="5"/>
  <c r="N313" i="5"/>
  <c r="D317" i="5"/>
  <c r="F317" i="5"/>
  <c r="L317" i="5"/>
  <c r="N317" i="5"/>
  <c r="D318" i="5"/>
  <c r="F318" i="5"/>
  <c r="L318" i="5"/>
  <c r="N318" i="5"/>
  <c r="D319" i="5"/>
  <c r="F319" i="5"/>
  <c r="L319" i="5"/>
  <c r="N319" i="5"/>
  <c r="D321" i="5"/>
  <c r="F321" i="5"/>
  <c r="L321" i="5"/>
  <c r="N321" i="5"/>
  <c r="D323" i="5"/>
  <c r="L323" i="5"/>
  <c r="D324" i="5"/>
  <c r="L324" i="5"/>
  <c r="D325" i="5"/>
  <c r="L325" i="5"/>
  <c r="D327" i="5"/>
  <c r="L327" i="5"/>
  <c r="D329" i="5"/>
  <c r="F329" i="5"/>
  <c r="L329" i="5"/>
  <c r="N329" i="5"/>
  <c r="D330" i="5"/>
  <c r="L330" i="5" s="1"/>
  <c r="L333" i="5"/>
  <c r="A340" i="5"/>
  <c r="L343" i="5"/>
  <c r="A348" i="5"/>
  <c r="L348" i="5"/>
  <c r="Q349" i="5"/>
  <c r="E353" i="5" s="1"/>
  <c r="A356" i="5"/>
  <c r="E356" i="5"/>
  <c r="E357" i="5"/>
  <c r="A358" i="5"/>
  <c r="E358" i="5"/>
  <c r="A359" i="5"/>
  <c r="E359" i="5"/>
  <c r="L367" i="5"/>
  <c r="L369" i="5"/>
  <c r="L371" i="5"/>
  <c r="L376" i="5"/>
  <c r="L379" i="5"/>
  <c r="D385" i="5"/>
  <c r="L391" i="5"/>
  <c r="A398" i="5"/>
  <c r="L401" i="5"/>
  <c r="A406" i="5"/>
  <c r="L406" i="5"/>
  <c r="A414" i="5"/>
  <c r="E414" i="5"/>
  <c r="E415" i="5"/>
  <c r="A416" i="5"/>
  <c r="E416" i="5"/>
  <c r="A417" i="5"/>
  <c r="E417" i="5"/>
  <c r="L449" i="5"/>
  <c r="A456" i="5"/>
  <c r="L459" i="5"/>
  <c r="A464" i="5"/>
  <c r="L464" i="5"/>
  <c r="A472" i="5"/>
  <c r="E472" i="5"/>
  <c r="E473" i="5"/>
  <c r="A474" i="5"/>
  <c r="E474" i="5"/>
  <c r="A475" i="5"/>
  <c r="E475" i="5"/>
  <c r="L507" i="5"/>
  <c r="A514" i="5"/>
  <c r="L517" i="5"/>
  <c r="A522" i="5"/>
  <c r="L522" i="5"/>
  <c r="L290" i="5"/>
  <c r="A290" i="5"/>
  <c r="L285" i="5"/>
  <c r="A282" i="5"/>
  <c r="L275" i="5"/>
  <c r="D272" i="5"/>
  <c r="L272" i="5" s="1"/>
  <c r="D267" i="5"/>
  <c r="F263" i="5"/>
  <c r="D263" i="5"/>
  <c r="F260" i="5"/>
  <c r="D260" i="5"/>
  <c r="F255" i="5"/>
  <c r="D255" i="5"/>
  <c r="F253" i="5"/>
  <c r="D253" i="5"/>
  <c r="F251" i="5"/>
  <c r="D251" i="5"/>
  <c r="E243" i="5"/>
  <c r="A243" i="5"/>
  <c r="E242" i="5"/>
  <c r="A242" i="5"/>
  <c r="E241" i="5"/>
  <c r="E240" i="5"/>
  <c r="A240" i="5"/>
  <c r="Q233" i="5"/>
  <c r="L266" i="5" s="1"/>
  <c r="L232" i="5"/>
  <c r="A232" i="5"/>
  <c r="L227" i="5"/>
  <c r="A224" i="5"/>
  <c r="L217" i="5"/>
  <c r="D214" i="5"/>
  <c r="L214" i="5" s="1"/>
  <c r="D209" i="5"/>
  <c r="D205" i="5"/>
  <c r="D202" i="5"/>
  <c r="D197" i="5"/>
  <c r="D195" i="5"/>
  <c r="D193" i="5"/>
  <c r="E185" i="5"/>
  <c r="A185" i="5"/>
  <c r="E184" i="5"/>
  <c r="A184" i="5"/>
  <c r="E183" i="5"/>
  <c r="E182" i="5"/>
  <c r="A182" i="5"/>
  <c r="Q175" i="5"/>
  <c r="L208" i="5" s="1"/>
  <c r="L174" i="5"/>
  <c r="A174" i="5"/>
  <c r="L169" i="5"/>
  <c r="A166" i="5"/>
  <c r="L159" i="5"/>
  <c r="D156" i="5"/>
  <c r="L156" i="5" s="1"/>
  <c r="D151" i="5"/>
  <c r="D147" i="5"/>
  <c r="D144" i="5"/>
  <c r="D139" i="5"/>
  <c r="D137" i="5"/>
  <c r="D135" i="5"/>
  <c r="E127" i="5"/>
  <c r="A127" i="5"/>
  <c r="E126" i="5"/>
  <c r="A126" i="5"/>
  <c r="E125" i="5"/>
  <c r="E124" i="5"/>
  <c r="A124" i="5"/>
  <c r="Q117" i="5"/>
  <c r="L150" i="5" s="1"/>
  <c r="Q59" i="5"/>
  <c r="D98" i="5" s="1"/>
  <c r="L98" i="5" s="1"/>
  <c r="L116" i="5"/>
  <c r="A116" i="5"/>
  <c r="L111" i="5"/>
  <c r="A108" i="5"/>
  <c r="L101" i="5"/>
  <c r="L95" i="5"/>
  <c r="D95" i="5"/>
  <c r="L93" i="5"/>
  <c r="D93" i="5"/>
  <c r="L92" i="5"/>
  <c r="D92" i="5"/>
  <c r="N89" i="5"/>
  <c r="L89" i="5"/>
  <c r="F89" i="5"/>
  <c r="D89" i="5"/>
  <c r="N87" i="5"/>
  <c r="L87" i="5"/>
  <c r="N86" i="5"/>
  <c r="L86" i="5"/>
  <c r="F86" i="5"/>
  <c r="D86" i="5"/>
  <c r="N85" i="5"/>
  <c r="L85" i="5"/>
  <c r="N81" i="5"/>
  <c r="L81" i="5"/>
  <c r="F81" i="5"/>
  <c r="D81" i="5"/>
  <c r="N80" i="5"/>
  <c r="L80" i="5"/>
  <c r="N79" i="5"/>
  <c r="L79" i="5"/>
  <c r="F79" i="5"/>
  <c r="D79" i="5"/>
  <c r="N78" i="5"/>
  <c r="L78" i="5"/>
  <c r="N77" i="5"/>
  <c r="L77" i="5"/>
  <c r="F77" i="5"/>
  <c r="D77" i="5"/>
  <c r="L74" i="5"/>
  <c r="D74" i="5"/>
  <c r="E69" i="5"/>
  <c r="A69" i="5"/>
  <c r="E68" i="5"/>
  <c r="A68" i="5"/>
  <c r="E67" i="5"/>
  <c r="E66" i="5"/>
  <c r="A66" i="5"/>
  <c r="E65" i="5"/>
  <c r="E64" i="5"/>
  <c r="L108" i="5" s="1"/>
  <c r="E63" i="5"/>
  <c r="E62" i="5"/>
  <c r="L43" i="5"/>
  <c r="E4" i="5"/>
  <c r="E6" i="5"/>
  <c r="L50" i="5" s="1"/>
  <c r="E5" i="5"/>
  <c r="E7" i="5"/>
  <c r="A8" i="5"/>
  <c r="E8" i="5"/>
  <c r="E9" i="5"/>
  <c r="A10" i="5"/>
  <c r="E10" i="5"/>
  <c r="A11" i="5"/>
  <c r="E11" i="5"/>
  <c r="D16" i="5"/>
  <c r="L16" i="5"/>
  <c r="D19" i="5"/>
  <c r="F19" i="5"/>
  <c r="L19" i="5"/>
  <c r="N19" i="5"/>
  <c r="D20" i="5"/>
  <c r="F20" i="5"/>
  <c r="L20" i="5"/>
  <c r="N20" i="5"/>
  <c r="D21" i="5"/>
  <c r="F21" i="5"/>
  <c r="L21" i="5"/>
  <c r="N21" i="5"/>
  <c r="D22" i="5"/>
  <c r="F22" i="5"/>
  <c r="L22" i="5"/>
  <c r="N22" i="5"/>
  <c r="D23" i="5"/>
  <c r="F23" i="5"/>
  <c r="L23" i="5"/>
  <c r="N23" i="5"/>
  <c r="D27" i="5"/>
  <c r="F27" i="5"/>
  <c r="L27" i="5"/>
  <c r="N27" i="5"/>
  <c r="D28" i="5"/>
  <c r="F28" i="5"/>
  <c r="L28" i="5"/>
  <c r="N28" i="5"/>
  <c r="D29" i="5"/>
  <c r="F29" i="5"/>
  <c r="L29" i="5"/>
  <c r="N29" i="5"/>
  <c r="D31" i="5"/>
  <c r="F31" i="5"/>
  <c r="L31" i="5"/>
  <c r="N31" i="5"/>
  <c r="D33" i="5"/>
  <c r="L33" i="5"/>
  <c r="D34" i="5"/>
  <c r="L34" i="5"/>
  <c r="D35" i="5"/>
  <c r="L35" i="5"/>
  <c r="D37" i="5"/>
  <c r="L37" i="5"/>
  <c r="D39" i="5"/>
  <c r="F39" i="5" s="1"/>
  <c r="D40" i="5"/>
  <c r="L40" i="5" s="1"/>
  <c r="A50" i="5"/>
  <c r="L53" i="5"/>
  <c r="A58" i="5"/>
  <c r="L58" i="5"/>
  <c r="L561" i="5" l="1"/>
  <c r="N561" i="5" s="1"/>
  <c r="L541" i="5"/>
  <c r="L543" i="5"/>
  <c r="L545" i="5"/>
  <c r="L550" i="5"/>
  <c r="L553" i="5"/>
  <c r="D559" i="5"/>
  <c r="L538" i="5"/>
  <c r="N551" i="5"/>
  <c r="N549" i="5"/>
  <c r="D541" i="5"/>
  <c r="D543" i="5"/>
  <c r="D545" i="5"/>
  <c r="D550" i="5"/>
  <c r="D553" i="5"/>
  <c r="D557" i="5"/>
  <c r="D562" i="5"/>
  <c r="L562" i="5" s="1"/>
  <c r="Q581" i="5"/>
  <c r="N542" i="5"/>
  <c r="N544" i="5"/>
  <c r="L556" i="5"/>
  <c r="F541" i="5"/>
  <c r="F543" i="5"/>
  <c r="F545" i="5"/>
  <c r="F550" i="5"/>
  <c r="F553" i="5"/>
  <c r="F376" i="5"/>
  <c r="F367" i="5"/>
  <c r="L382" i="5"/>
  <c r="N375" i="5"/>
  <c r="N370" i="5"/>
  <c r="N368" i="5"/>
  <c r="L364" i="5"/>
  <c r="L385" i="5"/>
  <c r="N379" i="5"/>
  <c r="N376" i="5"/>
  <c r="N371" i="5"/>
  <c r="N369" i="5"/>
  <c r="N367" i="5"/>
  <c r="E352" i="5"/>
  <c r="F379" i="5"/>
  <c r="F371" i="5"/>
  <c r="F369" i="5"/>
  <c r="Q407" i="5"/>
  <c r="D388" i="5"/>
  <c r="L388" i="5" s="1"/>
  <c r="D379" i="5"/>
  <c r="D371" i="5"/>
  <c r="D382" i="5"/>
  <c r="L377" i="5"/>
  <c r="L375" i="5"/>
  <c r="L370" i="5"/>
  <c r="L368" i="5"/>
  <c r="D364" i="5"/>
  <c r="E355" i="5"/>
  <c r="D383" i="5"/>
  <c r="D369" i="5"/>
  <c r="L381" i="5"/>
  <c r="F377" i="5"/>
  <c r="F375" i="5"/>
  <c r="F370" i="5"/>
  <c r="F368" i="5"/>
  <c r="E354" i="5"/>
  <c r="L398" i="5" s="1"/>
  <c r="L383" i="5"/>
  <c r="D376" i="5"/>
  <c r="D367" i="5"/>
  <c r="N377" i="5"/>
  <c r="D387" i="5"/>
  <c r="D381" i="5"/>
  <c r="D377" i="5"/>
  <c r="D375" i="5"/>
  <c r="D370" i="5"/>
  <c r="D368" i="5"/>
  <c r="L251" i="5"/>
  <c r="L255" i="5"/>
  <c r="L263" i="5"/>
  <c r="D269" i="5"/>
  <c r="N253" i="5"/>
  <c r="N255" i="5"/>
  <c r="N260" i="5"/>
  <c r="N263" i="5"/>
  <c r="L269" i="5"/>
  <c r="E237" i="5"/>
  <c r="D271" i="5"/>
  <c r="L267" i="5"/>
  <c r="L253" i="5"/>
  <c r="L260" i="5"/>
  <c r="E236" i="5"/>
  <c r="N251" i="5"/>
  <c r="D252" i="5"/>
  <c r="D254" i="5"/>
  <c r="D259" i="5"/>
  <c r="D261" i="5"/>
  <c r="D265" i="5"/>
  <c r="E238" i="5"/>
  <c r="L282" i="5" s="1"/>
  <c r="F252" i="5"/>
  <c r="F254" i="5"/>
  <c r="F259" i="5"/>
  <c r="F261" i="5"/>
  <c r="L265" i="5"/>
  <c r="E239" i="5"/>
  <c r="D248" i="5"/>
  <c r="L252" i="5"/>
  <c r="L254" i="5"/>
  <c r="L259" i="5"/>
  <c r="L261" i="5"/>
  <c r="D266" i="5"/>
  <c r="L248" i="5"/>
  <c r="N252" i="5"/>
  <c r="N254" i="5"/>
  <c r="N259" i="5"/>
  <c r="N261" i="5"/>
  <c r="L193" i="5"/>
  <c r="L195" i="5"/>
  <c r="L197" i="5"/>
  <c r="L202" i="5"/>
  <c r="L205" i="5"/>
  <c r="D211" i="5"/>
  <c r="E178" i="5"/>
  <c r="E179" i="5"/>
  <c r="D194" i="5"/>
  <c r="D201" i="5"/>
  <c r="D213" i="5"/>
  <c r="F196" i="5"/>
  <c r="F201" i="5"/>
  <c r="F203" i="5"/>
  <c r="L207" i="5"/>
  <c r="F193" i="5"/>
  <c r="F195" i="5"/>
  <c r="F197" i="5"/>
  <c r="F202" i="5"/>
  <c r="F205" i="5"/>
  <c r="L209" i="5"/>
  <c r="N193" i="5"/>
  <c r="N195" i="5"/>
  <c r="N197" i="5"/>
  <c r="N202" i="5"/>
  <c r="N205" i="5"/>
  <c r="L211" i="5"/>
  <c r="D196" i="5"/>
  <c r="D203" i="5"/>
  <c r="D207" i="5"/>
  <c r="E180" i="5"/>
  <c r="L224" i="5" s="1"/>
  <c r="F194" i="5"/>
  <c r="E181" i="5"/>
  <c r="D190" i="5"/>
  <c r="L194" i="5"/>
  <c r="L196" i="5"/>
  <c r="L201" i="5"/>
  <c r="L203" i="5"/>
  <c r="D208" i="5"/>
  <c r="L190" i="5"/>
  <c r="N194" i="5"/>
  <c r="N196" i="5"/>
  <c r="N201" i="5"/>
  <c r="N203" i="5"/>
  <c r="E120" i="5"/>
  <c r="N135" i="5"/>
  <c r="N137" i="5"/>
  <c r="N139" i="5"/>
  <c r="N144" i="5"/>
  <c r="N147" i="5"/>
  <c r="L153" i="5"/>
  <c r="D136" i="5"/>
  <c r="D143" i="5"/>
  <c r="D145" i="5"/>
  <c r="D149" i="5"/>
  <c r="D155" i="5"/>
  <c r="E122" i="5"/>
  <c r="L166" i="5" s="1"/>
  <c r="F136" i="5"/>
  <c r="F138" i="5"/>
  <c r="F143" i="5"/>
  <c r="F145" i="5"/>
  <c r="L149" i="5"/>
  <c r="L138" i="5"/>
  <c r="F135" i="5"/>
  <c r="F137" i="5"/>
  <c r="F139" i="5"/>
  <c r="F144" i="5"/>
  <c r="F147" i="5"/>
  <c r="L151" i="5"/>
  <c r="L135" i="5"/>
  <c r="L137" i="5"/>
  <c r="L139" i="5"/>
  <c r="L144" i="5"/>
  <c r="L147" i="5"/>
  <c r="D153" i="5"/>
  <c r="E121" i="5"/>
  <c r="D138" i="5"/>
  <c r="E123" i="5"/>
  <c r="D132" i="5"/>
  <c r="L136" i="5"/>
  <c r="L143" i="5"/>
  <c r="L145" i="5"/>
  <c r="D150" i="5"/>
  <c r="L132" i="5"/>
  <c r="N136" i="5"/>
  <c r="N138" i="5"/>
  <c r="N143" i="5"/>
  <c r="N145" i="5"/>
  <c r="D78" i="5"/>
  <c r="D80" i="5"/>
  <c r="D85" i="5"/>
  <c r="D87" i="5"/>
  <c r="D91" i="5"/>
  <c r="D97" i="5"/>
  <c r="L97" i="5" s="1"/>
  <c r="N97" i="5" s="1"/>
  <c r="F78" i="5"/>
  <c r="F80" i="5"/>
  <c r="F85" i="5"/>
  <c r="F87" i="5"/>
  <c r="L91" i="5"/>
  <c r="L39" i="5"/>
  <c r="N39" i="5" s="1"/>
  <c r="L617" i="5" l="1"/>
  <c r="N611" i="5"/>
  <c r="N608" i="5"/>
  <c r="N603" i="5"/>
  <c r="N601" i="5"/>
  <c r="N599" i="5"/>
  <c r="E584" i="5"/>
  <c r="F611" i="5"/>
  <c r="F601" i="5"/>
  <c r="D617" i="5"/>
  <c r="L611" i="5"/>
  <c r="L608" i="5"/>
  <c r="L603" i="5"/>
  <c r="L601" i="5"/>
  <c r="L599" i="5"/>
  <c r="L615" i="5"/>
  <c r="F603" i="5"/>
  <c r="F608" i="5"/>
  <c r="F599" i="5"/>
  <c r="D619" i="5"/>
  <c r="D613" i="5"/>
  <c r="D609" i="5"/>
  <c r="D607" i="5"/>
  <c r="D602" i="5"/>
  <c r="D600" i="5"/>
  <c r="E585" i="5"/>
  <c r="F609" i="5"/>
  <c r="F602" i="5"/>
  <c r="E586" i="5"/>
  <c r="L630" i="5" s="1"/>
  <c r="D614" i="5"/>
  <c r="L613" i="5"/>
  <c r="D603" i="5"/>
  <c r="D615" i="5"/>
  <c r="D608" i="5"/>
  <c r="D601" i="5"/>
  <c r="L600" i="5"/>
  <c r="F607" i="5"/>
  <c r="D611" i="5"/>
  <c r="N609" i="5"/>
  <c r="N602" i="5"/>
  <c r="L614" i="5"/>
  <c r="N607" i="5"/>
  <c r="N600" i="5"/>
  <c r="F600" i="5"/>
  <c r="D620" i="5"/>
  <c r="L620" i="5" s="1"/>
  <c r="D599" i="5"/>
  <c r="Q639" i="5"/>
  <c r="L609" i="5"/>
  <c r="L602" i="5"/>
  <c r="D596" i="5"/>
  <c r="E587" i="5"/>
  <c r="L607" i="5"/>
  <c r="L596" i="5"/>
  <c r="E413" i="5"/>
  <c r="D422" i="5"/>
  <c r="L426" i="5"/>
  <c r="L428" i="5"/>
  <c r="L433" i="5"/>
  <c r="L435" i="5"/>
  <c r="D440" i="5"/>
  <c r="L425" i="5"/>
  <c r="L437" i="5"/>
  <c r="N427" i="5"/>
  <c r="L443" i="5"/>
  <c r="D426" i="5"/>
  <c r="D435" i="5"/>
  <c r="L422" i="5"/>
  <c r="N426" i="5"/>
  <c r="N428" i="5"/>
  <c r="N433" i="5"/>
  <c r="N435" i="5"/>
  <c r="L440" i="5"/>
  <c r="L434" i="5"/>
  <c r="E410" i="5"/>
  <c r="N429" i="5"/>
  <c r="E411" i="5"/>
  <c r="D439" i="5"/>
  <c r="D425" i="5"/>
  <c r="D427" i="5"/>
  <c r="D429" i="5"/>
  <c r="D434" i="5"/>
  <c r="D437" i="5"/>
  <c r="D441" i="5"/>
  <c r="D446" i="5"/>
  <c r="L446" i="5" s="1"/>
  <c r="Q465" i="5"/>
  <c r="F427" i="5"/>
  <c r="L427" i="5"/>
  <c r="L429" i="5"/>
  <c r="D443" i="5"/>
  <c r="N437" i="5"/>
  <c r="D428" i="5"/>
  <c r="D445" i="5"/>
  <c r="E412" i="5"/>
  <c r="L456" i="5" s="1"/>
  <c r="F426" i="5"/>
  <c r="F428" i="5"/>
  <c r="F433" i="5"/>
  <c r="F435" i="5"/>
  <c r="L439" i="5"/>
  <c r="F425" i="5"/>
  <c r="F429" i="5"/>
  <c r="F434" i="5"/>
  <c r="F437" i="5"/>
  <c r="L441" i="5"/>
  <c r="N425" i="5"/>
  <c r="N434" i="5"/>
  <c r="D433" i="5"/>
  <c r="F387" i="5"/>
  <c r="L387" i="5"/>
  <c r="N387" i="5" s="1"/>
  <c r="L271" i="5"/>
  <c r="N271" i="5" s="1"/>
  <c r="F271" i="5"/>
  <c r="L213" i="5"/>
  <c r="N213" i="5" s="1"/>
  <c r="F213" i="5"/>
  <c r="L155" i="5"/>
  <c r="N155" i="5" s="1"/>
  <c r="F155" i="5"/>
  <c r="F97" i="5"/>
  <c r="L671" i="5" l="1"/>
  <c r="F667" i="5"/>
  <c r="F665" i="5"/>
  <c r="F660" i="5"/>
  <c r="F658" i="5"/>
  <c r="E644" i="5"/>
  <c r="L688" i="5" s="1"/>
  <c r="N659" i="5"/>
  <c r="E642" i="5"/>
  <c r="D677" i="5"/>
  <c r="D671" i="5"/>
  <c r="D667" i="5"/>
  <c r="D665" i="5"/>
  <c r="D660" i="5"/>
  <c r="D658" i="5"/>
  <c r="E643" i="5"/>
  <c r="N666" i="5"/>
  <c r="N657" i="5"/>
  <c r="L675" i="5"/>
  <c r="N669" i="5"/>
  <c r="N661" i="5"/>
  <c r="D672" i="5"/>
  <c r="L667" i="5"/>
  <c r="L665" i="5"/>
  <c r="L660" i="5"/>
  <c r="L658" i="5"/>
  <c r="D654" i="5"/>
  <c r="E645" i="5"/>
  <c r="D675" i="5"/>
  <c r="L666" i="5"/>
  <c r="L659" i="5"/>
  <c r="N658" i="5"/>
  <c r="L669" i="5"/>
  <c r="F661" i="5"/>
  <c r="D669" i="5"/>
  <c r="L673" i="5"/>
  <c r="F666" i="5"/>
  <c r="F659" i="5"/>
  <c r="L657" i="5"/>
  <c r="F669" i="5"/>
  <c r="F657" i="5"/>
  <c r="D678" i="5"/>
  <c r="L678" i="5" s="1"/>
  <c r="D657" i="5"/>
  <c r="D673" i="5"/>
  <c r="D666" i="5"/>
  <c r="D659" i="5"/>
  <c r="L672" i="5"/>
  <c r="L661" i="5"/>
  <c r="Q697" i="5"/>
  <c r="N667" i="5"/>
  <c r="N660" i="5"/>
  <c r="L654" i="5"/>
  <c r="N665" i="5"/>
  <c r="D661" i="5"/>
  <c r="F619" i="5"/>
  <c r="L619" i="5"/>
  <c r="N619" i="5" s="1"/>
  <c r="D483" i="5"/>
  <c r="D485" i="5"/>
  <c r="D487" i="5"/>
  <c r="D492" i="5"/>
  <c r="D495" i="5"/>
  <c r="D499" i="5"/>
  <c r="D504" i="5"/>
  <c r="L504" i="5" s="1"/>
  <c r="N492" i="5"/>
  <c r="E469" i="5"/>
  <c r="D493" i="5"/>
  <c r="L484" i="5"/>
  <c r="L491" i="5"/>
  <c r="D498" i="5"/>
  <c r="F483" i="5"/>
  <c r="F485" i="5"/>
  <c r="F487" i="5"/>
  <c r="F492" i="5"/>
  <c r="F495" i="5"/>
  <c r="L499" i="5"/>
  <c r="N495" i="5"/>
  <c r="D484" i="5"/>
  <c r="D497" i="5"/>
  <c r="E470" i="5"/>
  <c r="L514" i="5" s="1"/>
  <c r="F486" i="5"/>
  <c r="F491" i="5"/>
  <c r="L486" i="5"/>
  <c r="L483" i="5"/>
  <c r="L485" i="5"/>
  <c r="L487" i="5"/>
  <c r="L492" i="5"/>
  <c r="L495" i="5"/>
  <c r="D501" i="5"/>
  <c r="E468" i="5"/>
  <c r="N485" i="5"/>
  <c r="D486" i="5"/>
  <c r="D491" i="5"/>
  <c r="D503" i="5"/>
  <c r="F484" i="5"/>
  <c r="F493" i="5"/>
  <c r="E471" i="5"/>
  <c r="L493" i="5"/>
  <c r="L480" i="5"/>
  <c r="N484" i="5"/>
  <c r="N486" i="5"/>
  <c r="N491" i="5"/>
  <c r="N493" i="5"/>
  <c r="L498" i="5"/>
  <c r="N483" i="5"/>
  <c r="N487" i="5"/>
  <c r="L501" i="5"/>
  <c r="L497" i="5"/>
  <c r="D480" i="5"/>
  <c r="L445" i="5"/>
  <c r="N445" i="5" s="1"/>
  <c r="F445" i="5"/>
  <c r="L730" i="5" l="1"/>
  <c r="N725" i="5"/>
  <c r="N723" i="5"/>
  <c r="N718" i="5"/>
  <c r="N716" i="5"/>
  <c r="L712" i="5"/>
  <c r="F723" i="5"/>
  <c r="F716" i="5"/>
  <c r="D729" i="5"/>
  <c r="D718" i="5"/>
  <c r="D730" i="5"/>
  <c r="L725" i="5"/>
  <c r="L723" i="5"/>
  <c r="L718" i="5"/>
  <c r="L716" i="5"/>
  <c r="D712" i="5"/>
  <c r="E703" i="5"/>
  <c r="L729" i="5"/>
  <c r="F725" i="5"/>
  <c r="F718" i="5"/>
  <c r="D735" i="5"/>
  <c r="D723" i="5"/>
  <c r="E702" i="5"/>
  <c r="L746" i="5" s="1"/>
  <c r="D725" i="5"/>
  <c r="D716" i="5"/>
  <c r="Q755" i="5"/>
  <c r="D736" i="5"/>
  <c r="L736" i="5" s="1"/>
  <c r="D731" i="5"/>
  <c r="D727" i="5"/>
  <c r="D724" i="5"/>
  <c r="D719" i="5"/>
  <c r="D717" i="5"/>
  <c r="D715" i="5"/>
  <c r="L727" i="5"/>
  <c r="N717" i="5"/>
  <c r="L724" i="5"/>
  <c r="F724" i="5"/>
  <c r="D733" i="5"/>
  <c r="L719" i="5"/>
  <c r="F727" i="5"/>
  <c r="L717" i="5"/>
  <c r="L733" i="5"/>
  <c r="N719" i="5"/>
  <c r="L731" i="5"/>
  <c r="E700" i="5"/>
  <c r="N724" i="5"/>
  <c r="F717" i="5"/>
  <c r="N715" i="5"/>
  <c r="N727" i="5"/>
  <c r="F719" i="5"/>
  <c r="L715" i="5"/>
  <c r="F715" i="5"/>
  <c r="E701" i="5"/>
  <c r="F677" i="5"/>
  <c r="L677" i="5"/>
  <c r="N677" i="5" s="1"/>
  <c r="F503" i="5"/>
  <c r="L503" i="5"/>
  <c r="N503" i="5" s="1"/>
  <c r="L789" i="5" l="1"/>
  <c r="F785" i="5"/>
  <c r="F782" i="5"/>
  <c r="F777" i="5"/>
  <c r="F775" i="5"/>
  <c r="F773" i="5"/>
  <c r="N774" i="5"/>
  <c r="L781" i="5"/>
  <c r="L774" i="5"/>
  <c r="Q813" i="5"/>
  <c r="D794" i="5"/>
  <c r="L794" i="5" s="1"/>
  <c r="D789" i="5"/>
  <c r="D785" i="5"/>
  <c r="D782" i="5"/>
  <c r="D777" i="5"/>
  <c r="D775" i="5"/>
  <c r="D773" i="5"/>
  <c r="L788" i="5"/>
  <c r="N783" i="5"/>
  <c r="N776" i="5"/>
  <c r="L776" i="5"/>
  <c r="E761" i="5"/>
  <c r="N781" i="5"/>
  <c r="L770" i="5"/>
  <c r="D788" i="5"/>
  <c r="D770" i="5"/>
  <c r="D791" i="5"/>
  <c r="L785" i="5"/>
  <c r="L782" i="5"/>
  <c r="L777" i="5"/>
  <c r="L775" i="5"/>
  <c r="L773" i="5"/>
  <c r="L783" i="5"/>
  <c r="F783" i="5"/>
  <c r="N775" i="5"/>
  <c r="D793" i="5"/>
  <c r="D781" i="5"/>
  <c r="L787" i="5"/>
  <c r="D787" i="5"/>
  <c r="D783" i="5"/>
  <c r="F774" i="5"/>
  <c r="F781" i="5"/>
  <c r="N777" i="5"/>
  <c r="F776" i="5"/>
  <c r="N782" i="5"/>
  <c r="D774" i="5"/>
  <c r="E760" i="5"/>
  <c r="L804" i="5" s="1"/>
  <c r="L791" i="5"/>
  <c r="N773" i="5"/>
  <c r="N785" i="5"/>
  <c r="D776" i="5"/>
  <c r="E759" i="5"/>
  <c r="E758" i="5"/>
  <c r="F735" i="5"/>
  <c r="L735" i="5"/>
  <c r="N735" i="5" s="1"/>
  <c r="L849" i="5" l="1"/>
  <c r="N843" i="5"/>
  <c r="N840" i="5"/>
  <c r="N835" i="5"/>
  <c r="N833" i="5"/>
  <c r="N831" i="5"/>
  <c r="E816" i="5"/>
  <c r="L847" i="5"/>
  <c r="Q871" i="5"/>
  <c r="D843" i="5"/>
  <c r="D831" i="5"/>
  <c r="D849" i="5"/>
  <c r="L843" i="5"/>
  <c r="L840" i="5"/>
  <c r="L835" i="5"/>
  <c r="L833" i="5"/>
  <c r="L831" i="5"/>
  <c r="D852" i="5"/>
  <c r="L852" i="5" s="1"/>
  <c r="D847" i="5"/>
  <c r="D840" i="5"/>
  <c r="D833" i="5"/>
  <c r="F843" i="5"/>
  <c r="F840" i="5"/>
  <c r="F835" i="5"/>
  <c r="F833" i="5"/>
  <c r="F831" i="5"/>
  <c r="D835" i="5"/>
  <c r="D851" i="5"/>
  <c r="D845" i="5"/>
  <c r="D841" i="5"/>
  <c r="D839" i="5"/>
  <c r="D834" i="5"/>
  <c r="D832" i="5"/>
  <c r="E817" i="5"/>
  <c r="N839" i="5"/>
  <c r="F832" i="5"/>
  <c r="L841" i="5"/>
  <c r="L839" i="5"/>
  <c r="L828" i="5"/>
  <c r="N834" i="5"/>
  <c r="N841" i="5"/>
  <c r="L846" i="5"/>
  <c r="F839" i="5"/>
  <c r="D828" i="5"/>
  <c r="E819" i="5"/>
  <c r="D846" i="5"/>
  <c r="L834" i="5"/>
  <c r="N832" i="5"/>
  <c r="F841" i="5"/>
  <c r="L832" i="5"/>
  <c r="E818" i="5"/>
  <c r="L862" i="5" s="1"/>
  <c r="L845" i="5"/>
  <c r="F834" i="5"/>
  <c r="L793" i="5"/>
  <c r="N793" i="5" s="1"/>
  <c r="F793" i="5"/>
  <c r="L851" i="5" l="1"/>
  <c r="N851" i="5" s="1"/>
  <c r="F851" i="5"/>
  <c r="L903" i="5"/>
  <c r="F899" i="5"/>
  <c r="F897" i="5"/>
  <c r="F892" i="5"/>
  <c r="F890" i="5"/>
  <c r="E876" i="5"/>
  <c r="L920" i="5" s="1"/>
  <c r="L901" i="5"/>
  <c r="L893" i="5"/>
  <c r="L891" i="5"/>
  <c r="D909" i="5"/>
  <c r="D903" i="5"/>
  <c r="D899" i="5"/>
  <c r="D897" i="5"/>
  <c r="D892" i="5"/>
  <c r="D890" i="5"/>
  <c r="E875" i="5"/>
  <c r="D907" i="5"/>
  <c r="L898" i="5"/>
  <c r="L889" i="5"/>
  <c r="L907" i="5"/>
  <c r="N901" i="5"/>
  <c r="N898" i="5"/>
  <c r="N893" i="5"/>
  <c r="N891" i="5"/>
  <c r="N889" i="5"/>
  <c r="E874" i="5"/>
  <c r="D904" i="5"/>
  <c r="L899" i="5"/>
  <c r="L897" i="5"/>
  <c r="L892" i="5"/>
  <c r="L890" i="5"/>
  <c r="D886" i="5"/>
  <c r="E877" i="5"/>
  <c r="Q929" i="5"/>
  <c r="D898" i="5"/>
  <c r="F889" i="5"/>
  <c r="N899" i="5"/>
  <c r="D891" i="5"/>
  <c r="L905" i="5"/>
  <c r="N897" i="5"/>
  <c r="D889" i="5"/>
  <c r="F901" i="5"/>
  <c r="N892" i="5"/>
  <c r="D901" i="5"/>
  <c r="D905" i="5"/>
  <c r="F893" i="5"/>
  <c r="L886" i="5"/>
  <c r="L904" i="5"/>
  <c r="D893" i="5"/>
  <c r="D910" i="5"/>
  <c r="L910" i="5" s="1"/>
  <c r="F898" i="5"/>
  <c r="N890" i="5"/>
  <c r="F891" i="5"/>
  <c r="L962" i="5" l="1"/>
  <c r="N957" i="5"/>
  <c r="N955" i="5"/>
  <c r="N950" i="5"/>
  <c r="N948" i="5"/>
  <c r="L944" i="5"/>
  <c r="D950" i="5"/>
  <c r="D962" i="5"/>
  <c r="L957" i="5"/>
  <c r="L955" i="5"/>
  <c r="L950" i="5"/>
  <c r="L948" i="5"/>
  <c r="D944" i="5"/>
  <c r="E935" i="5"/>
  <c r="D948" i="5"/>
  <c r="L961" i="5"/>
  <c r="F957" i="5"/>
  <c r="F955" i="5"/>
  <c r="F950" i="5"/>
  <c r="F948" i="5"/>
  <c r="E934" i="5"/>
  <c r="L978" i="5" s="1"/>
  <c r="E933" i="5"/>
  <c r="D967" i="5"/>
  <c r="D961" i="5"/>
  <c r="D957" i="5"/>
  <c r="D955" i="5"/>
  <c r="D968" i="5"/>
  <c r="L968" i="5" s="1"/>
  <c r="D963" i="5"/>
  <c r="D959" i="5"/>
  <c r="D956" i="5"/>
  <c r="D951" i="5"/>
  <c r="D949" i="5"/>
  <c r="D947" i="5"/>
  <c r="L963" i="5"/>
  <c r="L951" i="5"/>
  <c r="L965" i="5"/>
  <c r="N959" i="5"/>
  <c r="F951" i="5"/>
  <c r="L949" i="5"/>
  <c r="F949" i="5"/>
  <c r="L956" i="5"/>
  <c r="F956" i="5"/>
  <c r="L959" i="5"/>
  <c r="N949" i="5"/>
  <c r="F959" i="5"/>
  <c r="N956" i="5"/>
  <c r="L947" i="5"/>
  <c r="D965" i="5"/>
  <c r="N951" i="5"/>
  <c r="F947" i="5"/>
  <c r="E932" i="5"/>
  <c r="N947" i="5"/>
  <c r="Q987" i="5"/>
  <c r="F909" i="5"/>
  <c r="L909" i="5"/>
  <c r="N909" i="5" s="1"/>
  <c r="L967" i="5" l="1"/>
  <c r="N967" i="5" s="1"/>
  <c r="F967" i="5"/>
  <c r="N1017" i="5"/>
  <c r="D1014" i="5"/>
  <c r="L1009" i="5"/>
  <c r="D1017" i="5"/>
  <c r="D1002" i="5"/>
  <c r="E991" i="5"/>
  <c r="L1006" i="5"/>
  <c r="L1007" i="5"/>
  <c r="F1008" i="5"/>
  <c r="L1020" i="5"/>
  <c r="D1025" i="5"/>
  <c r="N1007" i="5"/>
  <c r="L1021" i="5"/>
  <c r="D1019" i="5"/>
  <c r="E992" i="5"/>
  <c r="L1036" i="5" s="1"/>
  <c r="D1021" i="5"/>
  <c r="N1014" i="5"/>
  <c r="D1005" i="5"/>
  <c r="D1007" i="5"/>
  <c r="E993" i="5"/>
  <c r="N1009" i="5"/>
  <c r="L1005" i="5"/>
  <c r="L1019" i="5"/>
  <c r="F1015" i="5"/>
  <c r="N1013" i="5"/>
  <c r="N1005" i="5"/>
  <c r="F1006" i="5"/>
  <c r="Q1045" i="5"/>
  <c r="N1008" i="5"/>
  <c r="F1014" i="5"/>
  <c r="L1017" i="5"/>
  <c r="D1008" i="5"/>
  <c r="N1006" i="5"/>
  <c r="N1015" i="5"/>
  <c r="L1008" i="5"/>
  <c r="F1013" i="5"/>
  <c r="D1015" i="5"/>
  <c r="D1023" i="5"/>
  <c r="D1013" i="5"/>
  <c r="D1009" i="5"/>
  <c r="L1023" i="5"/>
  <c r="D1026" i="5"/>
  <c r="L1026" i="5" s="1"/>
  <c r="L1014" i="5"/>
  <c r="F1005" i="5"/>
  <c r="L1015" i="5"/>
  <c r="D1006" i="5"/>
  <c r="L1013" i="5"/>
  <c r="F1017" i="5"/>
  <c r="E990" i="5"/>
  <c r="L1002" i="5"/>
  <c r="F1009" i="5"/>
  <c r="F1007" i="5"/>
  <c r="D1020" i="5"/>
  <c r="L1025" i="5" l="1"/>
  <c r="N1025" i="5" s="1"/>
  <c r="F1025" i="5"/>
  <c r="F1073" i="5"/>
  <c r="L1072" i="5"/>
  <c r="D1071" i="5"/>
  <c r="L1067" i="5"/>
  <c r="D1078" i="5"/>
  <c r="F1075" i="5"/>
  <c r="D1067" i="5"/>
  <c r="L1078" i="5"/>
  <c r="L1060" i="5"/>
  <c r="N1064" i="5"/>
  <c r="N1075" i="5"/>
  <c r="D1083" i="5"/>
  <c r="L1075" i="5"/>
  <c r="D1079" i="5"/>
  <c r="N1067" i="5"/>
  <c r="F1071" i="5"/>
  <c r="L1063" i="5"/>
  <c r="D1066" i="5"/>
  <c r="F1072" i="5"/>
  <c r="L1073" i="5"/>
  <c r="F1067" i="5"/>
  <c r="D1065" i="5"/>
  <c r="F1064" i="5"/>
  <c r="L1066" i="5"/>
  <c r="E1050" i="5"/>
  <c r="L1094" i="5" s="1"/>
  <c r="L1081" i="5"/>
  <c r="D1084" i="5"/>
  <c r="L1084" i="5" s="1"/>
  <c r="D1060" i="5"/>
  <c r="E1051" i="5"/>
  <c r="F1066" i="5"/>
  <c r="F1065" i="5"/>
  <c r="D1064" i="5"/>
  <c r="N1073" i="5"/>
  <c r="L1071" i="5"/>
  <c r="F1063" i="5"/>
  <c r="D1063" i="5"/>
  <c r="E1049" i="5"/>
  <c r="Q1103" i="5"/>
  <c r="L1064" i="5"/>
  <c r="D1077" i="5"/>
  <c r="D1075" i="5"/>
  <c r="L1077" i="5"/>
  <c r="D1081" i="5"/>
  <c r="D1073" i="5"/>
  <c r="N1063" i="5"/>
  <c r="N1071" i="5"/>
  <c r="L1079" i="5"/>
  <c r="D1072" i="5"/>
  <c r="N1066" i="5"/>
  <c r="N1065" i="5"/>
  <c r="N1072" i="5"/>
  <c r="E1048" i="5"/>
  <c r="L1065" i="5"/>
  <c r="L1083" i="5" l="1"/>
  <c r="N1083" i="5" s="1"/>
  <c r="F1083" i="5"/>
  <c r="E1108" i="5"/>
  <c r="L1152" i="5" s="1"/>
  <c r="L1129" i="5"/>
  <c r="F1122" i="5"/>
  <c r="D1135" i="5"/>
  <c r="F1130" i="5"/>
  <c r="N1125" i="5"/>
  <c r="L1122" i="5"/>
  <c r="D1124" i="5"/>
  <c r="L1123" i="5"/>
  <c r="N1129" i="5"/>
  <c r="D1118" i="5"/>
  <c r="D1122" i="5"/>
  <c r="L1121" i="5"/>
  <c r="F1125" i="5"/>
  <c r="L1125" i="5"/>
  <c r="L1136" i="5"/>
  <c r="D1129" i="5"/>
  <c r="L1124" i="5"/>
  <c r="D1141" i="5"/>
  <c r="D1131" i="5"/>
  <c r="D1142" i="5"/>
  <c r="L1142" i="5" s="1"/>
  <c r="D1139" i="5"/>
  <c r="N1130" i="5"/>
  <c r="D1137" i="5"/>
  <c r="N1123" i="5"/>
  <c r="N1133" i="5"/>
  <c r="D1133" i="5"/>
  <c r="E1109" i="5"/>
  <c r="D1136" i="5"/>
  <c r="L1133" i="5"/>
  <c r="N1131" i="5"/>
  <c r="E1107" i="5"/>
  <c r="N1124" i="5"/>
  <c r="N1121" i="5"/>
  <c r="E1106" i="5"/>
  <c r="L1118" i="5"/>
  <c r="F1129" i="5"/>
  <c r="D1123" i="5"/>
  <c r="L1135" i="5"/>
  <c r="L1131" i="5"/>
  <c r="F1124" i="5"/>
  <c r="F1123" i="5"/>
  <c r="F1133" i="5"/>
  <c r="D1121" i="5"/>
  <c r="L1130" i="5"/>
  <c r="L1139" i="5"/>
  <c r="D1130" i="5"/>
  <c r="F1121" i="5"/>
  <c r="N1122" i="5"/>
  <c r="F1131" i="5"/>
  <c r="D1125" i="5"/>
  <c r="L1137" i="5"/>
  <c r="F1141" i="5" l="1"/>
  <c r="L1141" i="5"/>
  <c r="N1141" i="5" s="1"/>
  <c r="N631" i="2" l="1"/>
  <c r="G635" i="2" s="1"/>
  <c r="J693" i="2" s="1"/>
  <c r="F1260" i="2"/>
  <c r="B1260" i="2"/>
  <c r="B1255" i="2"/>
  <c r="M1251" i="2"/>
  <c r="G1208" i="2"/>
  <c r="G1207" i="2"/>
  <c r="B1207" i="2"/>
  <c r="G1206" i="2"/>
  <c r="G1205" i="2"/>
  <c r="B1205" i="2"/>
  <c r="F1197" i="2"/>
  <c r="B1197" i="2"/>
  <c r="B1192" i="2"/>
  <c r="M1188" i="2"/>
  <c r="G1145" i="2"/>
  <c r="G1144" i="2"/>
  <c r="B1144" i="2"/>
  <c r="G1143" i="2"/>
  <c r="G1142" i="2"/>
  <c r="B1142" i="2"/>
  <c r="F1134" i="2"/>
  <c r="B1134" i="2"/>
  <c r="B1129" i="2"/>
  <c r="M1125" i="2"/>
  <c r="G1082" i="2"/>
  <c r="G1081" i="2"/>
  <c r="B1081" i="2"/>
  <c r="G1080" i="2"/>
  <c r="G1079" i="2"/>
  <c r="B1079" i="2"/>
  <c r="F1071" i="2"/>
  <c r="B1071" i="2"/>
  <c r="B1066" i="2"/>
  <c r="M1062" i="2"/>
  <c r="G1019" i="2"/>
  <c r="G1018" i="2"/>
  <c r="B1018" i="2"/>
  <c r="G1017" i="2"/>
  <c r="G1016" i="2"/>
  <c r="B1016" i="2"/>
  <c r="F1008" i="2"/>
  <c r="B1008" i="2"/>
  <c r="B1003" i="2"/>
  <c r="M999" i="2"/>
  <c r="G956" i="2"/>
  <c r="G955" i="2"/>
  <c r="B955" i="2"/>
  <c r="G954" i="2"/>
  <c r="G953" i="2"/>
  <c r="B953" i="2"/>
  <c r="F945" i="2"/>
  <c r="B945" i="2"/>
  <c r="B940" i="2"/>
  <c r="M936" i="2"/>
  <c r="G893" i="2"/>
  <c r="G892" i="2"/>
  <c r="B892" i="2"/>
  <c r="G891" i="2"/>
  <c r="G890" i="2"/>
  <c r="B890" i="2"/>
  <c r="F882" i="2"/>
  <c r="B882" i="2"/>
  <c r="B877" i="2"/>
  <c r="M873" i="2"/>
  <c r="G830" i="2"/>
  <c r="G829" i="2"/>
  <c r="B829" i="2"/>
  <c r="G828" i="2"/>
  <c r="G827" i="2"/>
  <c r="B827" i="2"/>
  <c r="F819" i="2"/>
  <c r="B819" i="2"/>
  <c r="B814" i="2"/>
  <c r="M810" i="2"/>
  <c r="G767" i="2"/>
  <c r="G766" i="2"/>
  <c r="B766" i="2"/>
  <c r="G765" i="2"/>
  <c r="G764" i="2"/>
  <c r="B764" i="2"/>
  <c r="F756" i="2"/>
  <c r="B756" i="2"/>
  <c r="B751" i="2"/>
  <c r="M747" i="2"/>
  <c r="G704" i="2"/>
  <c r="G703" i="2"/>
  <c r="B703" i="2"/>
  <c r="G702" i="2"/>
  <c r="G701" i="2"/>
  <c r="B701" i="2"/>
  <c r="N694" i="2"/>
  <c r="G705" i="2" s="1"/>
  <c r="F693" i="2"/>
  <c r="B693" i="2"/>
  <c r="B688" i="2"/>
  <c r="M684" i="2"/>
  <c r="G642" i="2"/>
  <c r="G641" i="2"/>
  <c r="G640" i="2"/>
  <c r="B640" i="2"/>
  <c r="G639" i="2"/>
  <c r="G638" i="2"/>
  <c r="B638" i="2"/>
  <c r="G637" i="2"/>
  <c r="G636" i="2"/>
  <c r="A632" i="2"/>
  <c r="F630" i="2"/>
  <c r="B630" i="2"/>
  <c r="B625" i="2"/>
  <c r="M621" i="2"/>
  <c r="G579" i="2"/>
  <c r="G578" i="2"/>
  <c r="G577" i="2"/>
  <c r="B577" i="2"/>
  <c r="G576" i="2"/>
  <c r="G575" i="2"/>
  <c r="B575" i="2"/>
  <c r="G574" i="2"/>
  <c r="G573" i="2"/>
  <c r="G572" i="2"/>
  <c r="J630" i="2" s="1"/>
  <c r="A569" i="2"/>
  <c r="N568" i="2"/>
  <c r="F567" i="2"/>
  <c r="B567" i="2"/>
  <c r="B562" i="2"/>
  <c r="M558" i="2"/>
  <c r="G516" i="2"/>
  <c r="G515" i="2"/>
  <c r="G514" i="2"/>
  <c r="B514" i="2"/>
  <c r="G513" i="2"/>
  <c r="G512" i="2"/>
  <c r="B512" i="2"/>
  <c r="G511" i="2"/>
  <c r="G510" i="2"/>
  <c r="G509" i="2"/>
  <c r="J567" i="2" s="1"/>
  <c r="A506" i="2"/>
  <c r="N505" i="2"/>
  <c r="F504" i="2"/>
  <c r="B504" i="2"/>
  <c r="B499" i="2"/>
  <c r="M495" i="2"/>
  <c r="G453" i="2"/>
  <c r="G452" i="2"/>
  <c r="G451" i="2"/>
  <c r="B451" i="2"/>
  <c r="G450" i="2"/>
  <c r="G449" i="2"/>
  <c r="B449" i="2"/>
  <c r="G448" i="2"/>
  <c r="G447" i="2"/>
  <c r="G446" i="2"/>
  <c r="J504" i="2" s="1"/>
  <c r="A443" i="2"/>
  <c r="N442" i="2"/>
  <c r="F441" i="2"/>
  <c r="B441" i="2"/>
  <c r="B436" i="2"/>
  <c r="M432" i="2"/>
  <c r="G390" i="2"/>
  <c r="G389" i="2"/>
  <c r="G388" i="2"/>
  <c r="B388" i="2"/>
  <c r="G387" i="2"/>
  <c r="G386" i="2"/>
  <c r="B386" i="2"/>
  <c r="G385" i="2"/>
  <c r="G384" i="2"/>
  <c r="G383" i="2"/>
  <c r="J441" i="2" s="1"/>
  <c r="A380" i="2"/>
  <c r="N379" i="2"/>
  <c r="F378" i="2"/>
  <c r="B378" i="2"/>
  <c r="B373" i="2"/>
  <c r="M369" i="2"/>
  <c r="G327" i="2"/>
  <c r="G326" i="2"/>
  <c r="G325" i="2"/>
  <c r="B325" i="2"/>
  <c r="G324" i="2"/>
  <c r="G323" i="2"/>
  <c r="B323" i="2"/>
  <c r="G322" i="2"/>
  <c r="G321" i="2"/>
  <c r="G320" i="2"/>
  <c r="J378" i="2" s="1"/>
  <c r="A317" i="2"/>
  <c r="N316" i="2"/>
  <c r="F315" i="2"/>
  <c r="B315" i="2"/>
  <c r="B310" i="2"/>
  <c r="M306" i="2"/>
  <c r="G263" i="2"/>
  <c r="G262" i="2"/>
  <c r="B262" i="2"/>
  <c r="G261" i="2"/>
  <c r="G260" i="2"/>
  <c r="B260" i="2"/>
  <c r="N253" i="2"/>
  <c r="G264" i="2" s="1"/>
  <c r="F252" i="2"/>
  <c r="B252" i="2"/>
  <c r="B247" i="2"/>
  <c r="M243" i="2"/>
  <c r="G200" i="2"/>
  <c r="G199" i="2"/>
  <c r="B199" i="2"/>
  <c r="G198" i="2"/>
  <c r="G197" i="2"/>
  <c r="B197" i="2"/>
  <c r="N190" i="2"/>
  <c r="G196" i="2" s="1"/>
  <c r="F189" i="2"/>
  <c r="B189" i="2"/>
  <c r="B184" i="2"/>
  <c r="M180" i="2"/>
  <c r="G138" i="2"/>
  <c r="G137" i="2"/>
  <c r="G136" i="2"/>
  <c r="B136" i="2"/>
  <c r="G135" i="2"/>
  <c r="G134" i="2"/>
  <c r="B134" i="2"/>
  <c r="G133" i="2"/>
  <c r="G132" i="2"/>
  <c r="G131" i="2"/>
  <c r="J189" i="2" s="1"/>
  <c r="A128" i="2"/>
  <c r="N127" i="2"/>
  <c r="N64" i="2"/>
  <c r="F126" i="2"/>
  <c r="B126" i="2"/>
  <c r="B121" i="2"/>
  <c r="M117" i="2"/>
  <c r="G75" i="2"/>
  <c r="G74" i="2"/>
  <c r="G73" i="2"/>
  <c r="B73" i="2"/>
  <c r="G72" i="2"/>
  <c r="G71" i="2"/>
  <c r="B71" i="2"/>
  <c r="G70" i="2"/>
  <c r="G69" i="2"/>
  <c r="G68" i="2"/>
  <c r="J126" i="2" s="1"/>
  <c r="A65" i="2"/>
  <c r="A2" i="2"/>
  <c r="H17" i="4"/>
  <c r="O56" i="3"/>
  <c r="E56" i="3"/>
  <c r="A57" i="3"/>
  <c r="A56" i="3"/>
  <c r="E49" i="3"/>
  <c r="P47" i="3"/>
  <c r="D31" i="3"/>
  <c r="C31" i="3"/>
  <c r="B31" i="3"/>
  <c r="A31" i="3" s="1"/>
  <c r="D30" i="3"/>
  <c r="C30" i="3"/>
  <c r="B30" i="3"/>
  <c r="A30" i="3" s="1"/>
  <c r="D29" i="3"/>
  <c r="C29" i="3"/>
  <c r="B29" i="3"/>
  <c r="A29" i="3" s="1"/>
  <c r="D28" i="3"/>
  <c r="C28" i="3"/>
  <c r="B28" i="3"/>
  <c r="A28" i="3" s="1"/>
  <c r="D27" i="3"/>
  <c r="C27" i="3"/>
  <c r="B27" i="3"/>
  <c r="A27" i="3" s="1"/>
  <c r="D26" i="3"/>
  <c r="C26" i="3"/>
  <c r="B26" i="3"/>
  <c r="A26" i="3" s="1"/>
  <c r="D25" i="3"/>
  <c r="C25" i="3"/>
  <c r="B25" i="3"/>
  <c r="A25" i="3" s="1"/>
  <c r="D24" i="3"/>
  <c r="C24" i="3"/>
  <c r="B24" i="3"/>
  <c r="A24" i="3" s="1"/>
  <c r="D23" i="3"/>
  <c r="C23" i="3"/>
  <c r="B23" i="3"/>
  <c r="A23" i="3" s="1"/>
  <c r="D22" i="3"/>
  <c r="C22" i="3"/>
  <c r="B22" i="3"/>
  <c r="A22" i="3" s="1"/>
  <c r="D21" i="3"/>
  <c r="C21" i="3"/>
  <c r="B21" i="3"/>
  <c r="D20" i="3"/>
  <c r="C20" i="3"/>
  <c r="B20" i="3"/>
  <c r="A20" i="3" s="1"/>
  <c r="D19" i="3"/>
  <c r="C19" i="3"/>
  <c r="B19" i="3"/>
  <c r="A19" i="3" s="1"/>
  <c r="D18" i="3"/>
  <c r="C18" i="3"/>
  <c r="B18" i="3"/>
  <c r="A18" i="3" s="1"/>
  <c r="D17" i="3"/>
  <c r="C17" i="3"/>
  <c r="B17" i="3"/>
  <c r="A17" i="3" s="1"/>
  <c r="D16" i="3"/>
  <c r="C16" i="3"/>
  <c r="B16" i="3"/>
  <c r="A16" i="3" s="1"/>
  <c r="D15" i="3"/>
  <c r="C15" i="3"/>
  <c r="B15" i="3"/>
  <c r="A15" i="3" s="1"/>
  <c r="D14" i="3"/>
  <c r="C14" i="3"/>
  <c r="B14" i="3"/>
  <c r="A14" i="3" s="1"/>
  <c r="D13" i="3"/>
  <c r="C13" i="3"/>
  <c r="B13" i="3"/>
  <c r="A13" i="3" s="1"/>
  <c r="A21" i="3"/>
  <c r="D12" i="3"/>
  <c r="C12" i="3"/>
  <c r="B12" i="3"/>
  <c r="A12" i="3" s="1"/>
  <c r="C7" i="3"/>
  <c r="C6" i="3"/>
  <c r="C5" i="3"/>
  <c r="C4" i="3"/>
  <c r="A7" i="3"/>
  <c r="A6" i="3"/>
  <c r="A5" i="3"/>
  <c r="A4" i="3"/>
  <c r="B58" i="2"/>
  <c r="B63" i="2"/>
  <c r="F63" i="2"/>
  <c r="M54" i="2"/>
  <c r="A695" i="2" l="1"/>
  <c r="N757" i="2"/>
  <c r="G699" i="2"/>
  <c r="G700" i="2"/>
  <c r="G698" i="2"/>
  <c r="J756" i="2" s="1"/>
  <c r="A254" i="2"/>
  <c r="G259" i="2"/>
  <c r="G258" i="2"/>
  <c r="G257" i="2"/>
  <c r="J315" i="2" s="1"/>
  <c r="A191" i="2"/>
  <c r="G194" i="2"/>
  <c r="J252" i="2" s="1"/>
  <c r="G195" i="2"/>
  <c r="G201" i="2"/>
  <c r="G12" i="2"/>
  <c r="G11" i="2"/>
  <c r="G10" i="2"/>
  <c r="G9" i="2"/>
  <c r="G8" i="2"/>
  <c r="B10" i="2"/>
  <c r="B8" i="2"/>
  <c r="G7" i="2"/>
  <c r="G6" i="2"/>
  <c r="G5" i="2"/>
  <c r="J63" i="2" s="1"/>
  <c r="G762" i="2" l="1"/>
  <c r="N820" i="2"/>
  <c r="A758" i="2"/>
  <c r="G763" i="2"/>
  <c r="G768" i="2"/>
  <c r="G761" i="2"/>
  <c r="J819" i="2" s="1"/>
  <c r="G824" i="2" l="1"/>
  <c r="J882" i="2" s="1"/>
  <c r="A821" i="2"/>
  <c r="G826" i="2"/>
  <c r="G831" i="2"/>
  <c r="G825" i="2"/>
  <c r="N883" i="2"/>
  <c r="G889" i="2" l="1"/>
  <c r="N946" i="2"/>
  <c r="G894" i="2"/>
  <c r="G888" i="2"/>
  <c r="G887" i="2"/>
  <c r="J945" i="2" s="1"/>
  <c r="A884" i="2"/>
  <c r="G957" i="2" l="1"/>
  <c r="G951" i="2"/>
  <c r="G950" i="2"/>
  <c r="J1008" i="2" s="1"/>
  <c r="N1009" i="2"/>
  <c r="A947" i="2"/>
  <c r="G952" i="2"/>
  <c r="G1020" i="2" l="1"/>
  <c r="G1014" i="2"/>
  <c r="G1013" i="2"/>
  <c r="J1071" i="2" s="1"/>
  <c r="N1072" i="2"/>
  <c r="A1010" i="2"/>
  <c r="G1015" i="2"/>
  <c r="G1076" i="2" l="1"/>
  <c r="J1134" i="2" s="1"/>
  <c r="N1135" i="2"/>
  <c r="A1073" i="2"/>
  <c r="G1078" i="2"/>
  <c r="G1083" i="2"/>
  <c r="G1077" i="2"/>
  <c r="N1198" i="2" l="1"/>
  <c r="A1136" i="2"/>
  <c r="G1141" i="2"/>
  <c r="G1146" i="2"/>
  <c r="G1140" i="2"/>
  <c r="G1139" i="2"/>
  <c r="J1197" i="2" s="1"/>
  <c r="G1202" i="2" l="1"/>
  <c r="J1260" i="2" s="1"/>
  <c r="G1204" i="2"/>
  <c r="G1209" i="2"/>
  <c r="G1203" i="2"/>
  <c r="A1199" i="2"/>
</calcChain>
</file>

<file path=xl/sharedStrings.xml><?xml version="1.0" encoding="utf-8"?>
<sst xmlns="http://schemas.openxmlformats.org/spreadsheetml/2006/main" count="3657" uniqueCount="155">
  <si>
    <t>No</t>
  </si>
  <si>
    <t>Nama Format</t>
  </si>
  <si>
    <t>Kode Format</t>
  </si>
  <si>
    <t>Checklist</t>
  </si>
  <si>
    <t>Dokumen RAB (1 set)</t>
  </si>
  <si>
    <t>BA Hasil Kesepakatan Pemilihan Terbuka Toko/Penyedia Bahan Bangunan</t>
  </si>
  <si>
    <t>BA Kesepakatan Penunjukan Tukang/Pekerja Bangunan</t>
  </si>
  <si>
    <t>Laporan Pengiriman dan Penerimaan Bahan Bangunan</t>
  </si>
  <si>
    <t>Bukti Transfer/Transaksi ke Toko/Penyedia Bahan bangunan</t>
  </si>
  <si>
    <t>Nota Pembelian Bahan Bangunan</t>
  </si>
  <si>
    <t>Progres Konstruksi Terpasang 100%</t>
  </si>
  <si>
    <t>Kuitansi Pembayaran Upaj Kerja Tukang/Pekerja Bangunan</t>
  </si>
  <si>
    <t>Fotokopi Identitas Buku Tabungan PB dan Lembar Mutasi Buku Tabungan PB</t>
  </si>
  <si>
    <t>1.</t>
  </si>
  <si>
    <t>LAPORAN PENGGUNAAN DANA BEDAH RUMAH</t>
  </si>
  <si>
    <t>DATA UMUM PENERIMA BANTUAN</t>
  </si>
  <si>
    <t>Nama</t>
  </si>
  <si>
    <t>Nomor Induk Kependudukan</t>
  </si>
  <si>
    <t>Alamat</t>
  </si>
  <si>
    <t>Distrik</t>
  </si>
  <si>
    <t>Provinsi</t>
  </si>
  <si>
    <t>Nomor Rekening Penerima Bantuan</t>
  </si>
  <si>
    <t>2.</t>
  </si>
  <si>
    <t>FOTO AWAL RUMAH TIDAK LAYAK HUNI</t>
  </si>
  <si>
    <t>3.</t>
  </si>
  <si>
    <t>FOTO PROGRES PELAKSANAAN PENINGKATAN KUALITAS/RENOVASI/PERBAIKAN</t>
  </si>
  <si>
    <t>4.</t>
  </si>
  <si>
    <t>FOTO HASIL PEKERJAAN FISIK MENCAPAI 100% (SERATUS PERSEN)</t>
  </si>
  <si>
    <t>5.</t>
  </si>
  <si>
    <t>DAFTAR LAMPIRAN DOKUMEN PENGGUNAAN DANA</t>
  </si>
  <si>
    <t>Tampak depan</t>
  </si>
  <si>
    <t>Tampak belakang</t>
  </si>
  <si>
    <t>Tampak Samping</t>
  </si>
  <si>
    <t>Tampak belakang*)</t>
  </si>
  <si>
    <t>Tampak Samping*)</t>
  </si>
  <si>
    <t>Foto rumah progres 30%-50%</t>
  </si>
  <si>
    <t>Foto rumah progres 100%</t>
  </si>
  <si>
    <t>Dokumen yang dilampirkan sesuai tersistem yaitu:</t>
  </si>
  <si>
    <t>a.</t>
  </si>
  <si>
    <t>b.</t>
  </si>
  <si>
    <t>berita acara hasil kesepakatan pemilihan terbuka toko/penyedia bahan bangunan;</t>
  </si>
  <si>
    <t>dokumen rencana anggaran biaya, termasuk rincian biaya, gambar rencana teknis, dan daftar rencana pemanfaatan bantuan;</t>
  </si>
  <si>
    <t>c.</t>
  </si>
  <si>
    <t>berita acara kesepakatan penunjukan tukang/pekerja bangunan;</t>
  </si>
  <si>
    <t>d.</t>
  </si>
  <si>
    <t>laporan pengiriman dan penerimaan bahan bangunan;</t>
  </si>
  <si>
    <t>e.</t>
  </si>
  <si>
    <t>bukti transfer/transaksi ke toko/penyedia bahan bangunan;</t>
  </si>
  <si>
    <t>nota pembelian bahan bangunan;</t>
  </si>
  <si>
    <t>progres konstruksi terpasang 100% (seratus persen);</t>
  </si>
  <si>
    <t>f.</t>
  </si>
  <si>
    <t>g.</t>
  </si>
  <si>
    <t>h.</t>
  </si>
  <si>
    <t>i.</t>
  </si>
  <si>
    <t>fotokopi identitas buku tabungan penerima bantuan dan lembar mutasi buku tabungan penerima bangunan.</t>
  </si>
  <si>
    <t>Penerima Bantuan,</t>
  </si>
  <si>
    <t>Difasilitasi,</t>
  </si>
  <si>
    <t>Diperiksa,</t>
  </si>
  <si>
    <t>Tenaga Pendamping</t>
  </si>
  <si>
    <t>Masyarakat</t>
  </si>
  <si>
    <t>Koordinator</t>
  </si>
  <si>
    <t>Jika tidak ada tampak belakang/samping, bisa ambil perspektif lain</t>
  </si>
  <si>
    <t>Klik cell lalu klik tombol ini untuk insert foto</t>
  </si>
  <si>
    <t>LEMBAR PEMERIKSAAN</t>
  </si>
  <si>
    <t>KELENGKAPAN LAPORAN PENGGUNAAN DANA</t>
  </si>
  <si>
    <t>NO</t>
  </si>
  <si>
    <t>NO BNBA</t>
  </si>
  <si>
    <t>NAMA</t>
  </si>
  <si>
    <t>NIK</t>
  </si>
  <si>
    <t>KELENGKAPAN DAN KEBENARAN DOKUMEN</t>
  </si>
  <si>
    <t>B1</t>
  </si>
  <si>
    <t>B2</t>
  </si>
  <si>
    <t>B3</t>
  </si>
  <si>
    <t>B4</t>
  </si>
  <si>
    <t>B5</t>
  </si>
  <si>
    <t>B6</t>
  </si>
  <si>
    <t>B7</t>
  </si>
  <si>
    <t>B8</t>
  </si>
  <si>
    <t>B9</t>
  </si>
  <si>
    <t>B10</t>
  </si>
  <si>
    <t>KETERANGAN</t>
  </si>
  <si>
    <t>KESIMPULAN (LENGKAP/ TIDAK LENGKAP)</t>
  </si>
  <si>
    <t>Keterangan:</t>
  </si>
  <si>
    <t>No. BNBA</t>
  </si>
  <si>
    <t>nomor induk kependudukan;</t>
  </si>
  <si>
    <r>
      <t xml:space="preserve">nomor/kode </t>
    </r>
    <r>
      <rPr>
        <i/>
        <sz val="11"/>
        <color theme="1"/>
        <rFont val="Arial"/>
        <family val="2"/>
      </rPr>
      <t>by name by address</t>
    </r>
    <r>
      <rPr>
        <sz val="11"/>
        <color theme="1"/>
        <rFont val="Arial"/>
        <family val="2"/>
      </rPr>
      <t>;</t>
    </r>
  </si>
  <si>
    <t>laporan pengiriman dan penerima bahan bangunan;</t>
  </si>
  <si>
    <t>kuitansi pembayaran upah kerja tukang/pekerja bangunan;</t>
  </si>
  <si>
    <t>fotokopi identitas buku tabungan penerima bantuan dan lembar mutasi buku tabungan penerima bantuan;</t>
  </si>
  <si>
    <t>surat pernyataan tanggung jawab mutlak dan kesanggupan menyelesaikan pekerjaan fisik kegiatan Bedah Rumah *).</t>
  </si>
  <si>
    <t xml:space="preserve">Dibuat oleh, </t>
  </si>
  <si>
    <t>Tenaga Pendamping Masyarakat</t>
  </si>
  <si>
    <t>Diperiksa oleh,</t>
  </si>
  <si>
    <t>Diketahui oleh,</t>
  </si>
  <si>
    <t>PPR Rumah Swadaya dan</t>
  </si>
  <si>
    <t>Pengembangan Kawasan Permukiman</t>
  </si>
  <si>
    <t>Saya yang bertanda tangan:</t>
  </si>
  <si>
    <t>nama</t>
  </si>
  <si>
    <t>Nomor Induk Kependudukan (NIK)</t>
  </si>
  <si>
    <t>tempat, tanggal lahir</t>
  </si>
  <si>
    <t>pekerjaan</t>
  </si>
  <si>
    <t>nomor telepon</t>
  </si>
  <si>
    <t>alamat</t>
  </si>
  <si>
    <t>menyatakan bahwa saya warga negara Indonesia bertanggung jawab untuk keseluruhan atau mutlak dan sanggup menyelesaikan pekerjaan fisik kegiatan Bedah Rumah yang saya miliki/tempati sampai dengan sebelum berakhirnya tahun anggaran berjalan sesuai dengan dokumen rencana anggaran biaya.</t>
  </si>
  <si>
    <t>SURAT PERNYATAAN TANGGUNG JAWAB MUTLAK DAN KESANGGUPAN MENYELESAIKAN 
PEKERJAAN FISIK KEGIATAN BEDAH RUMAH</t>
  </si>
  <si>
    <t>Pernyataan ini saya buat dengan sebenarnya dengan penuh tanggung jawab dan tanpa paksaan.</t>
  </si>
  <si>
    <t>Yang menyatakan,</t>
  </si>
  <si>
    <t>Penerima Bantuan</t>
  </si>
  <si>
    <t>Mengetahui,</t>
  </si>
  <si>
    <t>Didampingi oleh,</t>
  </si>
  <si>
    <t>BT</t>
  </si>
  <si>
    <t xml:space="preserve">  </t>
  </si>
  <si>
    <t xml:space="preserve">: </t>
  </si>
  <si>
    <t>Titik Koordinat</t>
  </si>
  <si>
    <t>Air Minum</t>
  </si>
  <si>
    <t xml:space="preserve"> · Ketersediaan Akses</t>
  </si>
  <si>
    <t>Sanitasi</t>
  </si>
  <si>
    <t>≥ 5%</t>
  </si>
  <si>
    <t>%</t>
  </si>
  <si>
    <t>:</t>
  </si>
  <si>
    <t xml:space="preserve"> · Penghawaan</t>
  </si>
  <si>
    <t>≥ 10%</t>
  </si>
  <si>
    <t xml:space="preserve"> · Pencahayaan</t>
  </si>
  <si>
    <t>Jika direncana Usulan tidak ada Pekerjaan, dikosongkan saja</t>
  </si>
  <si>
    <r>
      <t>m</t>
    </r>
    <r>
      <rPr>
        <sz val="11"/>
        <color indexed="8"/>
        <rFont val="Arial"/>
        <family val="2"/>
      </rPr>
      <t>²</t>
    </r>
  </si>
  <si>
    <t xml:space="preserve"> · Lantai</t>
  </si>
  <si>
    <t>&amp; jendela</t>
  </si>
  <si>
    <t xml:space="preserve"> · Kusen, daun pintu</t>
  </si>
  <si>
    <t xml:space="preserve"> · Dinding Pengisi</t>
  </si>
  <si>
    <t xml:space="preserve"> · Penutup Atap</t>
  </si>
  <si>
    <t>Volume/ Luas Total</t>
  </si>
  <si>
    <t>Jenis Konstruksi</t>
  </si>
  <si>
    <t xml:space="preserve">Kondisi Non Struktur </t>
  </si>
  <si>
    <t xml:space="preserve"> · Kerangka Atap</t>
  </si>
  <si>
    <t>m³</t>
  </si>
  <si>
    <t xml:space="preserve"> · Ring Balok</t>
  </si>
  <si>
    <t xml:space="preserve"> · Kolom/Tiang</t>
  </si>
  <si>
    <t xml:space="preserve"> · Sloof</t>
  </si>
  <si>
    <t xml:space="preserve"> · Pondasi</t>
  </si>
  <si>
    <t xml:space="preserve">Kondisi Struktur </t>
  </si>
  <si>
    <r>
      <t>M</t>
    </r>
    <r>
      <rPr>
        <vertAlign val="superscript"/>
        <sz val="11"/>
        <color indexed="8"/>
        <rFont val="Arial"/>
        <family val="2"/>
      </rPr>
      <t>2</t>
    </r>
  </si>
  <si>
    <t>Ukuran Rumah</t>
  </si>
  <si>
    <t>Kondisi Awal (Eksisting)</t>
  </si>
  <si>
    <t>Foto bersih dari Jemuran, Mobil, Motor</t>
  </si>
  <si>
    <t>Harus ada PB (Penerima Bantuan)</t>
  </si>
  <si>
    <t>disertai Koordinat, Jika sudut susah diambil maka Koordinat bisa dicantum terpisah</t>
  </si>
  <si>
    <t>Foto diambil Perspektif kiri dan kanannya</t>
  </si>
  <si>
    <t>Nomor BNBA</t>
  </si>
  <si>
    <t>Jenis Kegiatan : Peningkatan Kualitas/Renovasi/Perbaikan Rumah</t>
  </si>
  <si>
    <t>PROGRES KONSTRUKSI TERPASANG 100%</t>
  </si>
  <si>
    <t>Nama Penerima Bantuan</t>
  </si>
  <si>
    <t>Progres Terpasang 100%</t>
  </si>
  <si>
    <t>Disusun oleh,</t>
  </si>
  <si>
    <t>Ketua Kelompok Penerima Bantuan</t>
  </si>
  <si>
    <t>kuitansi pembayaran upah kerja tukang/pekerja bangunan; 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</si>
</sst>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 \:"/>
    <numFmt numFmtId="165" formatCode="0.0"/>
  </numFmts>
  <fonts count="14" x14ac:knownFonts="1">
    <font>
      <sz val="12"/>
      <color theme="1"/>
      <name val="Aptos Narrow"/>
      <family val="2"/>
      <scheme val="minor"/>
    </font>
    <font>
      <b/>
      <sz val="11"/>
      <color rgb="FF000000"/>
      <name val="Arial"/>
      <family val="2"/>
    </font>
    <font>
      <sz val="11"/>
      <color rgb="FF000000"/>
      <name val="Arial"/>
      <family val="2"/>
    </font>
    <font>
      <sz val="11"/>
      <color theme="1"/>
      <name val="Arial"/>
      <family val="2"/>
    </font>
    <font>
      <b/>
      <sz val="11"/>
      <color theme="1"/>
      <name val="Arial"/>
      <family val="2"/>
    </font>
    <font>
      <b/>
      <sz val="11"/>
      <color rgb="FFFF0000"/>
      <name val="Arial"/>
      <family val="2"/>
    </font>
    <font>
      <sz val="8"/>
      <name val="Aptos Narrow"/>
      <family val="2"/>
      <scheme val="minor"/>
    </font>
    <font>
      <i/>
      <sz val="11"/>
      <color theme="1"/>
      <name val="Arial"/>
      <family val="2"/>
    </font>
    <font>
      <sz val="11"/>
      <color theme="1"/>
      <name val="Aptos Narrow"/>
      <family val="2"/>
      <scheme val="minor"/>
    </font>
    <font>
      <sz val="11"/>
      <name val="Arial"/>
      <family val="2"/>
    </font>
    <font>
      <sz val="11"/>
      <color indexed="8"/>
      <name val="Arial"/>
      <family val="2"/>
    </font>
    <font>
      <u/>
      <sz val="11"/>
      <color theme="1"/>
      <name val="Arial"/>
      <family val="2"/>
    </font>
    <font>
      <vertAlign val="superscript"/>
      <sz val="11"/>
      <color indexed="8"/>
      <name val="Arial"/>
      <family val="2"/>
    </font>
    <font>
      <sz val="10"/>
      <color rgb="FF000000"/>
      <name val="Aptos Narrow"/>
      <charset val="1"/>
    </font>
  </fonts>
  <fills count="5">
    <fill>
      <patternFill patternType="none"/>
    </fill>
    <fill>
      <patternFill patternType="gray125"/>
    </fill>
    <fill>
      <patternFill patternType="solid">
        <fgColor rgb="FFD9D9D9"/>
        <bgColor indexed="64"/>
      </patternFill>
    </fill>
    <fill>
      <patternFill patternType="solid">
        <fgColor rgb="FFFFFFFF"/>
        <bgColor indexed="64"/>
      </patternFill>
    </fill>
    <fill>
      <patternFill patternType="solid">
        <fgColor theme="8"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8" fillId="0" borderId="0"/>
  </cellStyleXfs>
  <cellXfs count="95">
    <xf numFmtId="0" fontId="0" fillId="0" borderId="0" xfId="0"/>
    <xf numFmtId="0" fontId="2" fillId="0" borderId="1" xfId="0" applyFont="1" applyBorder="1" applyAlignment="1">
      <alignment horizontal="center" vertical="center"/>
    </xf>
    <xf numFmtId="0" fontId="0" fillId="3" borderId="1" xfId="0" applyFill="1" applyBorder="1" applyAlignment="1">
      <alignment vertical="center"/>
    </xf>
    <xf numFmtId="0" fontId="2" fillId="3" borderId="1" xfId="0" applyFont="1" applyFill="1" applyBorder="1" applyAlignment="1">
      <alignment horizontal="center" vertical="center"/>
    </xf>
    <xf numFmtId="0" fontId="2" fillId="3" borderId="1" xfId="0" applyFont="1" applyFill="1" applyBorder="1" applyAlignment="1">
      <alignment vertical="center" wrapText="1"/>
    </xf>
    <xf numFmtId="0" fontId="3" fillId="0" borderId="0" xfId="0" applyFont="1"/>
    <xf numFmtId="0" fontId="3" fillId="0" borderId="0" xfId="0" applyFont="1" applyAlignment="1">
      <alignment vertical="top"/>
    </xf>
    <xf numFmtId="0" fontId="4" fillId="0" borderId="0" xfId="0" applyFont="1" applyAlignment="1">
      <alignment horizontal="center" vertical="top"/>
    </xf>
    <xf numFmtId="0" fontId="4" fillId="0" borderId="0" xfId="0" quotePrefix="1" applyFont="1" applyAlignment="1">
      <alignment vertical="top"/>
    </xf>
    <xf numFmtId="0" fontId="4" fillId="0" borderId="0" xfId="0" applyFont="1" applyAlignment="1">
      <alignment vertical="top"/>
    </xf>
    <xf numFmtId="0" fontId="3" fillId="0" borderId="0" xfId="0" applyFont="1" applyAlignment="1" applyProtection="1">
      <alignment horizontal="left" vertical="top"/>
      <protection locked="0"/>
    </xf>
    <xf numFmtId="0" fontId="3" fillId="0" borderId="0" xfId="0" applyFont="1" applyAlignment="1" applyProtection="1">
      <alignment vertical="top"/>
      <protection locked="0"/>
    </xf>
    <xf numFmtId="0" fontId="3" fillId="0" borderId="0" xfId="0" quotePrefix="1" applyFont="1" applyAlignment="1">
      <alignment vertical="top"/>
    </xf>
    <xf numFmtId="0" fontId="3" fillId="0" borderId="0" xfId="0" applyFont="1" applyAlignment="1">
      <alignment horizontal="right" vertical="top"/>
    </xf>
    <xf numFmtId="0" fontId="3" fillId="0" borderId="0" xfId="0" applyFont="1" applyAlignment="1">
      <alignment horizontal="center" vertical="top"/>
    </xf>
    <xf numFmtId="0" fontId="5" fillId="0" borderId="0" xfId="0" applyFont="1"/>
    <xf numFmtId="0" fontId="4" fillId="0" borderId="1" xfId="0" applyFont="1" applyBorder="1" applyAlignment="1">
      <alignment horizontal="center" vertical="center"/>
    </xf>
    <xf numFmtId="0" fontId="3" fillId="0" borderId="1" xfId="0" applyFont="1" applyBorder="1"/>
    <xf numFmtId="1" fontId="3" fillId="0" borderId="1" xfId="0" applyNumberFormat="1" applyFont="1" applyBorder="1"/>
    <xf numFmtId="164" fontId="3" fillId="0" borderId="0" xfId="0" applyNumberFormat="1" applyFont="1" applyAlignment="1" applyProtection="1">
      <alignment vertical="top"/>
      <protection locked="0"/>
    </xf>
    <xf numFmtId="0" fontId="3" fillId="0" borderId="0" xfId="0" applyFont="1" applyAlignment="1">
      <alignment horizontal="right"/>
    </xf>
    <xf numFmtId="0" fontId="8" fillId="0" borderId="0" xfId="1"/>
    <xf numFmtId="0" fontId="3" fillId="0" borderId="0" xfId="1" applyFont="1"/>
    <xf numFmtId="0" fontId="3" fillId="0" borderId="0" xfId="1" applyFont="1" applyProtection="1">
      <protection locked="0"/>
    </xf>
    <xf numFmtId="0" fontId="3" fillId="0" borderId="0" xfId="1" applyFont="1" applyAlignment="1" applyProtection="1">
      <alignment vertical="center"/>
      <protection locked="0"/>
    </xf>
    <xf numFmtId="0" fontId="3" fillId="0" borderId="0" xfId="1" applyFont="1" applyAlignment="1" applyProtection="1">
      <alignment horizontal="center"/>
      <protection locked="0"/>
    </xf>
    <xf numFmtId="0" fontId="3" fillId="0" borderId="0" xfId="1" applyFont="1" applyAlignment="1" applyProtection="1">
      <alignment horizontal="center" vertical="center"/>
      <protection locked="0"/>
    </xf>
    <xf numFmtId="4" fontId="3" fillId="0" borderId="0" xfId="1" applyNumberFormat="1" applyFont="1"/>
    <xf numFmtId="0" fontId="3" fillId="0" borderId="0" xfId="1" applyFont="1" applyAlignment="1">
      <alignment vertical="center" wrapText="1"/>
    </xf>
    <xf numFmtId="0" fontId="3" fillId="0" borderId="0" xfId="1" applyFont="1" applyAlignment="1" applyProtection="1">
      <alignment vertical="center" wrapText="1"/>
      <protection locked="0"/>
    </xf>
    <xf numFmtId="4" fontId="3" fillId="0" borderId="0" xfId="1" applyNumberFormat="1" applyFont="1" applyProtection="1">
      <protection locked="0"/>
    </xf>
    <xf numFmtId="164" fontId="3" fillId="0" borderId="0" xfId="1" applyNumberFormat="1" applyFont="1" applyAlignment="1" applyProtection="1">
      <alignment horizontal="center"/>
      <protection locked="0"/>
    </xf>
    <xf numFmtId="0" fontId="9" fillId="4" borderId="0" xfId="1" applyFont="1" applyFill="1" applyAlignment="1" applyProtection="1">
      <alignment horizontal="center"/>
      <protection locked="0"/>
    </xf>
    <xf numFmtId="0" fontId="3" fillId="0" borderId="0" xfId="1" applyFont="1" applyAlignment="1" applyProtection="1">
      <alignment horizontal="center" vertical="center" wrapText="1"/>
      <protection locked="0"/>
    </xf>
    <xf numFmtId="4" fontId="3" fillId="0" borderId="0" xfId="1" applyNumberFormat="1" applyFont="1" applyAlignment="1" applyProtection="1">
      <alignment horizontal="center" vertical="center" wrapText="1"/>
      <protection locked="0"/>
    </xf>
    <xf numFmtId="0" fontId="3" fillId="0" borderId="0" xfId="1" applyFont="1" applyAlignment="1" applyProtection="1">
      <alignment horizontal="left" vertical="center"/>
      <protection locked="0"/>
    </xf>
    <xf numFmtId="0" fontId="3" fillId="0" borderId="6" xfId="1" applyFont="1" applyBorder="1" applyAlignment="1" applyProtection="1">
      <alignment horizontal="left" indent="1"/>
      <protection locked="0"/>
    </xf>
    <xf numFmtId="0" fontId="3" fillId="0" borderId="7" xfId="1" applyFont="1" applyBorder="1" applyProtection="1">
      <protection locked="0"/>
    </xf>
    <xf numFmtId="0" fontId="11" fillId="0" borderId="6" xfId="1" applyFont="1" applyBorder="1" applyAlignment="1" applyProtection="1">
      <alignment horizontal="left" indent="1"/>
      <protection locked="0"/>
    </xf>
    <xf numFmtId="0" fontId="3" fillId="0" borderId="6" xfId="1" applyFont="1" applyBorder="1" applyProtection="1">
      <protection locked="0"/>
    </xf>
    <xf numFmtId="164" fontId="3" fillId="0" borderId="6" xfId="1" applyNumberFormat="1" applyFont="1" applyBorder="1" applyAlignment="1" applyProtection="1">
      <alignment horizontal="center"/>
      <protection locked="0"/>
    </xf>
    <xf numFmtId="0" fontId="3" fillId="0" borderId="0" xfId="1" applyFont="1" applyAlignment="1" applyProtection="1">
      <alignment horizontal="left"/>
      <protection locked="0"/>
    </xf>
    <xf numFmtId="0" fontId="3" fillId="0" borderId="8" xfId="1" applyFont="1" applyBorder="1" applyProtection="1">
      <protection locked="0"/>
    </xf>
    <xf numFmtId="0" fontId="3" fillId="0" borderId="9" xfId="1" applyFont="1" applyBorder="1" applyProtection="1">
      <protection locked="0"/>
    </xf>
    <xf numFmtId="0" fontId="3" fillId="0" borderId="9" xfId="1" applyFont="1" applyBorder="1" applyAlignment="1" applyProtection="1">
      <alignment horizontal="center" vertical="center"/>
      <protection locked="0"/>
    </xf>
    <xf numFmtId="0" fontId="3" fillId="0" borderId="0" xfId="1" applyFont="1" applyAlignment="1" applyProtection="1">
      <alignment horizontal="right"/>
      <protection locked="0"/>
    </xf>
    <xf numFmtId="4" fontId="3" fillId="0" borderId="0" xfId="1" applyNumberFormat="1" applyFont="1" applyAlignment="1" applyProtection="1">
      <alignment horizontal="center"/>
      <protection locked="0"/>
    </xf>
    <xf numFmtId="4" fontId="3" fillId="0" borderId="9" xfId="1" applyNumberFormat="1" applyFont="1" applyBorder="1" applyProtection="1">
      <protection locked="0"/>
    </xf>
    <xf numFmtId="0" fontId="4" fillId="0" borderId="6" xfId="1" applyFont="1" applyBorder="1" applyAlignment="1" applyProtection="1">
      <alignment horizontal="center" vertical="center"/>
      <protection locked="0"/>
    </xf>
    <xf numFmtId="0" fontId="4" fillId="0" borderId="0" xfId="1" applyFont="1" applyAlignment="1" applyProtection="1">
      <alignment horizontal="center" vertical="center"/>
      <protection locked="0"/>
    </xf>
    <xf numFmtId="0" fontId="4" fillId="0" borderId="9" xfId="1" applyFont="1" applyBorder="1" applyAlignment="1" applyProtection="1">
      <alignment horizontal="center" vertical="center"/>
      <protection locked="0"/>
    </xf>
    <xf numFmtId="0" fontId="4" fillId="0" borderId="7" xfId="1" applyFont="1" applyBorder="1" applyAlignment="1" applyProtection="1">
      <alignment horizontal="center" vertical="center"/>
      <protection locked="0"/>
    </xf>
    <xf numFmtId="0" fontId="3" fillId="0" borderId="7" xfId="1" applyFont="1" applyBorder="1" applyAlignment="1" applyProtection="1">
      <alignment horizontal="center" vertical="top" wrapText="1"/>
      <protection locked="0"/>
    </xf>
    <xf numFmtId="0" fontId="3" fillId="0" borderId="10" xfId="1" applyFont="1" applyBorder="1" applyAlignment="1" applyProtection="1">
      <alignment horizontal="center" vertical="center"/>
      <protection locked="0"/>
    </xf>
    <xf numFmtId="0" fontId="4" fillId="0" borderId="0" xfId="0" applyFont="1" applyAlignment="1">
      <alignment horizont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164" fontId="3" fillId="0" borderId="0" xfId="0" applyNumberFormat="1" applyFont="1" applyAlignment="1" applyProtection="1">
      <alignment horizontal="center" vertical="top"/>
      <protection locked="0"/>
    </xf>
    <xf numFmtId="0" fontId="3" fillId="0" borderId="0" xfId="0" applyFont="1"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3" fillId="0" borderId="0" xfId="0" applyFont="1" applyAlignment="1">
      <alignment horizontal="center" vertical="top"/>
    </xf>
    <xf numFmtId="0" fontId="3" fillId="0" borderId="0" xfId="0" applyFont="1" applyAlignment="1">
      <alignment horizontal="justify" vertical="top"/>
    </xf>
    <xf numFmtId="0" fontId="3" fillId="0" borderId="0" xfId="0" applyFont="1" applyAlignment="1">
      <alignment horizontal="justify" vertical="top" wrapText="1"/>
    </xf>
    <xf numFmtId="0" fontId="3" fillId="0" borderId="1" xfId="0" applyFont="1" applyBorder="1" applyAlignment="1">
      <alignment horizontal="center" vertical="top"/>
    </xf>
    <xf numFmtId="0" fontId="4" fillId="0" borderId="0" xfId="0" applyFont="1" applyAlignment="1">
      <alignment horizontal="center" vertical="top"/>
    </xf>
    <xf numFmtId="0" fontId="3" fillId="0" borderId="0" xfId="1" applyFont="1" applyAlignment="1">
      <alignment horizontal="center"/>
    </xf>
    <xf numFmtId="0" fontId="3" fillId="0" borderId="0" xfId="1" applyFont="1" applyAlignment="1">
      <alignment horizontal="center" vertical="center" wrapText="1"/>
    </xf>
    <xf numFmtId="0" fontId="3" fillId="0" borderId="9" xfId="1" applyFont="1" applyBorder="1" applyAlignment="1" applyProtection="1">
      <alignment horizontal="center"/>
      <protection locked="0"/>
    </xf>
    <xf numFmtId="0" fontId="3" fillId="0" borderId="0" xfId="1" applyFont="1" applyAlignment="1" applyProtection="1">
      <alignment horizontal="center"/>
      <protection locked="0"/>
    </xf>
    <xf numFmtId="164" fontId="3" fillId="0" borderId="6" xfId="1" applyNumberFormat="1" applyFont="1" applyBorder="1" applyAlignment="1" applyProtection="1">
      <alignment horizontal="center"/>
      <protection locked="0"/>
    </xf>
    <xf numFmtId="164" fontId="3" fillId="0" borderId="0" xfId="1" applyNumberFormat="1" applyFont="1" applyAlignment="1" applyProtection="1">
      <alignment horizontal="center"/>
      <protection locked="0"/>
    </xf>
    <xf numFmtId="0" fontId="3" fillId="0" borderId="6" xfId="1" applyFont="1" applyBorder="1" applyAlignment="1" applyProtection="1">
      <alignment horizontal="left" wrapText="1" indent="2"/>
      <protection locked="0"/>
    </xf>
    <xf numFmtId="0" fontId="3" fillId="0" borderId="0" xfId="1" applyFont="1" applyAlignment="1" applyProtection="1">
      <alignment horizontal="left" wrapText="1" indent="2"/>
      <protection locked="0"/>
    </xf>
    <xf numFmtId="165" fontId="3" fillId="0" borderId="1" xfId="1" applyNumberFormat="1" applyFont="1" applyBorder="1" applyAlignment="1" applyProtection="1">
      <alignment horizontal="center"/>
      <protection locked="0"/>
    </xf>
    <xf numFmtId="4" fontId="3" fillId="0" borderId="1" xfId="1" applyNumberFormat="1" applyFont="1" applyBorder="1" applyAlignment="1" applyProtection="1">
      <alignment horizontal="center"/>
      <protection locked="0"/>
    </xf>
    <xf numFmtId="0" fontId="3" fillId="0" borderId="1" xfId="1" applyFont="1" applyBorder="1" applyAlignment="1" applyProtection="1">
      <alignment horizontal="left"/>
      <protection locked="0"/>
    </xf>
    <xf numFmtId="0" fontId="3" fillId="0" borderId="0" xfId="1" applyFont="1" applyAlignment="1" applyProtection="1">
      <alignment horizontal="center" vertical="top" wrapText="1"/>
      <protection locked="0"/>
    </xf>
    <xf numFmtId="0" fontId="4" fillId="0" borderId="5" xfId="1" applyFont="1" applyBorder="1" applyAlignment="1" applyProtection="1">
      <alignment horizontal="center" vertical="center"/>
      <protection locked="0"/>
    </xf>
    <xf numFmtId="0" fontId="4" fillId="0" borderId="11" xfId="1" applyFont="1" applyBorder="1" applyAlignment="1" applyProtection="1">
      <alignment horizontal="center" vertical="center"/>
      <protection locked="0"/>
    </xf>
    <xf numFmtId="0" fontId="4" fillId="0" borderId="4" xfId="1" applyFont="1" applyBorder="1" applyAlignment="1" applyProtection="1">
      <alignment horizontal="center" vertical="center"/>
      <protection locked="0"/>
    </xf>
    <xf numFmtId="4" fontId="3" fillId="0" borderId="8" xfId="1" applyNumberFormat="1" applyFont="1" applyBorder="1" applyAlignment="1" applyProtection="1">
      <alignment horizontal="center"/>
      <protection locked="0"/>
    </xf>
    <xf numFmtId="4" fontId="3" fillId="0" borderId="10" xfId="1" applyNumberFormat="1" applyFont="1" applyBorder="1" applyAlignment="1" applyProtection="1">
      <alignment horizontal="center"/>
      <protection locked="0"/>
    </xf>
    <xf numFmtId="4" fontId="3" fillId="0" borderId="3" xfId="1" applyNumberFormat="1" applyFont="1" applyBorder="1" applyAlignment="1" applyProtection="1">
      <alignment horizontal="center"/>
      <protection locked="0"/>
    </xf>
    <xf numFmtId="0" fontId="1" fillId="0" borderId="0" xfId="1" applyFont="1" applyAlignment="1" applyProtection="1">
      <alignment horizontal="center"/>
      <protection locked="0"/>
    </xf>
    <xf numFmtId="0" fontId="3" fillId="0" borderId="0" xfId="1" applyFont="1" applyAlignment="1" applyProtection="1">
      <alignment horizontal="center" wrapText="1"/>
      <protection locked="0"/>
    </xf>
    <xf numFmtId="0" fontId="3" fillId="0" borderId="0" xfId="1" applyFont="1" applyAlignment="1" applyProtection="1">
      <alignment horizontal="center" vertical="center"/>
      <protection locked="0"/>
    </xf>
    <xf numFmtId="164" fontId="3" fillId="0" borderId="6" xfId="1" applyNumberFormat="1" applyFont="1" applyBorder="1" applyAlignment="1" applyProtection="1">
      <alignment horizontal="center" wrapText="1"/>
      <protection locked="0"/>
    </xf>
    <xf numFmtId="164" fontId="3" fillId="0" borderId="0" xfId="1" applyNumberFormat="1" applyFont="1" applyAlignment="1" applyProtection="1">
      <alignment horizontal="center" wrapText="1"/>
      <protection locked="0"/>
    </xf>
    <xf numFmtId="0" fontId="3" fillId="0" borderId="1" xfId="1" applyFont="1" applyBorder="1" applyAlignment="1" applyProtection="1">
      <alignment horizontal="left" vertical="top"/>
      <protection locked="0"/>
    </xf>
    <xf numFmtId="4" fontId="3" fillId="0" borderId="1" xfId="1" applyNumberFormat="1" applyFont="1" applyBorder="1" applyAlignment="1" applyProtection="1">
      <alignment horizontal="center" vertical="top"/>
      <protection locked="0"/>
    </xf>
    <xf numFmtId="0" fontId="4" fillId="0" borderId="0" xfId="0" applyFont="1" applyAlignment="1">
      <alignment horizontal="center" wrapText="1"/>
    </xf>
    <xf numFmtId="0" fontId="3" fillId="0" borderId="0" xfId="0" applyFont="1" applyAlignment="1">
      <alignment horizontal="justify" wrapText="1"/>
    </xf>
  </cellXfs>
  <cellStyles count="2">
    <cellStyle name="Normal" xfId="0" builtinId="0"/>
    <cellStyle name="Normal 2" xfId="1" xr:uid="{0E66F166-E914-5F47-936E-B6A71C5185B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1.xml"/><Relationship Id="rId21" Type="http://schemas.openxmlformats.org/officeDocument/2006/relationships/externalLink" Target="externalLinks/externalLink16.xml"/><Relationship Id="rId42" Type="http://schemas.openxmlformats.org/officeDocument/2006/relationships/externalLink" Target="externalLinks/externalLink37.xml"/><Relationship Id="rId47" Type="http://schemas.openxmlformats.org/officeDocument/2006/relationships/externalLink" Target="externalLinks/externalLink42.xml"/><Relationship Id="rId63" Type="http://schemas.openxmlformats.org/officeDocument/2006/relationships/externalLink" Target="externalLinks/externalLink58.xml"/><Relationship Id="rId68" Type="http://schemas.openxmlformats.org/officeDocument/2006/relationships/externalLink" Target="externalLinks/externalLink63.xml"/><Relationship Id="rId84" Type="http://schemas.openxmlformats.org/officeDocument/2006/relationships/externalLink" Target="externalLinks/externalLink79.xml"/><Relationship Id="rId89" Type="http://schemas.openxmlformats.org/officeDocument/2006/relationships/externalLink" Target="externalLinks/externalLink84.xml"/><Relationship Id="rId16" Type="http://schemas.openxmlformats.org/officeDocument/2006/relationships/externalLink" Target="externalLinks/externalLink11.xml"/><Relationship Id="rId11" Type="http://schemas.openxmlformats.org/officeDocument/2006/relationships/externalLink" Target="externalLinks/externalLink6.xml"/><Relationship Id="rId32" Type="http://schemas.openxmlformats.org/officeDocument/2006/relationships/externalLink" Target="externalLinks/externalLink27.xml"/><Relationship Id="rId37" Type="http://schemas.openxmlformats.org/officeDocument/2006/relationships/externalLink" Target="externalLinks/externalLink32.xml"/><Relationship Id="rId53" Type="http://schemas.openxmlformats.org/officeDocument/2006/relationships/externalLink" Target="externalLinks/externalLink48.xml"/><Relationship Id="rId58" Type="http://schemas.openxmlformats.org/officeDocument/2006/relationships/externalLink" Target="externalLinks/externalLink53.xml"/><Relationship Id="rId74" Type="http://schemas.openxmlformats.org/officeDocument/2006/relationships/externalLink" Target="externalLinks/externalLink69.xml"/><Relationship Id="rId79" Type="http://schemas.openxmlformats.org/officeDocument/2006/relationships/externalLink" Target="externalLinks/externalLink74.xml"/><Relationship Id="rId102"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externalLink" Target="externalLinks/externalLink85.xml"/><Relationship Id="rId95" Type="http://schemas.openxmlformats.org/officeDocument/2006/relationships/externalLink" Target="externalLinks/externalLink90.xml"/><Relationship Id="rId22" Type="http://schemas.openxmlformats.org/officeDocument/2006/relationships/externalLink" Target="externalLinks/externalLink17.xml"/><Relationship Id="rId27" Type="http://schemas.openxmlformats.org/officeDocument/2006/relationships/externalLink" Target="externalLinks/externalLink22.xml"/><Relationship Id="rId43" Type="http://schemas.openxmlformats.org/officeDocument/2006/relationships/externalLink" Target="externalLinks/externalLink38.xml"/><Relationship Id="rId48" Type="http://schemas.openxmlformats.org/officeDocument/2006/relationships/externalLink" Target="externalLinks/externalLink43.xml"/><Relationship Id="rId64" Type="http://schemas.openxmlformats.org/officeDocument/2006/relationships/externalLink" Target="externalLinks/externalLink59.xml"/><Relationship Id="rId69" Type="http://schemas.openxmlformats.org/officeDocument/2006/relationships/externalLink" Target="externalLinks/externalLink64.xml"/><Relationship Id="rId80" Type="http://schemas.openxmlformats.org/officeDocument/2006/relationships/externalLink" Target="externalLinks/externalLink75.xml"/><Relationship Id="rId85" Type="http://schemas.openxmlformats.org/officeDocument/2006/relationships/externalLink" Target="externalLinks/externalLink80.xml"/><Relationship Id="rId12" Type="http://schemas.openxmlformats.org/officeDocument/2006/relationships/externalLink" Target="externalLinks/externalLink7.xml"/><Relationship Id="rId17" Type="http://schemas.openxmlformats.org/officeDocument/2006/relationships/externalLink" Target="externalLinks/externalLink12.xml"/><Relationship Id="rId33" Type="http://schemas.openxmlformats.org/officeDocument/2006/relationships/externalLink" Target="externalLinks/externalLink28.xml"/><Relationship Id="rId38" Type="http://schemas.openxmlformats.org/officeDocument/2006/relationships/externalLink" Target="externalLinks/externalLink33.xml"/><Relationship Id="rId59" Type="http://schemas.openxmlformats.org/officeDocument/2006/relationships/externalLink" Target="externalLinks/externalLink54.xml"/><Relationship Id="rId103" Type="http://schemas.openxmlformats.org/officeDocument/2006/relationships/sharedStrings" Target="sharedStrings.xml"/><Relationship Id="rId20" Type="http://schemas.openxmlformats.org/officeDocument/2006/relationships/externalLink" Target="externalLinks/externalLink15.xml"/><Relationship Id="rId41" Type="http://schemas.openxmlformats.org/officeDocument/2006/relationships/externalLink" Target="externalLinks/externalLink36.xml"/><Relationship Id="rId54" Type="http://schemas.openxmlformats.org/officeDocument/2006/relationships/externalLink" Target="externalLinks/externalLink49.xml"/><Relationship Id="rId62" Type="http://schemas.openxmlformats.org/officeDocument/2006/relationships/externalLink" Target="externalLinks/externalLink57.xml"/><Relationship Id="rId70" Type="http://schemas.openxmlformats.org/officeDocument/2006/relationships/externalLink" Target="externalLinks/externalLink65.xml"/><Relationship Id="rId75" Type="http://schemas.openxmlformats.org/officeDocument/2006/relationships/externalLink" Target="externalLinks/externalLink70.xml"/><Relationship Id="rId83" Type="http://schemas.openxmlformats.org/officeDocument/2006/relationships/externalLink" Target="externalLinks/externalLink78.xml"/><Relationship Id="rId88" Type="http://schemas.openxmlformats.org/officeDocument/2006/relationships/externalLink" Target="externalLinks/externalLink83.xml"/><Relationship Id="rId91" Type="http://schemas.openxmlformats.org/officeDocument/2006/relationships/externalLink" Target="externalLinks/externalLink86.xml"/><Relationship Id="rId96" Type="http://schemas.openxmlformats.org/officeDocument/2006/relationships/externalLink" Target="externalLinks/externalLink91.xml"/><Relationship Id="rId1" Type="http://schemas.openxmlformats.org/officeDocument/2006/relationships/worksheet" Target="worksheets/sheet1.xml"/><Relationship Id="rId6" Type="http://schemas.openxmlformats.org/officeDocument/2006/relationships/externalLink" Target="externalLinks/externalLink1.xml"/><Relationship Id="rId15" Type="http://schemas.openxmlformats.org/officeDocument/2006/relationships/externalLink" Target="externalLinks/externalLink10.xml"/><Relationship Id="rId23" Type="http://schemas.openxmlformats.org/officeDocument/2006/relationships/externalLink" Target="externalLinks/externalLink18.xml"/><Relationship Id="rId28" Type="http://schemas.openxmlformats.org/officeDocument/2006/relationships/externalLink" Target="externalLinks/externalLink23.xml"/><Relationship Id="rId36" Type="http://schemas.openxmlformats.org/officeDocument/2006/relationships/externalLink" Target="externalLinks/externalLink31.xml"/><Relationship Id="rId49" Type="http://schemas.openxmlformats.org/officeDocument/2006/relationships/externalLink" Target="externalLinks/externalLink44.xml"/><Relationship Id="rId57" Type="http://schemas.openxmlformats.org/officeDocument/2006/relationships/externalLink" Target="externalLinks/externalLink52.xml"/><Relationship Id="rId10" Type="http://schemas.openxmlformats.org/officeDocument/2006/relationships/externalLink" Target="externalLinks/externalLink5.xml"/><Relationship Id="rId31" Type="http://schemas.openxmlformats.org/officeDocument/2006/relationships/externalLink" Target="externalLinks/externalLink26.xml"/><Relationship Id="rId44" Type="http://schemas.openxmlformats.org/officeDocument/2006/relationships/externalLink" Target="externalLinks/externalLink39.xml"/><Relationship Id="rId52" Type="http://schemas.openxmlformats.org/officeDocument/2006/relationships/externalLink" Target="externalLinks/externalLink47.xml"/><Relationship Id="rId60" Type="http://schemas.openxmlformats.org/officeDocument/2006/relationships/externalLink" Target="externalLinks/externalLink55.xml"/><Relationship Id="rId65" Type="http://schemas.openxmlformats.org/officeDocument/2006/relationships/externalLink" Target="externalLinks/externalLink60.xml"/><Relationship Id="rId73" Type="http://schemas.openxmlformats.org/officeDocument/2006/relationships/externalLink" Target="externalLinks/externalLink68.xml"/><Relationship Id="rId78" Type="http://schemas.openxmlformats.org/officeDocument/2006/relationships/externalLink" Target="externalLinks/externalLink73.xml"/><Relationship Id="rId81" Type="http://schemas.openxmlformats.org/officeDocument/2006/relationships/externalLink" Target="externalLinks/externalLink76.xml"/><Relationship Id="rId86" Type="http://schemas.openxmlformats.org/officeDocument/2006/relationships/externalLink" Target="externalLinks/externalLink81.xml"/><Relationship Id="rId94" Type="http://schemas.openxmlformats.org/officeDocument/2006/relationships/externalLink" Target="externalLinks/externalLink89.xml"/><Relationship Id="rId99" Type="http://schemas.openxmlformats.org/officeDocument/2006/relationships/externalLink" Target="externalLinks/externalLink94.xml"/><Relationship Id="rId10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4.xml"/><Relationship Id="rId13" Type="http://schemas.openxmlformats.org/officeDocument/2006/relationships/externalLink" Target="externalLinks/externalLink8.xml"/><Relationship Id="rId18" Type="http://schemas.openxmlformats.org/officeDocument/2006/relationships/externalLink" Target="externalLinks/externalLink13.xml"/><Relationship Id="rId39" Type="http://schemas.openxmlformats.org/officeDocument/2006/relationships/externalLink" Target="externalLinks/externalLink34.xml"/><Relationship Id="rId34" Type="http://schemas.openxmlformats.org/officeDocument/2006/relationships/externalLink" Target="externalLinks/externalLink29.xml"/><Relationship Id="rId50" Type="http://schemas.openxmlformats.org/officeDocument/2006/relationships/externalLink" Target="externalLinks/externalLink45.xml"/><Relationship Id="rId55" Type="http://schemas.openxmlformats.org/officeDocument/2006/relationships/externalLink" Target="externalLinks/externalLink50.xml"/><Relationship Id="rId76" Type="http://schemas.openxmlformats.org/officeDocument/2006/relationships/externalLink" Target="externalLinks/externalLink71.xml"/><Relationship Id="rId97" Type="http://schemas.openxmlformats.org/officeDocument/2006/relationships/externalLink" Target="externalLinks/externalLink92.xml"/><Relationship Id="rId104" Type="http://schemas.openxmlformats.org/officeDocument/2006/relationships/calcChain" Target="calcChain.xml"/><Relationship Id="rId7" Type="http://schemas.openxmlformats.org/officeDocument/2006/relationships/externalLink" Target="externalLinks/externalLink2.xml"/><Relationship Id="rId71" Type="http://schemas.openxmlformats.org/officeDocument/2006/relationships/externalLink" Target="externalLinks/externalLink66.xml"/><Relationship Id="rId92" Type="http://schemas.openxmlformats.org/officeDocument/2006/relationships/externalLink" Target="externalLinks/externalLink87.xml"/><Relationship Id="rId2" Type="http://schemas.openxmlformats.org/officeDocument/2006/relationships/worksheet" Target="worksheets/sheet2.xml"/><Relationship Id="rId29" Type="http://schemas.openxmlformats.org/officeDocument/2006/relationships/externalLink" Target="externalLinks/externalLink24.xml"/><Relationship Id="rId24" Type="http://schemas.openxmlformats.org/officeDocument/2006/relationships/externalLink" Target="externalLinks/externalLink19.xml"/><Relationship Id="rId40" Type="http://schemas.openxmlformats.org/officeDocument/2006/relationships/externalLink" Target="externalLinks/externalLink35.xml"/><Relationship Id="rId45" Type="http://schemas.openxmlformats.org/officeDocument/2006/relationships/externalLink" Target="externalLinks/externalLink40.xml"/><Relationship Id="rId66" Type="http://schemas.openxmlformats.org/officeDocument/2006/relationships/externalLink" Target="externalLinks/externalLink61.xml"/><Relationship Id="rId87" Type="http://schemas.openxmlformats.org/officeDocument/2006/relationships/externalLink" Target="externalLinks/externalLink82.xml"/><Relationship Id="rId61" Type="http://schemas.openxmlformats.org/officeDocument/2006/relationships/externalLink" Target="externalLinks/externalLink56.xml"/><Relationship Id="rId82" Type="http://schemas.openxmlformats.org/officeDocument/2006/relationships/externalLink" Target="externalLinks/externalLink77.xml"/><Relationship Id="rId19" Type="http://schemas.openxmlformats.org/officeDocument/2006/relationships/externalLink" Target="externalLinks/externalLink14.xml"/><Relationship Id="rId14" Type="http://schemas.openxmlformats.org/officeDocument/2006/relationships/externalLink" Target="externalLinks/externalLink9.xml"/><Relationship Id="rId30" Type="http://schemas.openxmlformats.org/officeDocument/2006/relationships/externalLink" Target="externalLinks/externalLink25.xml"/><Relationship Id="rId35" Type="http://schemas.openxmlformats.org/officeDocument/2006/relationships/externalLink" Target="externalLinks/externalLink30.xml"/><Relationship Id="rId56" Type="http://schemas.openxmlformats.org/officeDocument/2006/relationships/externalLink" Target="externalLinks/externalLink51.xml"/><Relationship Id="rId77" Type="http://schemas.openxmlformats.org/officeDocument/2006/relationships/externalLink" Target="externalLinks/externalLink72.xml"/><Relationship Id="rId100" Type="http://schemas.openxmlformats.org/officeDocument/2006/relationships/externalLink" Target="externalLinks/externalLink95.xml"/><Relationship Id="rId105" Type="http://schemas.microsoft.com/office/2006/relationships/vbaProject" Target="vbaProject.bin"/><Relationship Id="rId8" Type="http://schemas.openxmlformats.org/officeDocument/2006/relationships/externalLink" Target="externalLinks/externalLink3.xml"/><Relationship Id="rId51" Type="http://schemas.openxmlformats.org/officeDocument/2006/relationships/externalLink" Target="externalLinks/externalLink46.xml"/><Relationship Id="rId72" Type="http://schemas.openxmlformats.org/officeDocument/2006/relationships/externalLink" Target="externalLinks/externalLink67.xml"/><Relationship Id="rId93" Type="http://schemas.openxmlformats.org/officeDocument/2006/relationships/externalLink" Target="externalLinks/externalLink88.xml"/><Relationship Id="rId98" Type="http://schemas.openxmlformats.org/officeDocument/2006/relationships/externalLink" Target="externalLinks/externalLink93.xml"/><Relationship Id="rId3" Type="http://schemas.openxmlformats.org/officeDocument/2006/relationships/worksheet" Target="worksheets/sheet3.xml"/><Relationship Id="rId25" Type="http://schemas.openxmlformats.org/officeDocument/2006/relationships/externalLink" Target="externalLinks/externalLink20.xml"/><Relationship Id="rId46" Type="http://schemas.openxmlformats.org/officeDocument/2006/relationships/externalLink" Target="externalLinks/externalLink41.xml"/><Relationship Id="rId67" Type="http://schemas.openxmlformats.org/officeDocument/2006/relationships/externalLink" Target="externalLinks/externalLink6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15</xdr:row>
          <xdr:rowOff>38100</xdr:rowOff>
        </xdr:from>
        <xdr:to>
          <xdr:col>1</xdr:col>
          <xdr:colOff>177800</xdr:colOff>
          <xdr:row>15</xdr:row>
          <xdr:rowOff>190500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15</xdr:row>
          <xdr:rowOff>38100</xdr:rowOff>
        </xdr:from>
        <xdr:to>
          <xdr:col>5</xdr:col>
          <xdr:colOff>177800</xdr:colOff>
          <xdr:row>16</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15</xdr:row>
          <xdr:rowOff>38100</xdr:rowOff>
        </xdr:from>
        <xdr:to>
          <xdr:col>5</xdr:col>
          <xdr:colOff>177800</xdr:colOff>
          <xdr:row>16</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15</xdr:row>
          <xdr:rowOff>38100</xdr:rowOff>
        </xdr:from>
        <xdr:to>
          <xdr:col>9</xdr:col>
          <xdr:colOff>177800</xdr:colOff>
          <xdr:row>16</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23</xdr:row>
          <xdr:rowOff>38100</xdr:rowOff>
        </xdr:from>
        <xdr:to>
          <xdr:col>1</xdr:col>
          <xdr:colOff>177800</xdr:colOff>
          <xdr:row>24</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23</xdr:row>
          <xdr:rowOff>38100</xdr:rowOff>
        </xdr:from>
        <xdr:to>
          <xdr:col>7</xdr:col>
          <xdr:colOff>177800</xdr:colOff>
          <xdr:row>24</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33</xdr:row>
          <xdr:rowOff>38100</xdr:rowOff>
        </xdr:from>
        <xdr:to>
          <xdr:col>1</xdr:col>
          <xdr:colOff>177800</xdr:colOff>
          <xdr:row>34</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33</xdr:row>
          <xdr:rowOff>38100</xdr:rowOff>
        </xdr:from>
        <xdr:to>
          <xdr:col>5</xdr:col>
          <xdr:colOff>177800</xdr:colOff>
          <xdr:row>34</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33</xdr:row>
          <xdr:rowOff>38100</xdr:rowOff>
        </xdr:from>
        <xdr:to>
          <xdr:col>9</xdr:col>
          <xdr:colOff>177800</xdr:colOff>
          <xdr:row>34</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15</xdr:row>
          <xdr:rowOff>25400</xdr:rowOff>
        </xdr:from>
        <xdr:to>
          <xdr:col>16</xdr:col>
          <xdr:colOff>0</xdr:colOff>
          <xdr:row>15</xdr:row>
          <xdr:rowOff>177800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78</xdr:row>
          <xdr:rowOff>38100</xdr:rowOff>
        </xdr:from>
        <xdr:to>
          <xdr:col>1</xdr:col>
          <xdr:colOff>177800</xdr:colOff>
          <xdr:row>78</xdr:row>
          <xdr:rowOff>190500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78</xdr:row>
          <xdr:rowOff>38100</xdr:rowOff>
        </xdr:from>
        <xdr:to>
          <xdr:col>5</xdr:col>
          <xdr:colOff>177800</xdr:colOff>
          <xdr:row>79</xdr:row>
          <xdr:rowOff>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78</xdr:row>
          <xdr:rowOff>38100</xdr:rowOff>
        </xdr:from>
        <xdr:to>
          <xdr:col>5</xdr:col>
          <xdr:colOff>177800</xdr:colOff>
          <xdr:row>79</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78</xdr:row>
          <xdr:rowOff>38100</xdr:rowOff>
        </xdr:from>
        <xdr:to>
          <xdr:col>9</xdr:col>
          <xdr:colOff>177800</xdr:colOff>
          <xdr:row>79</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86</xdr:row>
          <xdr:rowOff>38100</xdr:rowOff>
        </xdr:from>
        <xdr:to>
          <xdr:col>1</xdr:col>
          <xdr:colOff>177800</xdr:colOff>
          <xdr:row>87</xdr:row>
          <xdr:rowOff>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86</xdr:row>
          <xdr:rowOff>38100</xdr:rowOff>
        </xdr:from>
        <xdr:to>
          <xdr:col>7</xdr:col>
          <xdr:colOff>177800</xdr:colOff>
          <xdr:row>87</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96</xdr:row>
          <xdr:rowOff>38100</xdr:rowOff>
        </xdr:from>
        <xdr:to>
          <xdr:col>1</xdr:col>
          <xdr:colOff>177800</xdr:colOff>
          <xdr:row>97</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96</xdr:row>
          <xdr:rowOff>38100</xdr:rowOff>
        </xdr:from>
        <xdr:to>
          <xdr:col>5</xdr:col>
          <xdr:colOff>177800</xdr:colOff>
          <xdr:row>97</xdr:row>
          <xdr:rowOff>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96</xdr:row>
          <xdr:rowOff>38100</xdr:rowOff>
        </xdr:from>
        <xdr:to>
          <xdr:col>9</xdr:col>
          <xdr:colOff>177800</xdr:colOff>
          <xdr:row>97</xdr:row>
          <xdr:rowOff>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78</xdr:row>
          <xdr:rowOff>25400</xdr:rowOff>
        </xdr:from>
        <xdr:to>
          <xdr:col>16</xdr:col>
          <xdr:colOff>0</xdr:colOff>
          <xdr:row>78</xdr:row>
          <xdr:rowOff>177800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141</xdr:row>
          <xdr:rowOff>38100</xdr:rowOff>
        </xdr:from>
        <xdr:to>
          <xdr:col>1</xdr:col>
          <xdr:colOff>177800</xdr:colOff>
          <xdr:row>141</xdr:row>
          <xdr:rowOff>190500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141</xdr:row>
          <xdr:rowOff>38100</xdr:rowOff>
        </xdr:from>
        <xdr:to>
          <xdr:col>5</xdr:col>
          <xdr:colOff>177800</xdr:colOff>
          <xdr:row>142</xdr:row>
          <xdr:rowOff>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141</xdr:row>
          <xdr:rowOff>38100</xdr:rowOff>
        </xdr:from>
        <xdr:to>
          <xdr:col>5</xdr:col>
          <xdr:colOff>177800</xdr:colOff>
          <xdr:row>142</xdr:row>
          <xdr:rowOff>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141</xdr:row>
          <xdr:rowOff>38100</xdr:rowOff>
        </xdr:from>
        <xdr:to>
          <xdr:col>9</xdr:col>
          <xdr:colOff>177800</xdr:colOff>
          <xdr:row>142</xdr:row>
          <xdr:rowOff>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149</xdr:row>
          <xdr:rowOff>38100</xdr:rowOff>
        </xdr:from>
        <xdr:to>
          <xdr:col>1</xdr:col>
          <xdr:colOff>177800</xdr:colOff>
          <xdr:row>150</xdr:row>
          <xdr:rowOff>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149</xdr:row>
          <xdr:rowOff>38100</xdr:rowOff>
        </xdr:from>
        <xdr:to>
          <xdr:col>7</xdr:col>
          <xdr:colOff>177800</xdr:colOff>
          <xdr:row>150</xdr:row>
          <xdr:rowOff>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159</xdr:row>
          <xdr:rowOff>38100</xdr:rowOff>
        </xdr:from>
        <xdr:to>
          <xdr:col>1</xdr:col>
          <xdr:colOff>177800</xdr:colOff>
          <xdr:row>160</xdr:row>
          <xdr:rowOff>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159</xdr:row>
          <xdr:rowOff>38100</xdr:rowOff>
        </xdr:from>
        <xdr:to>
          <xdr:col>5</xdr:col>
          <xdr:colOff>177800</xdr:colOff>
          <xdr:row>160</xdr:row>
          <xdr:rowOff>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159</xdr:row>
          <xdr:rowOff>38100</xdr:rowOff>
        </xdr:from>
        <xdr:to>
          <xdr:col>9</xdr:col>
          <xdr:colOff>177800</xdr:colOff>
          <xdr:row>160</xdr:row>
          <xdr:rowOff>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141</xdr:row>
          <xdr:rowOff>25400</xdr:rowOff>
        </xdr:from>
        <xdr:to>
          <xdr:col>16</xdr:col>
          <xdr:colOff>0</xdr:colOff>
          <xdr:row>141</xdr:row>
          <xdr:rowOff>177800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204</xdr:row>
          <xdr:rowOff>38100</xdr:rowOff>
        </xdr:from>
        <xdr:to>
          <xdr:col>1</xdr:col>
          <xdr:colOff>177800</xdr:colOff>
          <xdr:row>204</xdr:row>
          <xdr:rowOff>190500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204</xdr:row>
          <xdr:rowOff>38100</xdr:rowOff>
        </xdr:from>
        <xdr:to>
          <xdr:col>5</xdr:col>
          <xdr:colOff>177800</xdr:colOff>
          <xdr:row>205</xdr:row>
          <xdr:rowOff>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204</xdr:row>
          <xdr:rowOff>38100</xdr:rowOff>
        </xdr:from>
        <xdr:to>
          <xdr:col>5</xdr:col>
          <xdr:colOff>177800</xdr:colOff>
          <xdr:row>205</xdr:row>
          <xdr:rowOff>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204</xdr:row>
          <xdr:rowOff>38100</xdr:rowOff>
        </xdr:from>
        <xdr:to>
          <xdr:col>9</xdr:col>
          <xdr:colOff>177800</xdr:colOff>
          <xdr:row>205</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212</xdr:row>
          <xdr:rowOff>38100</xdr:rowOff>
        </xdr:from>
        <xdr:to>
          <xdr:col>1</xdr:col>
          <xdr:colOff>177800</xdr:colOff>
          <xdr:row>213</xdr:row>
          <xdr:rowOff>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212</xdr:row>
          <xdr:rowOff>38100</xdr:rowOff>
        </xdr:from>
        <xdr:to>
          <xdr:col>7</xdr:col>
          <xdr:colOff>177800</xdr:colOff>
          <xdr:row>213</xdr:row>
          <xdr:rowOff>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222</xdr:row>
          <xdr:rowOff>38100</xdr:rowOff>
        </xdr:from>
        <xdr:to>
          <xdr:col>1</xdr:col>
          <xdr:colOff>177800</xdr:colOff>
          <xdr:row>223</xdr:row>
          <xdr:rowOff>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222</xdr:row>
          <xdr:rowOff>38100</xdr:rowOff>
        </xdr:from>
        <xdr:to>
          <xdr:col>5</xdr:col>
          <xdr:colOff>177800</xdr:colOff>
          <xdr:row>223</xdr:row>
          <xdr:rowOff>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222</xdr:row>
          <xdr:rowOff>38100</xdr:rowOff>
        </xdr:from>
        <xdr:to>
          <xdr:col>9</xdr:col>
          <xdr:colOff>177800</xdr:colOff>
          <xdr:row>223</xdr:row>
          <xdr:rowOff>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204</xdr:row>
          <xdr:rowOff>25400</xdr:rowOff>
        </xdr:from>
        <xdr:to>
          <xdr:col>16</xdr:col>
          <xdr:colOff>0</xdr:colOff>
          <xdr:row>204</xdr:row>
          <xdr:rowOff>177800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267</xdr:row>
          <xdr:rowOff>38100</xdr:rowOff>
        </xdr:from>
        <xdr:to>
          <xdr:col>1</xdr:col>
          <xdr:colOff>177800</xdr:colOff>
          <xdr:row>267</xdr:row>
          <xdr:rowOff>190500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267</xdr:row>
          <xdr:rowOff>38100</xdr:rowOff>
        </xdr:from>
        <xdr:to>
          <xdr:col>5</xdr:col>
          <xdr:colOff>177800</xdr:colOff>
          <xdr:row>268</xdr:row>
          <xdr:rowOff>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267</xdr:row>
          <xdr:rowOff>38100</xdr:rowOff>
        </xdr:from>
        <xdr:to>
          <xdr:col>5</xdr:col>
          <xdr:colOff>177800</xdr:colOff>
          <xdr:row>268</xdr:row>
          <xdr:rowOff>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267</xdr:row>
          <xdr:rowOff>38100</xdr:rowOff>
        </xdr:from>
        <xdr:to>
          <xdr:col>9</xdr:col>
          <xdr:colOff>177800</xdr:colOff>
          <xdr:row>268</xdr:row>
          <xdr:rowOff>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275</xdr:row>
          <xdr:rowOff>38100</xdr:rowOff>
        </xdr:from>
        <xdr:to>
          <xdr:col>1</xdr:col>
          <xdr:colOff>177800</xdr:colOff>
          <xdr:row>276</xdr:row>
          <xdr:rowOff>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275</xdr:row>
          <xdr:rowOff>38100</xdr:rowOff>
        </xdr:from>
        <xdr:to>
          <xdr:col>7</xdr:col>
          <xdr:colOff>177800</xdr:colOff>
          <xdr:row>276</xdr:row>
          <xdr:rowOff>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285</xdr:row>
          <xdr:rowOff>38100</xdr:rowOff>
        </xdr:from>
        <xdr:to>
          <xdr:col>1</xdr:col>
          <xdr:colOff>177800</xdr:colOff>
          <xdr:row>286</xdr:row>
          <xdr:rowOff>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285</xdr:row>
          <xdr:rowOff>38100</xdr:rowOff>
        </xdr:from>
        <xdr:to>
          <xdr:col>5</xdr:col>
          <xdr:colOff>177800</xdr:colOff>
          <xdr:row>286</xdr:row>
          <xdr:rowOff>0</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285</xdr:row>
          <xdr:rowOff>38100</xdr:rowOff>
        </xdr:from>
        <xdr:to>
          <xdr:col>9</xdr:col>
          <xdr:colOff>177800</xdr:colOff>
          <xdr:row>286</xdr:row>
          <xdr:rowOff>0</xdr:rowOff>
        </xdr:to>
        <xdr:sp macro="" textlink="">
          <xdr:nvSpPr>
            <xdr:cNvPr id="2098" name="Button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267</xdr:row>
          <xdr:rowOff>25400</xdr:rowOff>
        </xdr:from>
        <xdr:to>
          <xdr:col>16</xdr:col>
          <xdr:colOff>0</xdr:colOff>
          <xdr:row>267</xdr:row>
          <xdr:rowOff>177800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330</xdr:row>
          <xdr:rowOff>38100</xdr:rowOff>
        </xdr:from>
        <xdr:to>
          <xdr:col>1</xdr:col>
          <xdr:colOff>177800</xdr:colOff>
          <xdr:row>330</xdr:row>
          <xdr:rowOff>190500</xdr:rowOff>
        </xdr:to>
        <xdr:sp macro="" textlink="">
          <xdr:nvSpPr>
            <xdr:cNvPr id="2100" name="Button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330</xdr:row>
          <xdr:rowOff>38100</xdr:rowOff>
        </xdr:from>
        <xdr:to>
          <xdr:col>5</xdr:col>
          <xdr:colOff>177800</xdr:colOff>
          <xdr:row>331</xdr:row>
          <xdr:rowOff>0</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330</xdr:row>
          <xdr:rowOff>38100</xdr:rowOff>
        </xdr:from>
        <xdr:to>
          <xdr:col>5</xdr:col>
          <xdr:colOff>177800</xdr:colOff>
          <xdr:row>331</xdr:row>
          <xdr:rowOff>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330</xdr:row>
          <xdr:rowOff>38100</xdr:rowOff>
        </xdr:from>
        <xdr:to>
          <xdr:col>9</xdr:col>
          <xdr:colOff>177800</xdr:colOff>
          <xdr:row>331</xdr:row>
          <xdr:rowOff>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338</xdr:row>
          <xdr:rowOff>38100</xdr:rowOff>
        </xdr:from>
        <xdr:to>
          <xdr:col>1</xdr:col>
          <xdr:colOff>177800</xdr:colOff>
          <xdr:row>339</xdr:row>
          <xdr:rowOff>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338</xdr:row>
          <xdr:rowOff>38100</xdr:rowOff>
        </xdr:from>
        <xdr:to>
          <xdr:col>7</xdr:col>
          <xdr:colOff>177800</xdr:colOff>
          <xdr:row>339</xdr:row>
          <xdr:rowOff>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348</xdr:row>
          <xdr:rowOff>38100</xdr:rowOff>
        </xdr:from>
        <xdr:to>
          <xdr:col>1</xdr:col>
          <xdr:colOff>177800</xdr:colOff>
          <xdr:row>349</xdr:row>
          <xdr:rowOff>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348</xdr:row>
          <xdr:rowOff>38100</xdr:rowOff>
        </xdr:from>
        <xdr:to>
          <xdr:col>5</xdr:col>
          <xdr:colOff>177800</xdr:colOff>
          <xdr:row>349</xdr:row>
          <xdr:rowOff>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348</xdr:row>
          <xdr:rowOff>38100</xdr:rowOff>
        </xdr:from>
        <xdr:to>
          <xdr:col>9</xdr:col>
          <xdr:colOff>177800</xdr:colOff>
          <xdr:row>349</xdr:row>
          <xdr:rowOff>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330</xdr:row>
          <xdr:rowOff>25400</xdr:rowOff>
        </xdr:from>
        <xdr:to>
          <xdr:col>16</xdr:col>
          <xdr:colOff>0</xdr:colOff>
          <xdr:row>330</xdr:row>
          <xdr:rowOff>177800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393</xdr:row>
          <xdr:rowOff>38100</xdr:rowOff>
        </xdr:from>
        <xdr:to>
          <xdr:col>1</xdr:col>
          <xdr:colOff>177800</xdr:colOff>
          <xdr:row>393</xdr:row>
          <xdr:rowOff>190500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393</xdr:row>
          <xdr:rowOff>38100</xdr:rowOff>
        </xdr:from>
        <xdr:to>
          <xdr:col>5</xdr:col>
          <xdr:colOff>177800</xdr:colOff>
          <xdr:row>394</xdr:row>
          <xdr:rowOff>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393</xdr:row>
          <xdr:rowOff>38100</xdr:rowOff>
        </xdr:from>
        <xdr:to>
          <xdr:col>5</xdr:col>
          <xdr:colOff>177800</xdr:colOff>
          <xdr:row>394</xdr:row>
          <xdr:rowOff>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393</xdr:row>
          <xdr:rowOff>38100</xdr:rowOff>
        </xdr:from>
        <xdr:to>
          <xdr:col>9</xdr:col>
          <xdr:colOff>177800</xdr:colOff>
          <xdr:row>394</xdr:row>
          <xdr:rowOff>0</xdr:rowOff>
        </xdr:to>
        <xdr:sp macro="" textlink="">
          <xdr:nvSpPr>
            <xdr:cNvPr id="2113" name="Button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401</xdr:row>
          <xdr:rowOff>38100</xdr:rowOff>
        </xdr:from>
        <xdr:to>
          <xdr:col>1</xdr:col>
          <xdr:colOff>177800</xdr:colOff>
          <xdr:row>402</xdr:row>
          <xdr:rowOff>0</xdr:rowOff>
        </xdr:to>
        <xdr:sp macro="" textlink="">
          <xdr:nvSpPr>
            <xdr:cNvPr id="2114" name="Button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401</xdr:row>
          <xdr:rowOff>38100</xdr:rowOff>
        </xdr:from>
        <xdr:to>
          <xdr:col>7</xdr:col>
          <xdr:colOff>177800</xdr:colOff>
          <xdr:row>402</xdr:row>
          <xdr:rowOff>0</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411</xdr:row>
          <xdr:rowOff>38100</xdr:rowOff>
        </xdr:from>
        <xdr:to>
          <xdr:col>1</xdr:col>
          <xdr:colOff>177800</xdr:colOff>
          <xdr:row>412</xdr:row>
          <xdr:rowOff>0</xdr:rowOff>
        </xdr:to>
        <xdr:sp macro="" textlink="">
          <xdr:nvSpPr>
            <xdr:cNvPr id="2116" name="Button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411</xdr:row>
          <xdr:rowOff>38100</xdr:rowOff>
        </xdr:from>
        <xdr:to>
          <xdr:col>5</xdr:col>
          <xdr:colOff>177800</xdr:colOff>
          <xdr:row>412</xdr:row>
          <xdr:rowOff>0</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411</xdr:row>
          <xdr:rowOff>38100</xdr:rowOff>
        </xdr:from>
        <xdr:to>
          <xdr:col>9</xdr:col>
          <xdr:colOff>177800</xdr:colOff>
          <xdr:row>412</xdr:row>
          <xdr:rowOff>0</xdr:rowOff>
        </xdr:to>
        <xdr:sp macro="" textlink="">
          <xdr:nvSpPr>
            <xdr:cNvPr id="2118" name="Button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393</xdr:row>
          <xdr:rowOff>25400</xdr:rowOff>
        </xdr:from>
        <xdr:to>
          <xdr:col>16</xdr:col>
          <xdr:colOff>0</xdr:colOff>
          <xdr:row>393</xdr:row>
          <xdr:rowOff>177800</xdr:rowOff>
        </xdr:to>
        <xdr:sp macro="" textlink="">
          <xdr:nvSpPr>
            <xdr:cNvPr id="2119" name="Button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456</xdr:row>
          <xdr:rowOff>38100</xdr:rowOff>
        </xdr:from>
        <xdr:to>
          <xdr:col>1</xdr:col>
          <xdr:colOff>177800</xdr:colOff>
          <xdr:row>456</xdr:row>
          <xdr:rowOff>190500</xdr:rowOff>
        </xdr:to>
        <xdr:sp macro="" textlink="">
          <xdr:nvSpPr>
            <xdr:cNvPr id="2120" name="Button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456</xdr:row>
          <xdr:rowOff>38100</xdr:rowOff>
        </xdr:from>
        <xdr:to>
          <xdr:col>5</xdr:col>
          <xdr:colOff>177800</xdr:colOff>
          <xdr:row>457</xdr:row>
          <xdr:rowOff>0</xdr:rowOff>
        </xdr:to>
        <xdr:sp macro="" textlink="">
          <xdr:nvSpPr>
            <xdr:cNvPr id="2121" name="Button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456</xdr:row>
          <xdr:rowOff>38100</xdr:rowOff>
        </xdr:from>
        <xdr:to>
          <xdr:col>5</xdr:col>
          <xdr:colOff>177800</xdr:colOff>
          <xdr:row>457</xdr:row>
          <xdr:rowOff>0</xdr:rowOff>
        </xdr:to>
        <xdr:sp macro="" textlink="">
          <xdr:nvSpPr>
            <xdr:cNvPr id="2122" name="Button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456</xdr:row>
          <xdr:rowOff>38100</xdr:rowOff>
        </xdr:from>
        <xdr:to>
          <xdr:col>9</xdr:col>
          <xdr:colOff>177800</xdr:colOff>
          <xdr:row>457</xdr:row>
          <xdr:rowOff>0</xdr:rowOff>
        </xdr:to>
        <xdr:sp macro="" textlink="">
          <xdr:nvSpPr>
            <xdr:cNvPr id="2123" name="Button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464</xdr:row>
          <xdr:rowOff>38100</xdr:rowOff>
        </xdr:from>
        <xdr:to>
          <xdr:col>1</xdr:col>
          <xdr:colOff>177800</xdr:colOff>
          <xdr:row>465</xdr:row>
          <xdr:rowOff>0</xdr:rowOff>
        </xdr:to>
        <xdr:sp macro="" textlink="">
          <xdr:nvSpPr>
            <xdr:cNvPr id="2124" name="Button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464</xdr:row>
          <xdr:rowOff>38100</xdr:rowOff>
        </xdr:from>
        <xdr:to>
          <xdr:col>7</xdr:col>
          <xdr:colOff>177800</xdr:colOff>
          <xdr:row>465</xdr:row>
          <xdr:rowOff>0</xdr:rowOff>
        </xdr:to>
        <xdr:sp macro="" textlink="">
          <xdr:nvSpPr>
            <xdr:cNvPr id="2125" name="Button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474</xdr:row>
          <xdr:rowOff>38100</xdr:rowOff>
        </xdr:from>
        <xdr:to>
          <xdr:col>1</xdr:col>
          <xdr:colOff>177800</xdr:colOff>
          <xdr:row>475</xdr:row>
          <xdr:rowOff>0</xdr:rowOff>
        </xdr:to>
        <xdr:sp macro="" textlink="">
          <xdr:nvSpPr>
            <xdr:cNvPr id="2126" name="Button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474</xdr:row>
          <xdr:rowOff>38100</xdr:rowOff>
        </xdr:from>
        <xdr:to>
          <xdr:col>5</xdr:col>
          <xdr:colOff>177800</xdr:colOff>
          <xdr:row>475</xdr:row>
          <xdr:rowOff>0</xdr:rowOff>
        </xdr:to>
        <xdr:sp macro="" textlink="">
          <xdr:nvSpPr>
            <xdr:cNvPr id="2127" name="Button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474</xdr:row>
          <xdr:rowOff>38100</xdr:rowOff>
        </xdr:from>
        <xdr:to>
          <xdr:col>9</xdr:col>
          <xdr:colOff>177800</xdr:colOff>
          <xdr:row>475</xdr:row>
          <xdr:rowOff>0</xdr:rowOff>
        </xdr:to>
        <xdr:sp macro="" textlink="">
          <xdr:nvSpPr>
            <xdr:cNvPr id="2128" name="Button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456</xdr:row>
          <xdr:rowOff>25400</xdr:rowOff>
        </xdr:from>
        <xdr:to>
          <xdr:col>16</xdr:col>
          <xdr:colOff>0</xdr:colOff>
          <xdr:row>456</xdr:row>
          <xdr:rowOff>177800</xdr:rowOff>
        </xdr:to>
        <xdr:sp macro="" textlink="">
          <xdr:nvSpPr>
            <xdr:cNvPr id="2129" name="Button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519</xdr:row>
          <xdr:rowOff>38100</xdr:rowOff>
        </xdr:from>
        <xdr:to>
          <xdr:col>1</xdr:col>
          <xdr:colOff>177800</xdr:colOff>
          <xdr:row>519</xdr:row>
          <xdr:rowOff>190500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519</xdr:row>
          <xdr:rowOff>38100</xdr:rowOff>
        </xdr:from>
        <xdr:to>
          <xdr:col>5</xdr:col>
          <xdr:colOff>177800</xdr:colOff>
          <xdr:row>520</xdr:row>
          <xdr:rowOff>0</xdr:rowOff>
        </xdr:to>
        <xdr:sp macro="" textlink="">
          <xdr:nvSpPr>
            <xdr:cNvPr id="2131" name="Button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519</xdr:row>
          <xdr:rowOff>38100</xdr:rowOff>
        </xdr:from>
        <xdr:to>
          <xdr:col>5</xdr:col>
          <xdr:colOff>177800</xdr:colOff>
          <xdr:row>520</xdr:row>
          <xdr:rowOff>0</xdr:rowOff>
        </xdr:to>
        <xdr:sp macro="" textlink="">
          <xdr:nvSpPr>
            <xdr:cNvPr id="2132" name="Button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519</xdr:row>
          <xdr:rowOff>38100</xdr:rowOff>
        </xdr:from>
        <xdr:to>
          <xdr:col>9</xdr:col>
          <xdr:colOff>177800</xdr:colOff>
          <xdr:row>520</xdr:row>
          <xdr:rowOff>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527</xdr:row>
          <xdr:rowOff>38100</xdr:rowOff>
        </xdr:from>
        <xdr:to>
          <xdr:col>1</xdr:col>
          <xdr:colOff>177800</xdr:colOff>
          <xdr:row>528</xdr:row>
          <xdr:rowOff>0</xdr:rowOff>
        </xdr:to>
        <xdr:sp macro="" textlink="">
          <xdr:nvSpPr>
            <xdr:cNvPr id="2134" name="Button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527</xdr:row>
          <xdr:rowOff>38100</xdr:rowOff>
        </xdr:from>
        <xdr:to>
          <xdr:col>7</xdr:col>
          <xdr:colOff>177800</xdr:colOff>
          <xdr:row>528</xdr:row>
          <xdr:rowOff>0</xdr:rowOff>
        </xdr:to>
        <xdr:sp macro="" textlink="">
          <xdr:nvSpPr>
            <xdr:cNvPr id="2135" name="Button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537</xdr:row>
          <xdr:rowOff>38100</xdr:rowOff>
        </xdr:from>
        <xdr:to>
          <xdr:col>1</xdr:col>
          <xdr:colOff>177800</xdr:colOff>
          <xdr:row>538</xdr:row>
          <xdr:rowOff>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537</xdr:row>
          <xdr:rowOff>38100</xdr:rowOff>
        </xdr:from>
        <xdr:to>
          <xdr:col>5</xdr:col>
          <xdr:colOff>177800</xdr:colOff>
          <xdr:row>538</xdr:row>
          <xdr:rowOff>0</xdr:rowOff>
        </xdr:to>
        <xdr:sp macro="" textlink="">
          <xdr:nvSpPr>
            <xdr:cNvPr id="2137" name="Button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537</xdr:row>
          <xdr:rowOff>38100</xdr:rowOff>
        </xdr:from>
        <xdr:to>
          <xdr:col>9</xdr:col>
          <xdr:colOff>177800</xdr:colOff>
          <xdr:row>538</xdr:row>
          <xdr:rowOff>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519</xdr:row>
          <xdr:rowOff>25400</xdr:rowOff>
        </xdr:from>
        <xdr:to>
          <xdr:col>16</xdr:col>
          <xdr:colOff>0</xdr:colOff>
          <xdr:row>519</xdr:row>
          <xdr:rowOff>177800</xdr:rowOff>
        </xdr:to>
        <xdr:sp macro="" textlink="">
          <xdr:nvSpPr>
            <xdr:cNvPr id="2139" name="Button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582</xdr:row>
          <xdr:rowOff>38100</xdr:rowOff>
        </xdr:from>
        <xdr:to>
          <xdr:col>1</xdr:col>
          <xdr:colOff>177800</xdr:colOff>
          <xdr:row>582</xdr:row>
          <xdr:rowOff>190500</xdr:rowOff>
        </xdr:to>
        <xdr:sp macro="" textlink="">
          <xdr:nvSpPr>
            <xdr:cNvPr id="2140" name="Button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582</xdr:row>
          <xdr:rowOff>38100</xdr:rowOff>
        </xdr:from>
        <xdr:to>
          <xdr:col>5</xdr:col>
          <xdr:colOff>177800</xdr:colOff>
          <xdr:row>583</xdr:row>
          <xdr:rowOff>0</xdr:rowOff>
        </xdr:to>
        <xdr:sp macro="" textlink="">
          <xdr:nvSpPr>
            <xdr:cNvPr id="2141" name="Button 93"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582</xdr:row>
          <xdr:rowOff>38100</xdr:rowOff>
        </xdr:from>
        <xdr:to>
          <xdr:col>5</xdr:col>
          <xdr:colOff>177800</xdr:colOff>
          <xdr:row>583</xdr:row>
          <xdr:rowOff>0</xdr:rowOff>
        </xdr:to>
        <xdr:sp macro="" textlink="">
          <xdr:nvSpPr>
            <xdr:cNvPr id="2142" name="Button 9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582</xdr:row>
          <xdr:rowOff>38100</xdr:rowOff>
        </xdr:from>
        <xdr:to>
          <xdr:col>9</xdr:col>
          <xdr:colOff>177800</xdr:colOff>
          <xdr:row>583</xdr:row>
          <xdr:rowOff>0</xdr:rowOff>
        </xdr:to>
        <xdr:sp macro="" textlink="">
          <xdr:nvSpPr>
            <xdr:cNvPr id="2143" name="Button 9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590</xdr:row>
          <xdr:rowOff>38100</xdr:rowOff>
        </xdr:from>
        <xdr:to>
          <xdr:col>1</xdr:col>
          <xdr:colOff>177800</xdr:colOff>
          <xdr:row>591</xdr:row>
          <xdr:rowOff>0</xdr:rowOff>
        </xdr:to>
        <xdr:sp macro="" textlink="">
          <xdr:nvSpPr>
            <xdr:cNvPr id="2144" name="Button 96"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590</xdr:row>
          <xdr:rowOff>38100</xdr:rowOff>
        </xdr:from>
        <xdr:to>
          <xdr:col>7</xdr:col>
          <xdr:colOff>177800</xdr:colOff>
          <xdr:row>591</xdr:row>
          <xdr:rowOff>0</xdr:rowOff>
        </xdr:to>
        <xdr:sp macro="" textlink="">
          <xdr:nvSpPr>
            <xdr:cNvPr id="2145" name="Button 97"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600</xdr:row>
          <xdr:rowOff>38100</xdr:rowOff>
        </xdr:from>
        <xdr:to>
          <xdr:col>1</xdr:col>
          <xdr:colOff>177800</xdr:colOff>
          <xdr:row>601</xdr:row>
          <xdr:rowOff>0</xdr:rowOff>
        </xdr:to>
        <xdr:sp macro="" textlink="">
          <xdr:nvSpPr>
            <xdr:cNvPr id="2146" name="Button 98"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600</xdr:row>
          <xdr:rowOff>38100</xdr:rowOff>
        </xdr:from>
        <xdr:to>
          <xdr:col>5</xdr:col>
          <xdr:colOff>177800</xdr:colOff>
          <xdr:row>601</xdr:row>
          <xdr:rowOff>0</xdr:rowOff>
        </xdr:to>
        <xdr:sp macro="" textlink="">
          <xdr:nvSpPr>
            <xdr:cNvPr id="2147" name="Button 99"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600</xdr:row>
          <xdr:rowOff>38100</xdr:rowOff>
        </xdr:from>
        <xdr:to>
          <xdr:col>9</xdr:col>
          <xdr:colOff>177800</xdr:colOff>
          <xdr:row>601</xdr:row>
          <xdr:rowOff>0</xdr:rowOff>
        </xdr:to>
        <xdr:sp macro="" textlink="">
          <xdr:nvSpPr>
            <xdr:cNvPr id="2148" name="Button 100"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582</xdr:row>
          <xdr:rowOff>25400</xdr:rowOff>
        </xdr:from>
        <xdr:to>
          <xdr:col>16</xdr:col>
          <xdr:colOff>0</xdr:colOff>
          <xdr:row>582</xdr:row>
          <xdr:rowOff>177800</xdr:rowOff>
        </xdr:to>
        <xdr:sp macro="" textlink="">
          <xdr:nvSpPr>
            <xdr:cNvPr id="2149" name="Button 101"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645</xdr:row>
          <xdr:rowOff>38100</xdr:rowOff>
        </xdr:from>
        <xdr:to>
          <xdr:col>1</xdr:col>
          <xdr:colOff>177800</xdr:colOff>
          <xdr:row>645</xdr:row>
          <xdr:rowOff>190500</xdr:rowOff>
        </xdr:to>
        <xdr:sp macro="" textlink="">
          <xdr:nvSpPr>
            <xdr:cNvPr id="2150" name="Button 102"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645</xdr:row>
          <xdr:rowOff>38100</xdr:rowOff>
        </xdr:from>
        <xdr:to>
          <xdr:col>5</xdr:col>
          <xdr:colOff>177800</xdr:colOff>
          <xdr:row>646</xdr:row>
          <xdr:rowOff>0</xdr:rowOff>
        </xdr:to>
        <xdr:sp macro="" textlink="">
          <xdr:nvSpPr>
            <xdr:cNvPr id="2151" name="Button 103"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645</xdr:row>
          <xdr:rowOff>38100</xdr:rowOff>
        </xdr:from>
        <xdr:to>
          <xdr:col>5</xdr:col>
          <xdr:colOff>177800</xdr:colOff>
          <xdr:row>646</xdr:row>
          <xdr:rowOff>0</xdr:rowOff>
        </xdr:to>
        <xdr:sp macro="" textlink="">
          <xdr:nvSpPr>
            <xdr:cNvPr id="2152" name="Button 104"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645</xdr:row>
          <xdr:rowOff>38100</xdr:rowOff>
        </xdr:from>
        <xdr:to>
          <xdr:col>9</xdr:col>
          <xdr:colOff>177800</xdr:colOff>
          <xdr:row>646</xdr:row>
          <xdr:rowOff>0</xdr:rowOff>
        </xdr:to>
        <xdr:sp macro="" textlink="">
          <xdr:nvSpPr>
            <xdr:cNvPr id="2153" name="Button 105"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653</xdr:row>
          <xdr:rowOff>38100</xdr:rowOff>
        </xdr:from>
        <xdr:to>
          <xdr:col>1</xdr:col>
          <xdr:colOff>177800</xdr:colOff>
          <xdr:row>654</xdr:row>
          <xdr:rowOff>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653</xdr:row>
          <xdr:rowOff>38100</xdr:rowOff>
        </xdr:from>
        <xdr:to>
          <xdr:col>7</xdr:col>
          <xdr:colOff>177800</xdr:colOff>
          <xdr:row>654</xdr:row>
          <xdr:rowOff>0</xdr:rowOff>
        </xdr:to>
        <xdr:sp macro="" textlink="">
          <xdr:nvSpPr>
            <xdr:cNvPr id="2155" name="Button 107"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663</xdr:row>
          <xdr:rowOff>38100</xdr:rowOff>
        </xdr:from>
        <xdr:to>
          <xdr:col>1</xdr:col>
          <xdr:colOff>177800</xdr:colOff>
          <xdr:row>664</xdr:row>
          <xdr:rowOff>0</xdr:rowOff>
        </xdr:to>
        <xdr:sp macro="" textlink="">
          <xdr:nvSpPr>
            <xdr:cNvPr id="2156" name="Button 108"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663</xdr:row>
          <xdr:rowOff>38100</xdr:rowOff>
        </xdr:from>
        <xdr:to>
          <xdr:col>5</xdr:col>
          <xdr:colOff>177800</xdr:colOff>
          <xdr:row>664</xdr:row>
          <xdr:rowOff>0</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663</xdr:row>
          <xdr:rowOff>38100</xdr:rowOff>
        </xdr:from>
        <xdr:to>
          <xdr:col>9</xdr:col>
          <xdr:colOff>177800</xdr:colOff>
          <xdr:row>664</xdr:row>
          <xdr:rowOff>0</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645</xdr:row>
          <xdr:rowOff>25400</xdr:rowOff>
        </xdr:from>
        <xdr:to>
          <xdr:col>16</xdr:col>
          <xdr:colOff>0</xdr:colOff>
          <xdr:row>645</xdr:row>
          <xdr:rowOff>177800</xdr:rowOff>
        </xdr:to>
        <xdr:sp macro="" textlink="">
          <xdr:nvSpPr>
            <xdr:cNvPr id="2159" name="Button 111" hidden="1">
              <a:extLst>
                <a:ext uri="{63B3BB69-23CF-44E3-9099-C40C66FF867C}">
                  <a14:compatExt spid="_x0000_s2159"/>
                </a:ext>
                <a:ext uri="{FF2B5EF4-FFF2-40B4-BE49-F238E27FC236}">
                  <a16:creationId xmlns:a16="http://schemas.microsoft.com/office/drawing/2014/main" id="{00000000-0008-0000-0100-00006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708</xdr:row>
          <xdr:rowOff>38100</xdr:rowOff>
        </xdr:from>
        <xdr:to>
          <xdr:col>1</xdr:col>
          <xdr:colOff>177800</xdr:colOff>
          <xdr:row>708</xdr:row>
          <xdr:rowOff>190500</xdr:rowOff>
        </xdr:to>
        <xdr:sp macro="" textlink="">
          <xdr:nvSpPr>
            <xdr:cNvPr id="2160" name="Button 112" hidden="1">
              <a:extLst>
                <a:ext uri="{63B3BB69-23CF-44E3-9099-C40C66FF867C}">
                  <a14:compatExt spid="_x0000_s2160"/>
                </a:ext>
                <a:ext uri="{FF2B5EF4-FFF2-40B4-BE49-F238E27FC236}">
                  <a16:creationId xmlns:a16="http://schemas.microsoft.com/office/drawing/2014/main" id="{00000000-0008-0000-0100-00007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708</xdr:row>
          <xdr:rowOff>38100</xdr:rowOff>
        </xdr:from>
        <xdr:to>
          <xdr:col>5</xdr:col>
          <xdr:colOff>177800</xdr:colOff>
          <xdr:row>709</xdr:row>
          <xdr:rowOff>0</xdr:rowOff>
        </xdr:to>
        <xdr:sp macro="" textlink="">
          <xdr:nvSpPr>
            <xdr:cNvPr id="2161" name="Button 113" hidden="1">
              <a:extLst>
                <a:ext uri="{63B3BB69-23CF-44E3-9099-C40C66FF867C}">
                  <a14:compatExt spid="_x0000_s2161"/>
                </a:ext>
                <a:ext uri="{FF2B5EF4-FFF2-40B4-BE49-F238E27FC236}">
                  <a16:creationId xmlns:a16="http://schemas.microsoft.com/office/drawing/2014/main" id="{00000000-0008-0000-0100-00007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708</xdr:row>
          <xdr:rowOff>38100</xdr:rowOff>
        </xdr:from>
        <xdr:to>
          <xdr:col>5</xdr:col>
          <xdr:colOff>177800</xdr:colOff>
          <xdr:row>709</xdr:row>
          <xdr:rowOff>0</xdr:rowOff>
        </xdr:to>
        <xdr:sp macro="" textlink="">
          <xdr:nvSpPr>
            <xdr:cNvPr id="2162" name="Button 114" hidden="1">
              <a:extLst>
                <a:ext uri="{63B3BB69-23CF-44E3-9099-C40C66FF867C}">
                  <a14:compatExt spid="_x0000_s2162"/>
                </a:ext>
                <a:ext uri="{FF2B5EF4-FFF2-40B4-BE49-F238E27FC236}">
                  <a16:creationId xmlns:a16="http://schemas.microsoft.com/office/drawing/2014/main" id="{00000000-0008-0000-0100-00007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708</xdr:row>
          <xdr:rowOff>38100</xdr:rowOff>
        </xdr:from>
        <xdr:to>
          <xdr:col>9</xdr:col>
          <xdr:colOff>177800</xdr:colOff>
          <xdr:row>709</xdr:row>
          <xdr:rowOff>0</xdr:rowOff>
        </xdr:to>
        <xdr:sp macro="" textlink="">
          <xdr:nvSpPr>
            <xdr:cNvPr id="2163" name="Button 115" hidden="1">
              <a:extLst>
                <a:ext uri="{63B3BB69-23CF-44E3-9099-C40C66FF867C}">
                  <a14:compatExt spid="_x0000_s2163"/>
                </a:ext>
                <a:ext uri="{FF2B5EF4-FFF2-40B4-BE49-F238E27FC236}">
                  <a16:creationId xmlns:a16="http://schemas.microsoft.com/office/drawing/2014/main" id="{00000000-0008-0000-0100-00007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716</xdr:row>
          <xdr:rowOff>38100</xdr:rowOff>
        </xdr:from>
        <xdr:to>
          <xdr:col>1</xdr:col>
          <xdr:colOff>177800</xdr:colOff>
          <xdr:row>717</xdr:row>
          <xdr:rowOff>0</xdr:rowOff>
        </xdr:to>
        <xdr:sp macro="" textlink="">
          <xdr:nvSpPr>
            <xdr:cNvPr id="2164" name="Button 116" hidden="1">
              <a:extLst>
                <a:ext uri="{63B3BB69-23CF-44E3-9099-C40C66FF867C}">
                  <a14:compatExt spid="_x0000_s2164"/>
                </a:ext>
                <a:ext uri="{FF2B5EF4-FFF2-40B4-BE49-F238E27FC236}">
                  <a16:creationId xmlns:a16="http://schemas.microsoft.com/office/drawing/2014/main" id="{00000000-0008-0000-0100-00007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716</xdr:row>
          <xdr:rowOff>38100</xdr:rowOff>
        </xdr:from>
        <xdr:to>
          <xdr:col>7</xdr:col>
          <xdr:colOff>177800</xdr:colOff>
          <xdr:row>717</xdr:row>
          <xdr:rowOff>0</xdr:rowOff>
        </xdr:to>
        <xdr:sp macro="" textlink="">
          <xdr:nvSpPr>
            <xdr:cNvPr id="2165" name="Button 117" hidden="1">
              <a:extLst>
                <a:ext uri="{63B3BB69-23CF-44E3-9099-C40C66FF867C}">
                  <a14:compatExt spid="_x0000_s2165"/>
                </a:ext>
                <a:ext uri="{FF2B5EF4-FFF2-40B4-BE49-F238E27FC236}">
                  <a16:creationId xmlns:a16="http://schemas.microsoft.com/office/drawing/2014/main" id="{00000000-0008-0000-0100-00007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726</xdr:row>
          <xdr:rowOff>38100</xdr:rowOff>
        </xdr:from>
        <xdr:to>
          <xdr:col>1</xdr:col>
          <xdr:colOff>177800</xdr:colOff>
          <xdr:row>727</xdr:row>
          <xdr:rowOff>0</xdr:rowOff>
        </xdr:to>
        <xdr:sp macro="" textlink="">
          <xdr:nvSpPr>
            <xdr:cNvPr id="2166" name="Button 118" hidden="1">
              <a:extLst>
                <a:ext uri="{63B3BB69-23CF-44E3-9099-C40C66FF867C}">
                  <a14:compatExt spid="_x0000_s2166"/>
                </a:ext>
                <a:ext uri="{FF2B5EF4-FFF2-40B4-BE49-F238E27FC236}">
                  <a16:creationId xmlns:a16="http://schemas.microsoft.com/office/drawing/2014/main" id="{00000000-0008-0000-0100-00007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726</xdr:row>
          <xdr:rowOff>38100</xdr:rowOff>
        </xdr:from>
        <xdr:to>
          <xdr:col>5</xdr:col>
          <xdr:colOff>177800</xdr:colOff>
          <xdr:row>727</xdr:row>
          <xdr:rowOff>0</xdr:rowOff>
        </xdr:to>
        <xdr:sp macro="" textlink="">
          <xdr:nvSpPr>
            <xdr:cNvPr id="2167" name="Button 119" hidden="1">
              <a:extLst>
                <a:ext uri="{63B3BB69-23CF-44E3-9099-C40C66FF867C}">
                  <a14:compatExt spid="_x0000_s2167"/>
                </a:ext>
                <a:ext uri="{FF2B5EF4-FFF2-40B4-BE49-F238E27FC236}">
                  <a16:creationId xmlns:a16="http://schemas.microsoft.com/office/drawing/2014/main" id="{00000000-0008-0000-0100-00007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726</xdr:row>
          <xdr:rowOff>38100</xdr:rowOff>
        </xdr:from>
        <xdr:to>
          <xdr:col>9</xdr:col>
          <xdr:colOff>177800</xdr:colOff>
          <xdr:row>727</xdr:row>
          <xdr:rowOff>0</xdr:rowOff>
        </xdr:to>
        <xdr:sp macro="" textlink="">
          <xdr:nvSpPr>
            <xdr:cNvPr id="2168" name="Button 120"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708</xdr:row>
          <xdr:rowOff>25400</xdr:rowOff>
        </xdr:from>
        <xdr:to>
          <xdr:col>16</xdr:col>
          <xdr:colOff>0</xdr:colOff>
          <xdr:row>708</xdr:row>
          <xdr:rowOff>177800</xdr:rowOff>
        </xdr:to>
        <xdr:sp macro="" textlink="">
          <xdr:nvSpPr>
            <xdr:cNvPr id="2169" name="Button 121" hidden="1">
              <a:extLst>
                <a:ext uri="{63B3BB69-23CF-44E3-9099-C40C66FF867C}">
                  <a14:compatExt spid="_x0000_s2169"/>
                </a:ext>
                <a:ext uri="{FF2B5EF4-FFF2-40B4-BE49-F238E27FC236}">
                  <a16:creationId xmlns:a16="http://schemas.microsoft.com/office/drawing/2014/main" id="{00000000-0008-0000-0100-00007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771</xdr:row>
          <xdr:rowOff>38100</xdr:rowOff>
        </xdr:from>
        <xdr:to>
          <xdr:col>1</xdr:col>
          <xdr:colOff>177800</xdr:colOff>
          <xdr:row>771</xdr:row>
          <xdr:rowOff>190500</xdr:rowOff>
        </xdr:to>
        <xdr:sp macro="" textlink="">
          <xdr:nvSpPr>
            <xdr:cNvPr id="2170" name="Button 122"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771</xdr:row>
          <xdr:rowOff>38100</xdr:rowOff>
        </xdr:from>
        <xdr:to>
          <xdr:col>5</xdr:col>
          <xdr:colOff>177800</xdr:colOff>
          <xdr:row>772</xdr:row>
          <xdr:rowOff>0</xdr:rowOff>
        </xdr:to>
        <xdr:sp macro="" textlink="">
          <xdr:nvSpPr>
            <xdr:cNvPr id="2171" name="Button 123" hidden="1">
              <a:extLst>
                <a:ext uri="{63B3BB69-23CF-44E3-9099-C40C66FF867C}">
                  <a14:compatExt spid="_x0000_s2171"/>
                </a:ext>
                <a:ext uri="{FF2B5EF4-FFF2-40B4-BE49-F238E27FC236}">
                  <a16:creationId xmlns:a16="http://schemas.microsoft.com/office/drawing/2014/main" id="{00000000-0008-0000-0100-00007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771</xdr:row>
          <xdr:rowOff>38100</xdr:rowOff>
        </xdr:from>
        <xdr:to>
          <xdr:col>5</xdr:col>
          <xdr:colOff>177800</xdr:colOff>
          <xdr:row>772</xdr:row>
          <xdr:rowOff>0</xdr:rowOff>
        </xdr:to>
        <xdr:sp macro="" textlink="">
          <xdr:nvSpPr>
            <xdr:cNvPr id="2172" name="Button 124" hidden="1">
              <a:extLst>
                <a:ext uri="{63B3BB69-23CF-44E3-9099-C40C66FF867C}">
                  <a14:compatExt spid="_x0000_s2172"/>
                </a:ext>
                <a:ext uri="{FF2B5EF4-FFF2-40B4-BE49-F238E27FC236}">
                  <a16:creationId xmlns:a16="http://schemas.microsoft.com/office/drawing/2014/main" id="{00000000-0008-0000-0100-00007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771</xdr:row>
          <xdr:rowOff>38100</xdr:rowOff>
        </xdr:from>
        <xdr:to>
          <xdr:col>9</xdr:col>
          <xdr:colOff>177800</xdr:colOff>
          <xdr:row>772</xdr:row>
          <xdr:rowOff>0</xdr:rowOff>
        </xdr:to>
        <xdr:sp macro="" textlink="">
          <xdr:nvSpPr>
            <xdr:cNvPr id="2173" name="Button 125" hidden="1">
              <a:extLst>
                <a:ext uri="{63B3BB69-23CF-44E3-9099-C40C66FF867C}">
                  <a14:compatExt spid="_x0000_s2173"/>
                </a:ext>
                <a:ext uri="{FF2B5EF4-FFF2-40B4-BE49-F238E27FC236}">
                  <a16:creationId xmlns:a16="http://schemas.microsoft.com/office/drawing/2014/main" id="{00000000-0008-0000-0100-00007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779</xdr:row>
          <xdr:rowOff>38100</xdr:rowOff>
        </xdr:from>
        <xdr:to>
          <xdr:col>1</xdr:col>
          <xdr:colOff>177800</xdr:colOff>
          <xdr:row>780</xdr:row>
          <xdr:rowOff>0</xdr:rowOff>
        </xdr:to>
        <xdr:sp macro="" textlink="">
          <xdr:nvSpPr>
            <xdr:cNvPr id="2174" name="Button 126" hidden="1">
              <a:extLst>
                <a:ext uri="{63B3BB69-23CF-44E3-9099-C40C66FF867C}">
                  <a14:compatExt spid="_x0000_s2174"/>
                </a:ext>
                <a:ext uri="{FF2B5EF4-FFF2-40B4-BE49-F238E27FC236}">
                  <a16:creationId xmlns:a16="http://schemas.microsoft.com/office/drawing/2014/main" id="{00000000-0008-0000-0100-00007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779</xdr:row>
          <xdr:rowOff>38100</xdr:rowOff>
        </xdr:from>
        <xdr:to>
          <xdr:col>7</xdr:col>
          <xdr:colOff>177800</xdr:colOff>
          <xdr:row>780</xdr:row>
          <xdr:rowOff>0</xdr:rowOff>
        </xdr:to>
        <xdr:sp macro="" textlink="">
          <xdr:nvSpPr>
            <xdr:cNvPr id="2175" name="Button 127" hidden="1">
              <a:extLst>
                <a:ext uri="{63B3BB69-23CF-44E3-9099-C40C66FF867C}">
                  <a14:compatExt spid="_x0000_s2175"/>
                </a:ext>
                <a:ext uri="{FF2B5EF4-FFF2-40B4-BE49-F238E27FC236}">
                  <a16:creationId xmlns:a16="http://schemas.microsoft.com/office/drawing/2014/main" id="{00000000-0008-0000-0100-00007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789</xdr:row>
          <xdr:rowOff>38100</xdr:rowOff>
        </xdr:from>
        <xdr:to>
          <xdr:col>1</xdr:col>
          <xdr:colOff>177800</xdr:colOff>
          <xdr:row>790</xdr:row>
          <xdr:rowOff>0</xdr:rowOff>
        </xdr:to>
        <xdr:sp macro="" textlink="">
          <xdr:nvSpPr>
            <xdr:cNvPr id="2176" name="Button 128"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789</xdr:row>
          <xdr:rowOff>38100</xdr:rowOff>
        </xdr:from>
        <xdr:to>
          <xdr:col>5</xdr:col>
          <xdr:colOff>177800</xdr:colOff>
          <xdr:row>790</xdr:row>
          <xdr:rowOff>0</xdr:rowOff>
        </xdr:to>
        <xdr:sp macro="" textlink="">
          <xdr:nvSpPr>
            <xdr:cNvPr id="2177" name="Button 129" hidden="1">
              <a:extLst>
                <a:ext uri="{63B3BB69-23CF-44E3-9099-C40C66FF867C}">
                  <a14:compatExt spid="_x0000_s2177"/>
                </a:ext>
                <a:ext uri="{FF2B5EF4-FFF2-40B4-BE49-F238E27FC236}">
                  <a16:creationId xmlns:a16="http://schemas.microsoft.com/office/drawing/2014/main" id="{00000000-0008-0000-0100-00008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789</xdr:row>
          <xdr:rowOff>38100</xdr:rowOff>
        </xdr:from>
        <xdr:to>
          <xdr:col>9</xdr:col>
          <xdr:colOff>177800</xdr:colOff>
          <xdr:row>790</xdr:row>
          <xdr:rowOff>0</xdr:rowOff>
        </xdr:to>
        <xdr:sp macro="" textlink="">
          <xdr:nvSpPr>
            <xdr:cNvPr id="2178" name="Button 130" hidden="1">
              <a:extLst>
                <a:ext uri="{63B3BB69-23CF-44E3-9099-C40C66FF867C}">
                  <a14:compatExt spid="_x0000_s2178"/>
                </a:ext>
                <a:ext uri="{FF2B5EF4-FFF2-40B4-BE49-F238E27FC236}">
                  <a16:creationId xmlns:a16="http://schemas.microsoft.com/office/drawing/2014/main" id="{00000000-0008-0000-0100-00008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771</xdr:row>
          <xdr:rowOff>25400</xdr:rowOff>
        </xdr:from>
        <xdr:to>
          <xdr:col>16</xdr:col>
          <xdr:colOff>0</xdr:colOff>
          <xdr:row>771</xdr:row>
          <xdr:rowOff>177800</xdr:rowOff>
        </xdr:to>
        <xdr:sp macro="" textlink="">
          <xdr:nvSpPr>
            <xdr:cNvPr id="2179" name="Button 131" hidden="1">
              <a:extLst>
                <a:ext uri="{63B3BB69-23CF-44E3-9099-C40C66FF867C}">
                  <a14:compatExt spid="_x0000_s2179"/>
                </a:ext>
                <a:ext uri="{FF2B5EF4-FFF2-40B4-BE49-F238E27FC236}">
                  <a16:creationId xmlns:a16="http://schemas.microsoft.com/office/drawing/2014/main" id="{00000000-0008-0000-0100-00008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834</xdr:row>
          <xdr:rowOff>38100</xdr:rowOff>
        </xdr:from>
        <xdr:to>
          <xdr:col>1</xdr:col>
          <xdr:colOff>177800</xdr:colOff>
          <xdr:row>834</xdr:row>
          <xdr:rowOff>190500</xdr:rowOff>
        </xdr:to>
        <xdr:sp macro="" textlink="">
          <xdr:nvSpPr>
            <xdr:cNvPr id="2180" name="Button 132" hidden="1">
              <a:extLst>
                <a:ext uri="{63B3BB69-23CF-44E3-9099-C40C66FF867C}">
                  <a14:compatExt spid="_x0000_s2180"/>
                </a:ext>
                <a:ext uri="{FF2B5EF4-FFF2-40B4-BE49-F238E27FC236}">
                  <a16:creationId xmlns:a16="http://schemas.microsoft.com/office/drawing/2014/main" id="{00000000-0008-0000-0100-00008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834</xdr:row>
          <xdr:rowOff>38100</xdr:rowOff>
        </xdr:from>
        <xdr:to>
          <xdr:col>5</xdr:col>
          <xdr:colOff>177800</xdr:colOff>
          <xdr:row>835</xdr:row>
          <xdr:rowOff>0</xdr:rowOff>
        </xdr:to>
        <xdr:sp macro="" textlink="">
          <xdr:nvSpPr>
            <xdr:cNvPr id="2181" name="Button 133" hidden="1">
              <a:extLst>
                <a:ext uri="{63B3BB69-23CF-44E3-9099-C40C66FF867C}">
                  <a14:compatExt spid="_x0000_s2181"/>
                </a:ext>
                <a:ext uri="{FF2B5EF4-FFF2-40B4-BE49-F238E27FC236}">
                  <a16:creationId xmlns:a16="http://schemas.microsoft.com/office/drawing/2014/main" id="{00000000-0008-0000-0100-00008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834</xdr:row>
          <xdr:rowOff>38100</xdr:rowOff>
        </xdr:from>
        <xdr:to>
          <xdr:col>5</xdr:col>
          <xdr:colOff>177800</xdr:colOff>
          <xdr:row>835</xdr:row>
          <xdr:rowOff>0</xdr:rowOff>
        </xdr:to>
        <xdr:sp macro="" textlink="">
          <xdr:nvSpPr>
            <xdr:cNvPr id="2182" name="Button 13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834</xdr:row>
          <xdr:rowOff>38100</xdr:rowOff>
        </xdr:from>
        <xdr:to>
          <xdr:col>9</xdr:col>
          <xdr:colOff>177800</xdr:colOff>
          <xdr:row>835</xdr:row>
          <xdr:rowOff>0</xdr:rowOff>
        </xdr:to>
        <xdr:sp macro="" textlink="">
          <xdr:nvSpPr>
            <xdr:cNvPr id="2183" name="Button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842</xdr:row>
          <xdr:rowOff>38100</xdr:rowOff>
        </xdr:from>
        <xdr:to>
          <xdr:col>1</xdr:col>
          <xdr:colOff>177800</xdr:colOff>
          <xdr:row>843</xdr:row>
          <xdr:rowOff>0</xdr:rowOff>
        </xdr:to>
        <xdr:sp macro="" textlink="">
          <xdr:nvSpPr>
            <xdr:cNvPr id="2184" name="Button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842</xdr:row>
          <xdr:rowOff>38100</xdr:rowOff>
        </xdr:from>
        <xdr:to>
          <xdr:col>7</xdr:col>
          <xdr:colOff>177800</xdr:colOff>
          <xdr:row>843</xdr:row>
          <xdr:rowOff>0</xdr:rowOff>
        </xdr:to>
        <xdr:sp macro="" textlink="">
          <xdr:nvSpPr>
            <xdr:cNvPr id="2185" name="Button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852</xdr:row>
          <xdr:rowOff>38100</xdr:rowOff>
        </xdr:from>
        <xdr:to>
          <xdr:col>1</xdr:col>
          <xdr:colOff>177800</xdr:colOff>
          <xdr:row>853</xdr:row>
          <xdr:rowOff>0</xdr:rowOff>
        </xdr:to>
        <xdr:sp macro="" textlink="">
          <xdr:nvSpPr>
            <xdr:cNvPr id="2186" name="Button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852</xdr:row>
          <xdr:rowOff>38100</xdr:rowOff>
        </xdr:from>
        <xdr:to>
          <xdr:col>5</xdr:col>
          <xdr:colOff>177800</xdr:colOff>
          <xdr:row>853</xdr:row>
          <xdr:rowOff>0</xdr:rowOff>
        </xdr:to>
        <xdr:sp macro="" textlink="">
          <xdr:nvSpPr>
            <xdr:cNvPr id="2187" name="Button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852</xdr:row>
          <xdr:rowOff>38100</xdr:rowOff>
        </xdr:from>
        <xdr:to>
          <xdr:col>9</xdr:col>
          <xdr:colOff>177800</xdr:colOff>
          <xdr:row>853</xdr:row>
          <xdr:rowOff>0</xdr:rowOff>
        </xdr:to>
        <xdr:sp macro="" textlink="">
          <xdr:nvSpPr>
            <xdr:cNvPr id="2188" name="Button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834</xdr:row>
          <xdr:rowOff>25400</xdr:rowOff>
        </xdr:from>
        <xdr:to>
          <xdr:col>16</xdr:col>
          <xdr:colOff>0</xdr:colOff>
          <xdr:row>834</xdr:row>
          <xdr:rowOff>177800</xdr:rowOff>
        </xdr:to>
        <xdr:sp macro="" textlink="">
          <xdr:nvSpPr>
            <xdr:cNvPr id="2189" name="Button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897</xdr:row>
          <xdr:rowOff>38100</xdr:rowOff>
        </xdr:from>
        <xdr:to>
          <xdr:col>1</xdr:col>
          <xdr:colOff>177800</xdr:colOff>
          <xdr:row>897</xdr:row>
          <xdr:rowOff>190500</xdr:rowOff>
        </xdr:to>
        <xdr:sp macro="" textlink="">
          <xdr:nvSpPr>
            <xdr:cNvPr id="2190" name="Button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897</xdr:row>
          <xdr:rowOff>38100</xdr:rowOff>
        </xdr:from>
        <xdr:to>
          <xdr:col>5</xdr:col>
          <xdr:colOff>177800</xdr:colOff>
          <xdr:row>898</xdr:row>
          <xdr:rowOff>0</xdr:rowOff>
        </xdr:to>
        <xdr:sp macro="" textlink="">
          <xdr:nvSpPr>
            <xdr:cNvPr id="2191" name="Button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897</xdr:row>
          <xdr:rowOff>38100</xdr:rowOff>
        </xdr:from>
        <xdr:to>
          <xdr:col>5</xdr:col>
          <xdr:colOff>177800</xdr:colOff>
          <xdr:row>898</xdr:row>
          <xdr:rowOff>0</xdr:rowOff>
        </xdr:to>
        <xdr:sp macro="" textlink="">
          <xdr:nvSpPr>
            <xdr:cNvPr id="2192" name="Button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897</xdr:row>
          <xdr:rowOff>38100</xdr:rowOff>
        </xdr:from>
        <xdr:to>
          <xdr:col>9</xdr:col>
          <xdr:colOff>177800</xdr:colOff>
          <xdr:row>898</xdr:row>
          <xdr:rowOff>0</xdr:rowOff>
        </xdr:to>
        <xdr:sp macro="" textlink="">
          <xdr:nvSpPr>
            <xdr:cNvPr id="2193" name="Button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905</xdr:row>
          <xdr:rowOff>38100</xdr:rowOff>
        </xdr:from>
        <xdr:to>
          <xdr:col>1</xdr:col>
          <xdr:colOff>177800</xdr:colOff>
          <xdr:row>906</xdr:row>
          <xdr:rowOff>0</xdr:rowOff>
        </xdr:to>
        <xdr:sp macro="" textlink="">
          <xdr:nvSpPr>
            <xdr:cNvPr id="2194" name="Button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905</xdr:row>
          <xdr:rowOff>38100</xdr:rowOff>
        </xdr:from>
        <xdr:to>
          <xdr:col>7</xdr:col>
          <xdr:colOff>177800</xdr:colOff>
          <xdr:row>906</xdr:row>
          <xdr:rowOff>0</xdr:rowOff>
        </xdr:to>
        <xdr:sp macro="" textlink="">
          <xdr:nvSpPr>
            <xdr:cNvPr id="2195" name="Button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915</xdr:row>
          <xdr:rowOff>38100</xdr:rowOff>
        </xdr:from>
        <xdr:to>
          <xdr:col>1</xdr:col>
          <xdr:colOff>177800</xdr:colOff>
          <xdr:row>916</xdr:row>
          <xdr:rowOff>0</xdr:rowOff>
        </xdr:to>
        <xdr:sp macro="" textlink="">
          <xdr:nvSpPr>
            <xdr:cNvPr id="2196" name="Button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915</xdr:row>
          <xdr:rowOff>38100</xdr:rowOff>
        </xdr:from>
        <xdr:to>
          <xdr:col>5</xdr:col>
          <xdr:colOff>177800</xdr:colOff>
          <xdr:row>916</xdr:row>
          <xdr:rowOff>0</xdr:rowOff>
        </xdr:to>
        <xdr:sp macro="" textlink="">
          <xdr:nvSpPr>
            <xdr:cNvPr id="2197" name="Button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915</xdr:row>
          <xdr:rowOff>38100</xdr:rowOff>
        </xdr:from>
        <xdr:to>
          <xdr:col>9</xdr:col>
          <xdr:colOff>177800</xdr:colOff>
          <xdr:row>916</xdr:row>
          <xdr:rowOff>0</xdr:rowOff>
        </xdr:to>
        <xdr:sp macro="" textlink="">
          <xdr:nvSpPr>
            <xdr:cNvPr id="2198" name="Button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897</xdr:row>
          <xdr:rowOff>25400</xdr:rowOff>
        </xdr:from>
        <xdr:to>
          <xdr:col>16</xdr:col>
          <xdr:colOff>0</xdr:colOff>
          <xdr:row>897</xdr:row>
          <xdr:rowOff>177800</xdr:rowOff>
        </xdr:to>
        <xdr:sp macro="" textlink="">
          <xdr:nvSpPr>
            <xdr:cNvPr id="2199" name="Button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960</xdr:row>
          <xdr:rowOff>38100</xdr:rowOff>
        </xdr:from>
        <xdr:to>
          <xdr:col>1</xdr:col>
          <xdr:colOff>177800</xdr:colOff>
          <xdr:row>960</xdr:row>
          <xdr:rowOff>190500</xdr:rowOff>
        </xdr:to>
        <xdr:sp macro="" textlink="">
          <xdr:nvSpPr>
            <xdr:cNvPr id="2200" name="Button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960</xdr:row>
          <xdr:rowOff>38100</xdr:rowOff>
        </xdr:from>
        <xdr:to>
          <xdr:col>5</xdr:col>
          <xdr:colOff>177800</xdr:colOff>
          <xdr:row>961</xdr:row>
          <xdr:rowOff>0</xdr:rowOff>
        </xdr:to>
        <xdr:sp macro="" textlink="">
          <xdr:nvSpPr>
            <xdr:cNvPr id="2201" name="Button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960</xdr:row>
          <xdr:rowOff>38100</xdr:rowOff>
        </xdr:from>
        <xdr:to>
          <xdr:col>5</xdr:col>
          <xdr:colOff>177800</xdr:colOff>
          <xdr:row>961</xdr:row>
          <xdr:rowOff>0</xdr:rowOff>
        </xdr:to>
        <xdr:sp macro="" textlink="">
          <xdr:nvSpPr>
            <xdr:cNvPr id="2202" name="Button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960</xdr:row>
          <xdr:rowOff>38100</xdr:rowOff>
        </xdr:from>
        <xdr:to>
          <xdr:col>9</xdr:col>
          <xdr:colOff>177800</xdr:colOff>
          <xdr:row>961</xdr:row>
          <xdr:rowOff>0</xdr:rowOff>
        </xdr:to>
        <xdr:sp macro="" textlink="">
          <xdr:nvSpPr>
            <xdr:cNvPr id="2203" name="Button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968</xdr:row>
          <xdr:rowOff>38100</xdr:rowOff>
        </xdr:from>
        <xdr:to>
          <xdr:col>1</xdr:col>
          <xdr:colOff>177800</xdr:colOff>
          <xdr:row>969</xdr:row>
          <xdr:rowOff>0</xdr:rowOff>
        </xdr:to>
        <xdr:sp macro="" textlink="">
          <xdr:nvSpPr>
            <xdr:cNvPr id="2204" name="Button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968</xdr:row>
          <xdr:rowOff>38100</xdr:rowOff>
        </xdr:from>
        <xdr:to>
          <xdr:col>7</xdr:col>
          <xdr:colOff>177800</xdr:colOff>
          <xdr:row>969</xdr:row>
          <xdr:rowOff>0</xdr:rowOff>
        </xdr:to>
        <xdr:sp macro="" textlink="">
          <xdr:nvSpPr>
            <xdr:cNvPr id="2205" name="Button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978</xdr:row>
          <xdr:rowOff>38100</xdr:rowOff>
        </xdr:from>
        <xdr:to>
          <xdr:col>1</xdr:col>
          <xdr:colOff>177800</xdr:colOff>
          <xdr:row>979</xdr:row>
          <xdr:rowOff>0</xdr:rowOff>
        </xdr:to>
        <xdr:sp macro="" textlink="">
          <xdr:nvSpPr>
            <xdr:cNvPr id="2206" name="Button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978</xdr:row>
          <xdr:rowOff>38100</xdr:rowOff>
        </xdr:from>
        <xdr:to>
          <xdr:col>5</xdr:col>
          <xdr:colOff>177800</xdr:colOff>
          <xdr:row>979</xdr:row>
          <xdr:rowOff>0</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978</xdr:row>
          <xdr:rowOff>38100</xdr:rowOff>
        </xdr:from>
        <xdr:to>
          <xdr:col>9</xdr:col>
          <xdr:colOff>177800</xdr:colOff>
          <xdr:row>979</xdr:row>
          <xdr:rowOff>0</xdr:rowOff>
        </xdr:to>
        <xdr:sp macro="" textlink="">
          <xdr:nvSpPr>
            <xdr:cNvPr id="2208" name="Button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960</xdr:row>
          <xdr:rowOff>25400</xdr:rowOff>
        </xdr:from>
        <xdr:to>
          <xdr:col>16</xdr:col>
          <xdr:colOff>0</xdr:colOff>
          <xdr:row>960</xdr:row>
          <xdr:rowOff>177800</xdr:rowOff>
        </xdr:to>
        <xdr:sp macro="" textlink="">
          <xdr:nvSpPr>
            <xdr:cNvPr id="2209" name="Button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1023</xdr:row>
          <xdr:rowOff>38100</xdr:rowOff>
        </xdr:from>
        <xdr:to>
          <xdr:col>1</xdr:col>
          <xdr:colOff>177800</xdr:colOff>
          <xdr:row>1023</xdr:row>
          <xdr:rowOff>190500</xdr:rowOff>
        </xdr:to>
        <xdr:sp macro="" textlink="">
          <xdr:nvSpPr>
            <xdr:cNvPr id="2210" name="Button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1023</xdr:row>
          <xdr:rowOff>38100</xdr:rowOff>
        </xdr:from>
        <xdr:to>
          <xdr:col>5</xdr:col>
          <xdr:colOff>177800</xdr:colOff>
          <xdr:row>1024</xdr:row>
          <xdr:rowOff>0</xdr:rowOff>
        </xdr:to>
        <xdr:sp macro="" textlink="">
          <xdr:nvSpPr>
            <xdr:cNvPr id="2211" name="Button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1023</xdr:row>
          <xdr:rowOff>38100</xdr:rowOff>
        </xdr:from>
        <xdr:to>
          <xdr:col>5</xdr:col>
          <xdr:colOff>177800</xdr:colOff>
          <xdr:row>1024</xdr:row>
          <xdr:rowOff>0</xdr:rowOff>
        </xdr:to>
        <xdr:sp macro="" textlink="">
          <xdr:nvSpPr>
            <xdr:cNvPr id="2212" name="Button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1023</xdr:row>
          <xdr:rowOff>38100</xdr:rowOff>
        </xdr:from>
        <xdr:to>
          <xdr:col>9</xdr:col>
          <xdr:colOff>177800</xdr:colOff>
          <xdr:row>1024</xdr:row>
          <xdr:rowOff>0</xdr:rowOff>
        </xdr:to>
        <xdr:sp macro="" textlink="">
          <xdr:nvSpPr>
            <xdr:cNvPr id="2213" name="Button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1031</xdr:row>
          <xdr:rowOff>38100</xdr:rowOff>
        </xdr:from>
        <xdr:to>
          <xdr:col>1</xdr:col>
          <xdr:colOff>177800</xdr:colOff>
          <xdr:row>1032</xdr:row>
          <xdr:rowOff>0</xdr:rowOff>
        </xdr:to>
        <xdr:sp macro="" textlink="">
          <xdr:nvSpPr>
            <xdr:cNvPr id="2214" name="Button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1031</xdr:row>
          <xdr:rowOff>38100</xdr:rowOff>
        </xdr:from>
        <xdr:to>
          <xdr:col>7</xdr:col>
          <xdr:colOff>177800</xdr:colOff>
          <xdr:row>1032</xdr:row>
          <xdr:rowOff>0</xdr:rowOff>
        </xdr:to>
        <xdr:sp macro="" textlink="">
          <xdr:nvSpPr>
            <xdr:cNvPr id="2215" name="Button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1041</xdr:row>
          <xdr:rowOff>38100</xdr:rowOff>
        </xdr:from>
        <xdr:to>
          <xdr:col>1</xdr:col>
          <xdr:colOff>177800</xdr:colOff>
          <xdr:row>1042</xdr:row>
          <xdr:rowOff>0</xdr:rowOff>
        </xdr:to>
        <xdr:sp macro="" textlink="">
          <xdr:nvSpPr>
            <xdr:cNvPr id="2216" name="Button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1041</xdr:row>
          <xdr:rowOff>38100</xdr:rowOff>
        </xdr:from>
        <xdr:to>
          <xdr:col>5</xdr:col>
          <xdr:colOff>177800</xdr:colOff>
          <xdr:row>1042</xdr:row>
          <xdr:rowOff>0</xdr:rowOff>
        </xdr:to>
        <xdr:sp macro="" textlink="">
          <xdr:nvSpPr>
            <xdr:cNvPr id="2217" name="Button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1041</xdr:row>
          <xdr:rowOff>38100</xdr:rowOff>
        </xdr:from>
        <xdr:to>
          <xdr:col>9</xdr:col>
          <xdr:colOff>177800</xdr:colOff>
          <xdr:row>1042</xdr:row>
          <xdr:rowOff>0</xdr:rowOff>
        </xdr:to>
        <xdr:sp macro="" textlink="">
          <xdr:nvSpPr>
            <xdr:cNvPr id="2218" name="Button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1023</xdr:row>
          <xdr:rowOff>25400</xdr:rowOff>
        </xdr:from>
        <xdr:to>
          <xdr:col>16</xdr:col>
          <xdr:colOff>0</xdr:colOff>
          <xdr:row>1023</xdr:row>
          <xdr:rowOff>177800</xdr:rowOff>
        </xdr:to>
        <xdr:sp macro="" textlink="">
          <xdr:nvSpPr>
            <xdr:cNvPr id="2219" name="Button 171"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1086</xdr:row>
          <xdr:rowOff>38100</xdr:rowOff>
        </xdr:from>
        <xdr:to>
          <xdr:col>1</xdr:col>
          <xdr:colOff>177800</xdr:colOff>
          <xdr:row>1086</xdr:row>
          <xdr:rowOff>190500</xdr:rowOff>
        </xdr:to>
        <xdr:sp macro="" textlink="">
          <xdr:nvSpPr>
            <xdr:cNvPr id="2220" name="Button 172"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1086</xdr:row>
          <xdr:rowOff>38100</xdr:rowOff>
        </xdr:from>
        <xdr:to>
          <xdr:col>5</xdr:col>
          <xdr:colOff>177800</xdr:colOff>
          <xdr:row>1087</xdr:row>
          <xdr:rowOff>0</xdr:rowOff>
        </xdr:to>
        <xdr:sp macro="" textlink="">
          <xdr:nvSpPr>
            <xdr:cNvPr id="2221" name="Button 173"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1086</xdr:row>
          <xdr:rowOff>38100</xdr:rowOff>
        </xdr:from>
        <xdr:to>
          <xdr:col>5</xdr:col>
          <xdr:colOff>177800</xdr:colOff>
          <xdr:row>1087</xdr:row>
          <xdr:rowOff>0</xdr:rowOff>
        </xdr:to>
        <xdr:sp macro="" textlink="">
          <xdr:nvSpPr>
            <xdr:cNvPr id="2222" name="Button 174"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1086</xdr:row>
          <xdr:rowOff>38100</xdr:rowOff>
        </xdr:from>
        <xdr:to>
          <xdr:col>9</xdr:col>
          <xdr:colOff>177800</xdr:colOff>
          <xdr:row>1087</xdr:row>
          <xdr:rowOff>0</xdr:rowOff>
        </xdr:to>
        <xdr:sp macro="" textlink="">
          <xdr:nvSpPr>
            <xdr:cNvPr id="2223" name="Button 17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1094</xdr:row>
          <xdr:rowOff>38100</xdr:rowOff>
        </xdr:from>
        <xdr:to>
          <xdr:col>1</xdr:col>
          <xdr:colOff>177800</xdr:colOff>
          <xdr:row>1095</xdr:row>
          <xdr:rowOff>0</xdr:rowOff>
        </xdr:to>
        <xdr:sp macro="" textlink="">
          <xdr:nvSpPr>
            <xdr:cNvPr id="2224" name="Button 17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1094</xdr:row>
          <xdr:rowOff>38100</xdr:rowOff>
        </xdr:from>
        <xdr:to>
          <xdr:col>7</xdr:col>
          <xdr:colOff>177800</xdr:colOff>
          <xdr:row>1095</xdr:row>
          <xdr:rowOff>0</xdr:rowOff>
        </xdr:to>
        <xdr:sp macro="" textlink="">
          <xdr:nvSpPr>
            <xdr:cNvPr id="2225" name="Button 177"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1104</xdr:row>
          <xdr:rowOff>38100</xdr:rowOff>
        </xdr:from>
        <xdr:to>
          <xdr:col>1</xdr:col>
          <xdr:colOff>177800</xdr:colOff>
          <xdr:row>1105</xdr:row>
          <xdr:rowOff>0</xdr:rowOff>
        </xdr:to>
        <xdr:sp macro="" textlink="">
          <xdr:nvSpPr>
            <xdr:cNvPr id="2226" name="Button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1104</xdr:row>
          <xdr:rowOff>38100</xdr:rowOff>
        </xdr:from>
        <xdr:to>
          <xdr:col>5</xdr:col>
          <xdr:colOff>177800</xdr:colOff>
          <xdr:row>1105</xdr:row>
          <xdr:rowOff>0</xdr:rowOff>
        </xdr:to>
        <xdr:sp macro="" textlink="">
          <xdr:nvSpPr>
            <xdr:cNvPr id="2227" name="Button 179"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1104</xdr:row>
          <xdr:rowOff>38100</xdr:rowOff>
        </xdr:from>
        <xdr:to>
          <xdr:col>9</xdr:col>
          <xdr:colOff>177800</xdr:colOff>
          <xdr:row>1105</xdr:row>
          <xdr:rowOff>0</xdr:rowOff>
        </xdr:to>
        <xdr:sp macro="" textlink="">
          <xdr:nvSpPr>
            <xdr:cNvPr id="2228" name="Button 180"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1086</xdr:row>
          <xdr:rowOff>25400</xdr:rowOff>
        </xdr:from>
        <xdr:to>
          <xdr:col>16</xdr:col>
          <xdr:colOff>0</xdr:colOff>
          <xdr:row>1086</xdr:row>
          <xdr:rowOff>177800</xdr:rowOff>
        </xdr:to>
        <xdr:sp macro="" textlink="">
          <xdr:nvSpPr>
            <xdr:cNvPr id="2229" name="Button 181"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1149</xdr:row>
          <xdr:rowOff>38100</xdr:rowOff>
        </xdr:from>
        <xdr:to>
          <xdr:col>1</xdr:col>
          <xdr:colOff>177800</xdr:colOff>
          <xdr:row>1149</xdr:row>
          <xdr:rowOff>190500</xdr:rowOff>
        </xdr:to>
        <xdr:sp macro="" textlink="">
          <xdr:nvSpPr>
            <xdr:cNvPr id="2230" name="Button 182"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1149</xdr:row>
          <xdr:rowOff>38100</xdr:rowOff>
        </xdr:from>
        <xdr:to>
          <xdr:col>5</xdr:col>
          <xdr:colOff>177800</xdr:colOff>
          <xdr:row>1150</xdr:row>
          <xdr:rowOff>0</xdr:rowOff>
        </xdr:to>
        <xdr:sp macro="" textlink="">
          <xdr:nvSpPr>
            <xdr:cNvPr id="2231" name="Button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1149</xdr:row>
          <xdr:rowOff>38100</xdr:rowOff>
        </xdr:from>
        <xdr:to>
          <xdr:col>5</xdr:col>
          <xdr:colOff>177800</xdr:colOff>
          <xdr:row>1150</xdr:row>
          <xdr:rowOff>0</xdr:rowOff>
        </xdr:to>
        <xdr:sp macro="" textlink="">
          <xdr:nvSpPr>
            <xdr:cNvPr id="2232" name="Button 184"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1149</xdr:row>
          <xdr:rowOff>38100</xdr:rowOff>
        </xdr:from>
        <xdr:to>
          <xdr:col>9</xdr:col>
          <xdr:colOff>177800</xdr:colOff>
          <xdr:row>1150</xdr:row>
          <xdr:rowOff>0</xdr:rowOff>
        </xdr:to>
        <xdr:sp macro="" textlink="">
          <xdr:nvSpPr>
            <xdr:cNvPr id="2233" name="Button 185"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1157</xdr:row>
          <xdr:rowOff>38100</xdr:rowOff>
        </xdr:from>
        <xdr:to>
          <xdr:col>1</xdr:col>
          <xdr:colOff>177800</xdr:colOff>
          <xdr:row>1158</xdr:row>
          <xdr:rowOff>0</xdr:rowOff>
        </xdr:to>
        <xdr:sp macro="" textlink="">
          <xdr:nvSpPr>
            <xdr:cNvPr id="2234" name="Button 186"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1157</xdr:row>
          <xdr:rowOff>38100</xdr:rowOff>
        </xdr:from>
        <xdr:to>
          <xdr:col>7</xdr:col>
          <xdr:colOff>177800</xdr:colOff>
          <xdr:row>1158</xdr:row>
          <xdr:rowOff>0</xdr:rowOff>
        </xdr:to>
        <xdr:sp macro="" textlink="">
          <xdr:nvSpPr>
            <xdr:cNvPr id="2235" name="Button 187"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1167</xdr:row>
          <xdr:rowOff>38100</xdr:rowOff>
        </xdr:from>
        <xdr:to>
          <xdr:col>1</xdr:col>
          <xdr:colOff>177800</xdr:colOff>
          <xdr:row>1168</xdr:row>
          <xdr:rowOff>0</xdr:rowOff>
        </xdr:to>
        <xdr:sp macro="" textlink="">
          <xdr:nvSpPr>
            <xdr:cNvPr id="2236" name="Button 188"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1167</xdr:row>
          <xdr:rowOff>38100</xdr:rowOff>
        </xdr:from>
        <xdr:to>
          <xdr:col>5</xdr:col>
          <xdr:colOff>177800</xdr:colOff>
          <xdr:row>1168</xdr:row>
          <xdr:rowOff>0</xdr:rowOff>
        </xdr:to>
        <xdr:sp macro="" textlink="">
          <xdr:nvSpPr>
            <xdr:cNvPr id="2237" name="Button 189"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1167</xdr:row>
          <xdr:rowOff>38100</xdr:rowOff>
        </xdr:from>
        <xdr:to>
          <xdr:col>9</xdr:col>
          <xdr:colOff>177800</xdr:colOff>
          <xdr:row>1168</xdr:row>
          <xdr:rowOff>0</xdr:rowOff>
        </xdr:to>
        <xdr:sp macro="" textlink="">
          <xdr:nvSpPr>
            <xdr:cNvPr id="2238" name="Button 190"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1149</xdr:row>
          <xdr:rowOff>25400</xdr:rowOff>
        </xdr:from>
        <xdr:to>
          <xdr:col>16</xdr:col>
          <xdr:colOff>0</xdr:colOff>
          <xdr:row>1149</xdr:row>
          <xdr:rowOff>177800</xdr:rowOff>
        </xdr:to>
        <xdr:sp macro="" textlink="">
          <xdr:nvSpPr>
            <xdr:cNvPr id="2239" name="Button 191"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1212</xdr:row>
          <xdr:rowOff>38100</xdr:rowOff>
        </xdr:from>
        <xdr:to>
          <xdr:col>1</xdr:col>
          <xdr:colOff>177800</xdr:colOff>
          <xdr:row>1212</xdr:row>
          <xdr:rowOff>190500</xdr:rowOff>
        </xdr:to>
        <xdr:sp macro="" textlink="">
          <xdr:nvSpPr>
            <xdr:cNvPr id="2240" name="Button 192"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1212</xdr:row>
          <xdr:rowOff>38100</xdr:rowOff>
        </xdr:from>
        <xdr:to>
          <xdr:col>5</xdr:col>
          <xdr:colOff>177800</xdr:colOff>
          <xdr:row>1213</xdr:row>
          <xdr:rowOff>0</xdr:rowOff>
        </xdr:to>
        <xdr:sp macro="" textlink="">
          <xdr:nvSpPr>
            <xdr:cNvPr id="2241" name="Button 193"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1212</xdr:row>
          <xdr:rowOff>38100</xdr:rowOff>
        </xdr:from>
        <xdr:to>
          <xdr:col>5</xdr:col>
          <xdr:colOff>177800</xdr:colOff>
          <xdr:row>1213</xdr:row>
          <xdr:rowOff>0</xdr:rowOff>
        </xdr:to>
        <xdr:sp macro="" textlink="">
          <xdr:nvSpPr>
            <xdr:cNvPr id="2242" name="Button 194"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1212</xdr:row>
          <xdr:rowOff>38100</xdr:rowOff>
        </xdr:from>
        <xdr:to>
          <xdr:col>9</xdr:col>
          <xdr:colOff>177800</xdr:colOff>
          <xdr:row>1213</xdr:row>
          <xdr:rowOff>0</xdr:rowOff>
        </xdr:to>
        <xdr:sp macro="" textlink="">
          <xdr:nvSpPr>
            <xdr:cNvPr id="2243" name="Button 19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1220</xdr:row>
          <xdr:rowOff>38100</xdr:rowOff>
        </xdr:from>
        <xdr:to>
          <xdr:col>1</xdr:col>
          <xdr:colOff>177800</xdr:colOff>
          <xdr:row>1221</xdr:row>
          <xdr:rowOff>0</xdr:rowOff>
        </xdr:to>
        <xdr:sp macro="" textlink="">
          <xdr:nvSpPr>
            <xdr:cNvPr id="2244" name="Button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1220</xdr:row>
          <xdr:rowOff>38100</xdr:rowOff>
        </xdr:from>
        <xdr:to>
          <xdr:col>7</xdr:col>
          <xdr:colOff>177800</xdr:colOff>
          <xdr:row>1221</xdr:row>
          <xdr:rowOff>0</xdr:rowOff>
        </xdr:to>
        <xdr:sp macro="" textlink="">
          <xdr:nvSpPr>
            <xdr:cNvPr id="2245" name="Button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1230</xdr:row>
          <xdr:rowOff>38100</xdr:rowOff>
        </xdr:from>
        <xdr:to>
          <xdr:col>1</xdr:col>
          <xdr:colOff>177800</xdr:colOff>
          <xdr:row>1231</xdr:row>
          <xdr:rowOff>0</xdr:rowOff>
        </xdr:to>
        <xdr:sp macro="" textlink="">
          <xdr:nvSpPr>
            <xdr:cNvPr id="2246" name="Button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1230</xdr:row>
          <xdr:rowOff>38100</xdr:rowOff>
        </xdr:from>
        <xdr:to>
          <xdr:col>5</xdr:col>
          <xdr:colOff>177800</xdr:colOff>
          <xdr:row>1231</xdr:row>
          <xdr:rowOff>0</xdr:rowOff>
        </xdr:to>
        <xdr:sp macro="" textlink="">
          <xdr:nvSpPr>
            <xdr:cNvPr id="2247" name="Button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1230</xdr:row>
          <xdr:rowOff>38100</xdr:rowOff>
        </xdr:from>
        <xdr:to>
          <xdr:col>9</xdr:col>
          <xdr:colOff>177800</xdr:colOff>
          <xdr:row>1231</xdr:row>
          <xdr:rowOff>0</xdr:rowOff>
        </xdr:to>
        <xdr:sp macro="" textlink="">
          <xdr:nvSpPr>
            <xdr:cNvPr id="2248" name="Button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381000</xdr:colOff>
          <xdr:row>1212</xdr:row>
          <xdr:rowOff>25400</xdr:rowOff>
        </xdr:from>
        <xdr:to>
          <xdr:col>16</xdr:col>
          <xdr:colOff>0</xdr:colOff>
          <xdr:row>1212</xdr:row>
          <xdr:rowOff>177800</xdr:rowOff>
        </xdr:to>
        <xdr:sp macro="" textlink="">
          <xdr:nvSpPr>
            <xdr:cNvPr id="2249" name="Button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MASTER%20%20BM%202009%20MOGOYUNGGUN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bina%20marga%202009/MASTER%20%20BM%202009%20MOGOYUNGGUNG%2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ATA%20MULTIMEDIA/PROJECT%202009/DINKESSOS%20BOLSEL%202010%20PERSIAPAN%20LELANG/PENAARAN%20TAMI/KHUSUS%20TENDER/THUN%202009/BOLMONG%20INDUK/TAMY/LINGKUNGAN%20HIDUP/CV.%20RAFI%20KURNIA%20JAYAI.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ASWIN%202007/PEKERJAAN%20UMUM/Data/2006/pematangan%20rmh%20jabatan/rab-pematangan%20tanah%20r%20bupati.xls"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Rehab%20SKKT%20Pulau%20Kelap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ENDUT%20SEXY/RAP%2015M%20Mumet/PENAWARAN%2015%20AK(anya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Documents%20and%20Settings/Owner/Desktop/ADEL%20FILE/walikota/arsitektur/kontrak%20mapo/MAPO%205%20RAB%20revisi-2.xls"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Sulamadaha/E/Tugas%20RAB.xls" TargetMode="External"/><Relationship Id="rId1" Type="http://schemas.openxmlformats.org/officeDocument/2006/relationships/externalLinkPath" Target="/Sulamadaha/E/Tugas%20RAB.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bina%20marga%202009/BILL%202008%20BINA%20MARGA/PEY%20@STUDIO/file%20penawran.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G:/CH4N4Z%20PU/ICHA%202007/UMUM/BERITA%20ACARA/Cr4ThOn%20FaLLs/Data%20PU/PR4SW1L%20(H)/Blackman%20A.L/MC%20Moti%202006.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New%20Folder/Gedung/Rsd-Cibinong/C-Rab&amp;Rap-Rsd-Cibinong-060317-compere/Gedung/Arsip%20CIMAHI/RAB-CIMAHI.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Bintuni/schedule%20bulan%20okto.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PENAWARAN%202006/AI%20TUGAS%20KULIAH/APBN/Seksi%20VIII%20Pen.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PBN/Seksi%20VIII%20Pen.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PENAWARAN%202006/AI%20TUGAS%20KULIAH/APBN/TENDER/OE%20Dumagi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Dok%20eddy%20back%20up/Users/Wan%20Supit/AppData/Roaming/Microsoft/Excel/RAB%20%202009%20%20CS/PENAWARAN%202006/AI%20TUGAS%20KULIAH/APBN/Seksi%20VIII%20Pen.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PBN/TENDER/OE%20Dumagin.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APBN/Seksi%20VIII%20Pen.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APBN/Seksi%20VIII%20Pen.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Dok%20eddy%20back%20up/Users/Wan%20Supit/AppData/Roaming/Microsoft/Excel/RAB%20%202009%20%20CS/PENAWARAN%202006/AI%20TUGAS%20KULIAH/APBN/TENDER/OE%20Dumagin.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APBN/TENDER/OE%20Dumagin.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DOK%20EDDY/KUMPULAN%20RAB%202010/RAB%20%202009%20%20CS/PENAWARAN%202006/AI%20TUGAS%20KULIAH/APBN/Seksi%20VIII%20Pen.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I:/EE%20Konsultan%20BMG%202012%20.Ok/JLN%20DLM%20KOTA%20SRG/Data%20Kerja/LAEN2/pak%20Junitan/EE%20%20JEMBATAN%20-%20Copy.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APBN/TENDER/OE%20Dumagin.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WASIS/PROYEK%202010/BOLTIM/MOAT-ATOGA/RAB/BOQ%20KOSONG/Sinar%20Bulawan.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data/TEGUH/Jack%20Pribadi/Data/JIMRITS%20POEX/ical%20ruko/ENDUT%20SEXY/RAP%2015M%20Mumet/PENAWARAN%2015%20AK(anyar).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pu%20min/paket%2021%2000%20rehab%20kantor%20bupati%20minahasa.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G:/CH4N4Z%20PU/ICHA%202007/UMUM/BERITA%20ACARA/Praswil%20Documents/Pa%20Ilyas%203/Data%20Campur/MILE%20POENYA/INDRA/CV.%20LIKMOFA%20PRATAMA,KANDANG.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DATA/RAB%202009/PENAWARAN/Jalan%20Tugu%20merah%20kantor%20regional%20LAN/rab%20pemenang%201.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G:/CH4N4Z%20PU/ICHA%202007/UMUM/BERITA%20ACARA/PAGAR,%20ADHI%20TRI%20KARSA.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GAMBAR%20DAN%20RAB%20MARIYAI/MUTI%20(G)/New%20Folder/Gedung/Rsd-Cibinong/C-Rab&amp;Rap-Rsd-Cibinong-060317-compere/Gedung/Arsip%20CIMAHI/RAB-CIMAHI.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C:/RAB%20USULAN%202005/GAMBAR%20USULAN%202005.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BOQ/perbinda5.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G:/CH4N4Z%20PU/ICHA%202007/UMUM/BERITA%20ACARA/windows/Personal/BINA%20MARGA/P2JKK%20UMUM/P2JKK%202003/KonSplSpmk/KonSplSpmk%202003.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RS%20SORONG/RSUD-SORONG%202007/ADHI%20KARYA/Penawaran%2025M-AK/RAB%2025M%20-%20adhi%20ku%20karya%20ku.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C:/penawaran/motongkad/CV.%20SARIWONO/file%20penawran.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BILL%202008%20BINA%20MARGA/PEY%20@STUDIO/file%20penawran.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G:/CH4N4Z%20PU/ICHA%202007/UMUM/BERITA%20ACARA/PRASWIL/PERENCANAAN/DtrUsulan/PULAU%20TERNATE/USULAN%202005/New%20Folder/DURK%20DAU%20%202005.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PU%20KK%202010/LAPEN%20MANGGALA/CV.rainbow/PENAWARANOK.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A:/APBN/Seksi%20VIII%20Pen.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aminila/RAB%202009%20REFISI/Fresh/PU%20&amp;%20Bapeda/Documents%20and%20Settings/Toshiba/Desktop/PU.%20DATI%20II%202007/TAWAR%20BUYAT-BUKAKA/TAWAR-PT.%20CITRA%20ADILA%20PUTRA.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C:/BSPS%202015/DESA%20KARANGPULE/RENCANA%20LPJ%20KARANG%20PULE'/RENCANA%20BELANJA%20TAHAP%201%20(DRPB2%20THP1).xlsx"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C:/BOQ/olot2.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2%20RH%2021%20PROJECT/ERHA/isa/ISA/ASRO/RAB%20SD%20BOALEMO.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C:/ASWIN%202007/PEKERJAAN%20UMUM/Situs%20Rumah%20HPB/Situs%20Rumah%20HPB.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C:/bina%20marga%202009/APBN/Seksi%20VIII%20Pen.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C:/ASWIN%202007/PEKERJAAN%20UMUM/MANOKWARI/REKAP~SARANA~PENDIDIKAN.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C:/my%20project/BSPS/BSPS%202015/DRPB2%20sigit%20131115/DRPB2%20KPB%20ALAS%20TUA.xlsx"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C:/DATA/ANALISA/MEDYA/BALAI/PROGRAM/RAWA%20&amp;%20PANTAI/RAB%20OP%20RUTIN%202007/RAB%20Kapuas%20Kecil.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EE%20OK%20DRAIN%202008.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RabPenawaran.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C:/SUGENG%202015/BSPS%202015/BSPS%202015%20DESA%20PUJOTIRTO/Format%20PM%20-%20Desa%20Pujotirto%20BNBA%201-180%20edit%2024%20AGUSTUS%202015+RPD+DRPB2%20-%20Edit%20Harga.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C:/BSPS%202016/Rangkah%20Buayan/Tahap%20Penyiapan%20Masyarakat%20BSPS%202016%20Rangkah/Indek%20Harga%20Satuan%20Bupati%202016+Format%20II-9.xlsx"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PROGRAM%20BSPS%20KEBUMEN%202012-2014/BSPS%202014%20sarwogadung/DRPB2%20SARWOGADUNG%202.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ASWIN%20FILE%202008/KONTRAKTOR%20ORDERAN%20DOK.%20TAWAR/PUTRA%20PAPUA%20PERKASA/RAB%20YANG%20DARI%20BAMBANG/RAP%20Infra%20Lain_2005(46M)_12Gdng.xls" TargetMode="External"/></Relationships>
</file>

<file path=xl/externalLinks/_rels/externalLink56.xml.rels><?xml version="1.0" encoding="UTF-8" standalone="yes"?>
<Relationships xmlns="http://schemas.openxmlformats.org/package/2006/relationships"><Relationship Id="rId2" Type="http://schemas.openxmlformats.org/officeDocument/2006/relationships/externalLinkPath" Target="../../../../../../../../../../../../Ten/rutr/My%20Documents/Klamono.xls" TargetMode="External"/><Relationship Id="rId1" Type="http://schemas.openxmlformats.org/officeDocument/2006/relationships/externalLinkPath" Target="/Ten/rutr/My%20Documents/Klamono.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C:/DATA%20CONSULTAN/penawaran/rumah%20sakit/CV.%20POGOGUL%20JAYA/CV.%20POGOGUL%20JAYA.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WS-8LT-TOTAL-R-KS.zip/RAB-WS-8LT-TOTAL-R-KS.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C:/Documents%20and%20Settings/CV.%20KCP/My%20Documents/RAB%2002%20Revisi.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C:/DARI%20KANTOR/file%202009/2009%20PERTANIAN/file%202009/New%20Folder/Rab%202008/RAB%20PU%202007/RAB%20DAK%20PU%202007/EE%20DAK%20PU%202007.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C:/Documents%20and%20Settings/brian/My%20Documents/PROYEK/SMP%206/DATA/RAB%20JL.SMP%206%20OE.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C:/SMP%206/Pemenang%20I%20(SR)/PENAWARAN/SMP%20I.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bina%20marga%202009/MASTER%20%20BM%202009%20MOGOYUNGGUNG%20(2).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C:/ARSENAL%202009/ENHOK.%20PINAL%202009%202.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C:/BSPS%202015/PENGEMPON%20LAPORAN/FORMAT-FORMAT%20PENGEMPON/HASIL%20KLARIFIKASI%20PENGEMPON.xlsx"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C:/Gita/LAPORAN%20TAHUN%202007/LAP%20OTSUS%202007/Lap.%20masing%20Kontraktor/RAB%2002%20Revisi.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PASCA%20GRED%203/PENAWARAN%20PURWOREJO%20TIMUR.XLS/Documents%20and%20Settings/Indo%20Berka/My%20Documents/mjn/BIDDING/ROAD/Tarohan-Pulutan.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PENAWARAN%202006/AI%20TUGAS%20KULIAH/2004/rab/MOLINOW%20SMP%20II-tamb.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C:/bina%20marga%202009/Timbukar/DB-TIMBUKAR.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C:/Angki/RAB%20RUDIS%20BUPATI%20RAJA%20AMPAT.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C:/ASWIN%202007/PEKERJAAN%20UMUM/RAB%20PEMENANG%201/PASAR%20FAK%20-%20FAK%20-1-%20CV.%20KOMBA%20BAUFAK.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C:/Documents%20and%20Settings/CV.%20KCP/My%20Documents/RAB%20DOE%20CONTRAC.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C:/DARI%20KANTOR/file%202009/2009%20PERTANIAN/PAY.DAT/KUP/KUP%20%202007/Normalisasi/Talud%20PLTD/PENAWARAN/Normalisasi%20Kali%20Klawalu.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C:/DOCUME~1/Admin/LOCALS~1/Temp/Temporary%20Directory%201%20for%20lampiran_01_05_2010(3).zip/usulan%20kjr.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G:/CH4N4Z%20PU/ICHA%202007/UMUM/BERITA%20ACARA/Data%20PU/PR4SW1L%20(H)/Blackman%20A.L/My%20Documents/DASK%20PU%202003/EXERCIXE%201.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C:/RAB%20SDN%202%20KOMUS.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M:/KANDANG+BATEREY%2026%2008%202006-02.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A:/JL-KOTARAYA.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C:/PENAWARAN%202006/AI%20TUGAS%20KULIAH/2004/rab/MOLINOW%20SMP%20II-tamb.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C:/ASWIN%20DATA/RAB%20tagihan%20KLH/BERKAS%20TAGIHAN%20ARAS/2006/Eq%20Ktr%20Distrik/Tag/Kwit,cs%20CBS%20Ren.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C:/PENAWARAN%202006/DINAS%20PU%20PROV/JEMBATAN%20BINIHA/RAB%20ANALISA%20SNI.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C:/PAY.DAT/KUP/KUP%20%202007/Normalisasi/Talud%20PLTD/PENAWARAN/Normalisasi%20Kali%20Klawalu.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C:/GAMBAR%20DAN%20RAB%20MARIYAI/Recky/Data%20Proyek%202006/PU%20KABUPATEN%20SORSEL/Bariat%20Manaelek/Dokumen%20Penawaran/Rab.%20(Kakas1).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2%20RH%2021%20PROJECT/ERHA/TIME%20SCHEDULLE.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C:/SMP%206/Pemenang%20I%20(SR)/TAGIHAN%20I/Progres.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C:/DATA%20MULTIMEDIA/PROJECT%202009/DATA%20CONSULTAN/PENAWARAN%20ACEN/NEVRI/~TENDER%20DKP%20MITRA/BBI/Documents%20and%20Settings/User/My%20Documents/yayankh/My%20Documents/WIDYA/PROYEK%202002/Bag%2002/OE/gapura.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C:/RAB%20SATAP/BOLMONG/RAB%20SDN%202%20KOMUS.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C:/GAMBAR%20DAN%20RAB%20MARIYAI/MUTI%20(G)/New%20Folder/Documents%20and%20Settings/perdana.DOMAIN/Local%20Settings/Temp/Temporary%20Directory%201%20for%20Rab-Pak-Thp2.zip/Rab-Pak-Thp2.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C:/BIRAMA_KU/RSUDR_SORONG/Penawaran%20Adhi%20Karya2006/15M/PENAWARAN%2015%20AK-24%20des%2006.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A:/windows/Personal/NAWIER/BM/DURP%20TA.2003-1502.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C:/Documents%20and%20Settings/pex/Desktop/MASTER%20PENAWARAN%20KK%202010%20BINA%20MARGA.xls" TargetMode="External"/></Relationships>
</file>

<file path=xl/externalLinks/_rels/externalLink92.xml.rels><?xml version="1.0" encoding="UTF-8" standalone="yes"?>
<Relationships xmlns="http://schemas.openxmlformats.org/package/2006/relationships"><Relationship Id="rId2" Type="http://schemas.openxmlformats.org/officeDocument/2006/relationships/externalLinkPath" Target="../../../../../../../../../../../../9A4A7761/RAB%20ESSANG-RAINIS%20(HRS)%20" TargetMode="External"/><Relationship Id="rId1" Type="http://schemas.openxmlformats.org/officeDocument/2006/relationships/externalLinkPath" Target="/9A4A7761/RAB%20ESSANG-RAINIS%20(HRS)%20"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F:/BSPS%202016/Kebumen/Verlap%20Argopeni-Ayah-Kebumen.xlsx" TargetMode="External"/></Relationships>
</file>

<file path=xl/externalLinks/_rels/externalLink94.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0%20Database.xlsx" TargetMode="External"/><Relationship Id="rId1" Type="http://schemas.openxmlformats.org/officeDocument/2006/relationships/externalLinkPath" Target="00%20Database.xlsx" TargetMode="External"/></Relationships>
</file>

<file path=xl/externalLinks/_rels/externalLink95.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2.a%20Dok%20RAB.xlsm" TargetMode="External"/><Relationship Id="rId1" Type="http://schemas.openxmlformats.org/officeDocument/2006/relationships/externalLinkPath" Target="02.a%20Dok%20R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sheetData sheetId="9" refreshError="1">
        <row r="8">
          <cell r="AW8">
            <v>1723657.9390871231</v>
          </cell>
        </row>
        <row r="9">
          <cell r="AW9">
            <v>301913.55317337182</v>
          </cell>
        </row>
        <row r="10">
          <cell r="AW10">
            <v>45143.008613481441</v>
          </cell>
        </row>
        <row r="11">
          <cell r="AW11">
            <v>386579.21105773386</v>
          </cell>
        </row>
        <row r="12">
          <cell r="AW12">
            <v>93893.008613481448</v>
          </cell>
        </row>
        <row r="13">
          <cell r="AW13">
            <v>31094.98767277709</v>
          </cell>
        </row>
        <row r="14">
          <cell r="AW14">
            <v>265585.22119679791</v>
          </cell>
        </row>
        <row r="15">
          <cell r="AW15">
            <v>166175.56635903937</v>
          </cell>
        </row>
        <row r="16">
          <cell r="AW16">
            <v>220893.37081656256</v>
          </cell>
        </row>
        <row r="17">
          <cell r="AW17">
            <v>353257.07022935973</v>
          </cell>
        </row>
        <row r="18">
          <cell r="AW18">
            <v>162377.84749226837</v>
          </cell>
        </row>
        <row r="19">
          <cell r="AW19">
            <v>170454.67972327583</v>
          </cell>
        </row>
        <row r="20">
          <cell r="AW20">
            <v>303108.32442197029</v>
          </cell>
        </row>
        <row r="21">
          <cell r="AW21">
            <v>302579.21105773386</v>
          </cell>
        </row>
        <row r="22">
          <cell r="AW22">
            <v>284887.43778620678</v>
          </cell>
        </row>
        <row r="23">
          <cell r="AW23">
            <v>149302.44849011768</v>
          </cell>
        </row>
        <row r="24">
          <cell r="AW24">
            <v>164708.41775550426</v>
          </cell>
        </row>
        <row r="25">
          <cell r="AW25">
            <v>163376.15658386046</v>
          </cell>
        </row>
        <row r="26">
          <cell r="AW26">
            <v>215029.24827047405</v>
          </cell>
        </row>
        <row r="27">
          <cell r="AW27">
            <v>27572.748755724133</v>
          </cell>
        </row>
        <row r="28">
          <cell r="AW28">
            <v>495384.74330716813</v>
          </cell>
        </row>
        <row r="29">
          <cell r="AW29">
            <v>24117.226589830047</v>
          </cell>
        </row>
        <row r="30">
          <cell r="AW30">
            <v>146719.92821565631</v>
          </cell>
        </row>
        <row r="31">
          <cell r="AW31">
            <v>39060.901745313502</v>
          </cell>
        </row>
        <row r="32">
          <cell r="AW32">
            <v>23072.748755724133</v>
          </cell>
        </row>
        <row r="33">
          <cell r="AW33">
            <v>28700.059078241371</v>
          </cell>
        </row>
        <row r="34">
          <cell r="AW34">
            <v>87471.825468648996</v>
          </cell>
        </row>
        <row r="35">
          <cell r="AW35">
            <v>112281.48657397147</v>
          </cell>
        </row>
        <row r="36">
          <cell r="AW36">
            <v>179375.00244957948</v>
          </cell>
        </row>
        <row r="37">
          <cell r="AW37">
            <v>57954.679723275847</v>
          </cell>
        </row>
        <row r="38">
          <cell r="AW38">
            <v>160225.56777753151</v>
          </cell>
        </row>
        <row r="39">
          <cell r="AW39">
            <v>52805.881751088666</v>
          </cell>
        </row>
        <row r="40">
          <cell r="AW40">
            <v>545986.87433657213</v>
          </cell>
        </row>
      </sheetData>
      <sheetData sheetId="10" refreshError="1"/>
      <sheetData sheetId="11"/>
      <sheetData sheetId="12" refreshError="1"/>
      <sheetData sheetId="13"/>
      <sheetData sheetId="14" refreshError="1"/>
      <sheetData sheetId="15"/>
      <sheetData sheetId="16" refreshError="1"/>
      <sheetData sheetId="17"/>
      <sheetData sheetId="18" refreshError="1"/>
      <sheetData sheetId="19"/>
      <sheetData sheetId="20" refreshError="1"/>
      <sheetData sheetId="21" refreshError="1"/>
      <sheetData sheetId="22" refreshError="1"/>
      <sheetData sheetId="23"/>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REKAP"/>
      <sheetName val="rab"/>
      <sheetName val="satuanjadi"/>
      <sheetName val="satuanjadiSNI2007"/>
      <sheetName val="analSNI2007"/>
      <sheetName val="upah"/>
      <sheetName val="metode"/>
      <sheetName val="skedul"/>
      <sheetName val="skema"/>
      <sheetName val="DAFT-SONIL"/>
      <sheetName val="DAFT-ALAT"/>
      <sheetName val="analisa"/>
      <sheetName val="Sheet1"/>
      <sheetName val="Sheet3"/>
    </sheetNames>
    <sheetDataSet>
      <sheetData sheetId="0" refreshError="1"/>
      <sheetData sheetId="1"/>
      <sheetData sheetId="2">
        <row r="166">
          <cell r="B166" t="str">
            <v>MENGETAHUI/MENYETUJUI</v>
          </cell>
        </row>
        <row r="170">
          <cell r="B170" t="str">
            <v>DIBUAT OLEH</v>
          </cell>
        </row>
      </sheetData>
      <sheetData sheetId="3" refreshError="1"/>
      <sheetData sheetId="4" refreshError="1"/>
      <sheetData sheetId="5" refreshError="1"/>
      <sheetData sheetId="6">
        <row r="21">
          <cell r="H21">
            <v>40000</v>
          </cell>
        </row>
        <row r="23">
          <cell r="H23">
            <v>60000</v>
          </cell>
        </row>
        <row r="24">
          <cell r="H24">
            <v>65000</v>
          </cell>
        </row>
        <row r="25">
          <cell r="H25">
            <v>75000</v>
          </cell>
        </row>
        <row r="50">
          <cell r="H50">
            <v>65000</v>
          </cell>
        </row>
        <row r="53">
          <cell r="H53">
            <v>115000</v>
          </cell>
        </row>
        <row r="54">
          <cell r="H54">
            <v>65000</v>
          </cell>
        </row>
        <row r="55">
          <cell r="H55">
            <v>1300</v>
          </cell>
        </row>
        <row r="56">
          <cell r="H56">
            <v>600</v>
          </cell>
        </row>
        <row r="57">
          <cell r="H57">
            <v>115000</v>
          </cell>
        </row>
        <row r="58">
          <cell r="H58">
            <v>250000</v>
          </cell>
        </row>
        <row r="59">
          <cell r="H59">
            <v>12500</v>
          </cell>
        </row>
        <row r="60">
          <cell r="H60">
            <v>20000</v>
          </cell>
        </row>
        <row r="61">
          <cell r="H61">
            <v>15000</v>
          </cell>
        </row>
        <row r="62">
          <cell r="H62">
            <v>1550000</v>
          </cell>
        </row>
        <row r="63">
          <cell r="H63">
            <v>17000</v>
          </cell>
        </row>
        <row r="64">
          <cell r="H64">
            <v>20000</v>
          </cell>
        </row>
        <row r="65">
          <cell r="H65">
            <v>26000</v>
          </cell>
        </row>
        <row r="66">
          <cell r="H66">
            <v>2600000</v>
          </cell>
        </row>
        <row r="70">
          <cell r="H70">
            <v>2600000</v>
          </cell>
        </row>
        <row r="74">
          <cell r="H74">
            <v>47500</v>
          </cell>
        </row>
        <row r="75">
          <cell r="H75">
            <v>35000</v>
          </cell>
        </row>
        <row r="76">
          <cell r="H76">
            <v>38000</v>
          </cell>
        </row>
        <row r="77">
          <cell r="H77">
            <v>7500</v>
          </cell>
        </row>
        <row r="78">
          <cell r="H78">
            <v>185000</v>
          </cell>
        </row>
        <row r="79">
          <cell r="H79">
            <v>12000</v>
          </cell>
        </row>
        <row r="80">
          <cell r="H80">
            <v>20000</v>
          </cell>
        </row>
        <row r="82">
          <cell r="H82">
            <v>5000</v>
          </cell>
        </row>
        <row r="91">
          <cell r="H91">
            <v>9000</v>
          </cell>
        </row>
        <row r="93">
          <cell r="H93">
            <v>5000</v>
          </cell>
        </row>
        <row r="94">
          <cell r="H94">
            <v>125000</v>
          </cell>
        </row>
        <row r="95">
          <cell r="H95">
            <v>7500</v>
          </cell>
        </row>
        <row r="96">
          <cell r="H96">
            <v>4500</v>
          </cell>
        </row>
        <row r="97">
          <cell r="H97">
            <v>95000</v>
          </cell>
        </row>
        <row r="98">
          <cell r="H98">
            <v>5000</v>
          </cell>
        </row>
        <row r="99">
          <cell r="H99">
            <v>25000</v>
          </cell>
        </row>
        <row r="100">
          <cell r="H100">
            <v>17500</v>
          </cell>
        </row>
        <row r="101">
          <cell r="H101">
            <v>15000</v>
          </cell>
        </row>
        <row r="102">
          <cell r="H102">
            <v>3000</v>
          </cell>
        </row>
        <row r="103">
          <cell r="H103">
            <v>3000</v>
          </cell>
        </row>
        <row r="104">
          <cell r="H104">
            <v>25000</v>
          </cell>
        </row>
        <row r="105">
          <cell r="H105">
            <v>20000</v>
          </cell>
        </row>
        <row r="106">
          <cell r="H106">
            <v>40000</v>
          </cell>
        </row>
        <row r="108">
          <cell r="H108">
            <v>10000</v>
          </cell>
        </row>
        <row r="109">
          <cell r="H109">
            <v>4500</v>
          </cell>
        </row>
        <row r="110">
          <cell r="H110">
            <v>40000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PAH"/>
      <sheetName val="BTN"/>
      <sheetName val="AN-K"/>
      <sheetName val="BHN"/>
      <sheetName val="Analisa Alat"/>
      <sheetName val="UPH"/>
      <sheetName val="ANALISA BOW"/>
      <sheetName val="rab1"/>
      <sheetName val="rab"/>
      <sheetName val="Lamp.I"/>
      <sheetName val="Lamp.II"/>
      <sheetName val="Mobilisasi"/>
      <sheetName val="HARGA BHN IMPOR"/>
      <sheetName val="HARGA BATU &amp; KAY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
      <sheetName val="Cover"/>
      <sheetName val="RAB"/>
      <sheetName val="Sub Rekap"/>
      <sheetName val="Sheet2"/>
      <sheetName val="Sheet3"/>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REKAP 1.5M"/>
      <sheetName val="REKAP"/>
      <sheetName val="RAB"/>
      <sheetName val="ALAT"/>
      <sheetName val="MOS"/>
      <sheetName val="BAHAN"/>
      <sheetName val="ANALISA 1"/>
      <sheetName val="bobot"/>
      <sheetName val="5 des"/>
      <sheetName val="BOQ"/>
      <sheetName val="RAB 1.5M"/>
      <sheetName val="BOQ OK"/>
      <sheetName val="SCHEDULE"/>
      <sheetName val="RAB 1"/>
      <sheetName val="REKAPITULASI GEDUNG SORSEL2005"/>
      <sheetName val="volume"/>
      <sheetName val="BESI200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7">
          <cell r="E7" t="str">
            <v>Pekerja</v>
          </cell>
        </row>
        <row r="8">
          <cell r="E8" t="str">
            <v>Mandor</v>
          </cell>
        </row>
        <row r="10">
          <cell r="E10" t="str">
            <v>Kepala Tukang</v>
          </cell>
        </row>
        <row r="23">
          <cell r="I23">
            <v>1150000</v>
          </cell>
        </row>
        <row r="27">
          <cell r="I27">
            <v>62000</v>
          </cell>
        </row>
        <row r="62">
          <cell r="E62" t="str">
            <v>Paku  4 cm - 15 cm</v>
          </cell>
          <cell r="I62">
            <v>10000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 Price"/>
      <sheetName val="Analisa Satuan"/>
      <sheetName val="Harga Satuan Selokan"/>
      <sheetName val="Harga Satuan Jalan Setapak"/>
      <sheetName val="bq"/>
      <sheetName val="Kurva AGUSTUS"/>
      <sheetName val="mat-onsite"/>
      <sheetName val="5-ALAT(1)"/>
      <sheetName val="4-Basic Price"/>
      <sheetName val="ANALISA"/>
      <sheetName val="Koef"/>
      <sheetName val="Rekap"/>
      <sheetName val="UBA"/>
      <sheetName val="Schedule(S-Curve)"/>
    </sheetNames>
    <sheetDataSet>
      <sheetData sheetId="0"/>
      <sheetData sheetId="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C  01"/>
      <sheetName val="Kuantitas &amp; Harga"/>
    </sheetNames>
    <sheetDataSet>
      <sheetData sheetId="0" refreshError="1"/>
      <sheetData sheetId="1">
        <row r="4">
          <cell r="B4" t="str">
            <v>DAFTAR  KUANTITAS DAN HARGA</v>
          </cell>
        </row>
        <row r="6">
          <cell r="B6" t="str">
            <v xml:space="preserve"> Proyek / Bagpro</v>
          </cell>
          <cell r="D6" t="str">
            <v>:</v>
          </cell>
          <cell r="E6" t="str">
            <v>Pembangunan  Jalan  dan  Jembatan  Kota  Ternate</v>
          </cell>
        </row>
        <row r="7">
          <cell r="B7" t="str">
            <v xml:space="preserve"> No. Paket Kontrak</v>
          </cell>
          <cell r="D7" t="str">
            <v>:</v>
          </cell>
          <cell r="E7" t="str">
            <v>-</v>
          </cell>
        </row>
        <row r="8">
          <cell r="B8" t="str">
            <v xml:space="preserve"> Nama Paket</v>
          </cell>
          <cell r="D8" t="str">
            <v>:</v>
          </cell>
          <cell r="E8" t="str">
            <v>Pembangunan  Jembatan  dan  Jalan  Pulau  Moti</v>
          </cell>
        </row>
        <row r="9">
          <cell r="B9" t="str">
            <v xml:space="preserve"> Prop / Kab / Kodya</v>
          </cell>
          <cell r="D9" t="str">
            <v>:</v>
          </cell>
          <cell r="E9" t="str">
            <v>Pulau  Moti</v>
          </cell>
        </row>
        <row r="11">
          <cell r="F11" t="str">
            <v xml:space="preserve">  </v>
          </cell>
          <cell r="G11" t="str">
            <v xml:space="preserve"> </v>
          </cell>
        </row>
        <row r="12">
          <cell r="B12" t="str">
            <v>No. Mata</v>
          </cell>
          <cell r="C12" t="str">
            <v>Uraian</v>
          </cell>
          <cell r="F12" t="str">
            <v>Satuan</v>
          </cell>
          <cell r="G12" t="str">
            <v>Perkiraan</v>
          </cell>
          <cell r="H12" t="str">
            <v>Harga</v>
          </cell>
          <cell r="I12" t="str">
            <v>Jumlah</v>
          </cell>
        </row>
        <row r="13">
          <cell r="B13" t="str">
            <v>Pembayaran</v>
          </cell>
          <cell r="G13" t="str">
            <v>Kuantitas</v>
          </cell>
          <cell r="H13" t="str">
            <v>Satuan</v>
          </cell>
          <cell r="I13" t="str">
            <v>Harga-Harga</v>
          </cell>
        </row>
        <row r="14">
          <cell r="H14" t="str">
            <v>(Rupiah)</v>
          </cell>
          <cell r="I14" t="str">
            <v>(Rupiah)</v>
          </cell>
        </row>
        <row r="15">
          <cell r="B15" t="str">
            <v>a</v>
          </cell>
          <cell r="D15" t="str">
            <v>b</v>
          </cell>
          <cell r="F15" t="str">
            <v>c</v>
          </cell>
          <cell r="G15" t="str">
            <v>d</v>
          </cell>
          <cell r="H15" t="str">
            <v>e</v>
          </cell>
          <cell r="I15" t="str">
            <v>f = (d x e)</v>
          </cell>
        </row>
        <row r="17">
          <cell r="D17" t="str">
            <v>DIVISI 1. UMUM</v>
          </cell>
        </row>
        <row r="19">
          <cell r="B19" t="str">
            <v>1.2</v>
          </cell>
          <cell r="D19" t="str">
            <v>Mobilisasi</v>
          </cell>
          <cell r="F19" t="str">
            <v>LS</v>
          </cell>
          <cell r="G19">
            <v>1</v>
          </cell>
          <cell r="H19">
            <v>0</v>
          </cell>
          <cell r="I19">
            <v>0</v>
          </cell>
        </row>
        <row r="21">
          <cell r="B21" t="str">
            <v>1.18. (1)</v>
          </cell>
          <cell r="D21" t="str">
            <v>Relokasi Utilitas dan Pelayanan TELKOM yang ada</v>
          </cell>
          <cell r="F21" t="str">
            <v>LS</v>
          </cell>
          <cell r="I21">
            <v>0</v>
          </cell>
        </row>
        <row r="22">
          <cell r="B22" t="str">
            <v>1.18. (2)</v>
          </cell>
          <cell r="D22" t="str">
            <v>Relokasi Utilitas dan Pelayanan PDAM yang ada</v>
          </cell>
          <cell r="F22" t="str">
            <v>LS</v>
          </cell>
          <cell r="I22">
            <v>0</v>
          </cell>
        </row>
        <row r="23">
          <cell r="B23" t="str">
            <v>1.18. (3)</v>
          </cell>
          <cell r="D23" t="str">
            <v>Relokasi Utilitas dan Pelayanan PLN yang ada</v>
          </cell>
          <cell r="F23" t="str">
            <v>LS</v>
          </cell>
          <cell r="I23">
            <v>0</v>
          </cell>
        </row>
        <row r="24">
          <cell r="B24" t="str">
            <v>1.18. (4)</v>
          </cell>
          <cell r="D24" t="str">
            <v>Relokasi Utilitas dan Pelayanan Gas yang ada</v>
          </cell>
          <cell r="F24" t="str">
            <v>LS</v>
          </cell>
          <cell r="I24">
            <v>0</v>
          </cell>
        </row>
        <row r="25">
          <cell r="B25" t="str">
            <v>1.18. (5)</v>
          </cell>
          <cell r="D25" t="str">
            <v>Relokasi Utilitas dan Prasarana Pelayanan lain yang ada</v>
          </cell>
          <cell r="F25" t="str">
            <v>LS</v>
          </cell>
          <cell r="I25">
            <v>0</v>
          </cell>
        </row>
        <row r="28">
          <cell r="D28" t="str">
            <v>Jumlah Harga Pekerjaan DIVISI 1  (masuk pada Rekapitulasi Perkiraan Harga Pekerjaan)</v>
          </cell>
          <cell r="I28">
            <v>0</v>
          </cell>
        </row>
        <row r="31">
          <cell r="D31" t="str">
            <v>DIVISI 2. DRAINASE</v>
          </cell>
        </row>
        <row r="33">
          <cell r="B33" t="str">
            <v>2.1</v>
          </cell>
          <cell r="D33" t="str">
            <v xml:space="preserve">Galian untuk Drainase Selokan dan Saluran Air </v>
          </cell>
          <cell r="F33" t="str">
            <v>M3</v>
          </cell>
          <cell r="G33">
            <v>714.04</v>
          </cell>
          <cell r="H33">
            <v>0</v>
          </cell>
          <cell r="I33">
            <v>0</v>
          </cell>
        </row>
        <row r="35">
          <cell r="B35" t="str">
            <v>2.2</v>
          </cell>
          <cell r="D35" t="str">
            <v xml:space="preserve">Pasangan Batu dengan Mortar </v>
          </cell>
          <cell r="F35" t="str">
            <v>M3</v>
          </cell>
          <cell r="G35">
            <v>392.7</v>
          </cell>
          <cell r="H35">
            <v>0</v>
          </cell>
          <cell r="I35">
            <v>0</v>
          </cell>
        </row>
        <row r="37">
          <cell r="B37" t="str">
            <v>2.3 (1)</v>
          </cell>
          <cell r="D37" t="str">
            <v>Gorong-gorong Pipa Beton Bertulang, diameter dalam 50 cm</v>
          </cell>
          <cell r="F37" t="str">
            <v>M1</v>
          </cell>
          <cell r="H37">
            <v>0</v>
          </cell>
          <cell r="I37">
            <v>0</v>
          </cell>
        </row>
        <row r="38">
          <cell r="B38" t="str">
            <v>2.3 (2)</v>
          </cell>
          <cell r="D38" t="str">
            <v>Gorong-gorong Pipa Beton Bertulang,</v>
          </cell>
          <cell r="F38" t="str">
            <v>M1</v>
          </cell>
          <cell r="H38">
            <v>0</v>
          </cell>
          <cell r="I38">
            <v>0</v>
          </cell>
        </row>
        <row r="39">
          <cell r="D39" t="str">
            <v>diameter dalam 50 cm sampai 70 cm</v>
          </cell>
        </row>
        <row r="40">
          <cell r="B40" t="str">
            <v>2.3 (3)</v>
          </cell>
          <cell r="D40" t="str">
            <v xml:space="preserve">Gorong2 Pipa Beton Bertulang, </v>
          </cell>
          <cell r="F40" t="str">
            <v>M1</v>
          </cell>
          <cell r="H40">
            <v>0</v>
          </cell>
          <cell r="I40">
            <v>0</v>
          </cell>
        </row>
        <row r="41">
          <cell r="D41" t="str">
            <v>diameter dalam 70 cm sampai 100 cm</v>
          </cell>
        </row>
        <row r="42">
          <cell r="B42" t="str">
            <v>2.3 (4)</v>
          </cell>
          <cell r="D42" t="str">
            <v xml:space="preserve">Gorong2 Pipa Beton Bertulang, </v>
          </cell>
          <cell r="F42" t="str">
            <v>M1</v>
          </cell>
          <cell r="H42">
            <v>0</v>
          </cell>
          <cell r="I42">
            <v>0</v>
          </cell>
        </row>
        <row r="43">
          <cell r="D43" t="str">
            <v>diameter dalam 100 cm sampai 130 cm</v>
          </cell>
        </row>
        <row r="44">
          <cell r="B44" t="str">
            <v>2.3 (5)</v>
          </cell>
          <cell r="D44" t="str">
            <v xml:space="preserve">Gorong2 Pipa Beton Bertulang, </v>
          </cell>
          <cell r="F44" t="str">
            <v>M1</v>
          </cell>
          <cell r="H44">
            <v>0</v>
          </cell>
          <cell r="I44">
            <v>0</v>
          </cell>
        </row>
        <row r="45">
          <cell r="D45" t="str">
            <v>diameter dalam 140 cm sampai 150 cm</v>
          </cell>
        </row>
        <row r="46">
          <cell r="B46" t="str">
            <v>2.3 (6)</v>
          </cell>
          <cell r="D46" t="str">
            <v>Gorong-Gorong Pipa Baja Bergelombang</v>
          </cell>
          <cell r="F46" t="str">
            <v>Ton</v>
          </cell>
          <cell r="H46">
            <v>0</v>
          </cell>
          <cell r="I46">
            <v>0</v>
          </cell>
        </row>
        <row r="47">
          <cell r="B47" t="str">
            <v>2.3 (7)</v>
          </cell>
          <cell r="D47" t="str">
            <v>Gorong-Gorong Pipa Beton Tanpa Tulang, diameter dalam 20 sampai 30 cm</v>
          </cell>
          <cell r="F47" t="str">
            <v>M1</v>
          </cell>
        </row>
        <row r="48">
          <cell r="H48">
            <v>0</v>
          </cell>
          <cell r="I48">
            <v>0</v>
          </cell>
        </row>
        <row r="49">
          <cell r="B49" t="str">
            <v>2.4 (1)</v>
          </cell>
          <cell r="D49" t="str">
            <v>Timbunan Porous atau Bahan Penyaring  (Filter)</v>
          </cell>
          <cell r="F49" t="str">
            <v>M3</v>
          </cell>
          <cell r="H49">
            <v>0</v>
          </cell>
          <cell r="I49">
            <v>0</v>
          </cell>
        </row>
        <row r="50">
          <cell r="B50" t="str">
            <v>2.4 (2)</v>
          </cell>
          <cell r="D50" t="str">
            <v>Anyaman  Filter  Plastik</v>
          </cell>
          <cell r="F50" t="str">
            <v>M2</v>
          </cell>
          <cell r="H50">
            <v>0</v>
          </cell>
          <cell r="I50">
            <v>0</v>
          </cell>
        </row>
        <row r="51">
          <cell r="B51" t="str">
            <v>2.4 (3)</v>
          </cell>
          <cell r="D51" t="str">
            <v>Pipa Berlubang Banyak (Perforated Pipa) Untuk Pekerjaan</v>
          </cell>
          <cell r="F51" t="str">
            <v>M1</v>
          </cell>
          <cell r="H51">
            <v>0</v>
          </cell>
          <cell r="I51">
            <v>0</v>
          </cell>
        </row>
        <row r="52">
          <cell r="D52" t="str">
            <v>Drainase Bawah Permukaan</v>
          </cell>
          <cell r="I52">
            <v>0</v>
          </cell>
        </row>
        <row r="55">
          <cell r="C55" t="str">
            <v>Jumlah Harga Pekerjaan DIVISI 2  (masuk pada Rekapitulasi Perkiraan Harga Pekerjaan)</v>
          </cell>
          <cell r="I55">
            <v>0</v>
          </cell>
        </row>
        <row r="61">
          <cell r="D61" t="str">
            <v>DIVISI  3.  PEKERJAAN  TANAH</v>
          </cell>
        </row>
        <row r="63">
          <cell r="B63" t="str">
            <v>3.1 (1)</v>
          </cell>
          <cell r="D63" t="str">
            <v>Galian Biasa</v>
          </cell>
          <cell r="F63" t="str">
            <v>M3</v>
          </cell>
          <cell r="G63">
            <v>0</v>
          </cell>
          <cell r="H63">
            <v>0</v>
          </cell>
          <cell r="I63">
            <v>0</v>
          </cell>
        </row>
        <row r="64">
          <cell r="B64" t="str">
            <v>3.1 (2)</v>
          </cell>
          <cell r="D64" t="str">
            <v>Galian Batu</v>
          </cell>
          <cell r="F64" t="str">
            <v>M3</v>
          </cell>
          <cell r="H64">
            <v>0</v>
          </cell>
          <cell r="I64">
            <v>0</v>
          </cell>
        </row>
        <row r="65">
          <cell r="B65" t="str">
            <v>3.1 (3)</v>
          </cell>
          <cell r="D65" t="str">
            <v>Galian Struktur dengan Kedalaman 0 - 2 meter</v>
          </cell>
          <cell r="F65" t="str">
            <v>M3</v>
          </cell>
          <cell r="G65">
            <v>821.52</v>
          </cell>
          <cell r="H65">
            <v>0</v>
          </cell>
          <cell r="I65">
            <v>0</v>
          </cell>
        </row>
        <row r="66">
          <cell r="B66" t="str">
            <v>3.1 (4)</v>
          </cell>
          <cell r="D66" t="str">
            <v>Galian Struktur dengan Kedalaman 2 - 4 meter</v>
          </cell>
          <cell r="F66" t="str">
            <v>M3</v>
          </cell>
          <cell r="G66">
            <v>639.47</v>
          </cell>
          <cell r="H66">
            <v>0</v>
          </cell>
          <cell r="I66">
            <v>0</v>
          </cell>
        </row>
        <row r="67">
          <cell r="B67" t="str">
            <v>3.1 (5)</v>
          </cell>
          <cell r="D67" t="str">
            <v>Galian Struktur dengan Kedalaman 4 - 6 meter</v>
          </cell>
          <cell r="F67" t="str">
            <v>M3</v>
          </cell>
          <cell r="H67">
            <v>0</v>
          </cell>
          <cell r="I67">
            <v>0</v>
          </cell>
        </row>
        <row r="68">
          <cell r="B68" t="str">
            <v>3.1 (6)</v>
          </cell>
          <cell r="D68" t="str">
            <v>Cofferdam, Penyokong, Pengaku dan Pekerjaan yang berkaitan</v>
          </cell>
          <cell r="F68" t="str">
            <v>Ls</v>
          </cell>
          <cell r="H68">
            <v>0</v>
          </cell>
          <cell r="I68">
            <v>0</v>
          </cell>
        </row>
        <row r="69">
          <cell r="B69" t="str">
            <v>3.1 (7)</v>
          </cell>
          <cell r="D69" t="str">
            <v>Galian Perkerasan Beraspal Dengan Cold Milling Machine</v>
          </cell>
          <cell r="F69" t="str">
            <v>M3</v>
          </cell>
          <cell r="H69">
            <v>0</v>
          </cell>
          <cell r="I69">
            <v>0</v>
          </cell>
        </row>
        <row r="70">
          <cell r="B70" t="str">
            <v>3.1 (8)</v>
          </cell>
          <cell r="D70" t="str">
            <v>Galian Perkerasan Beraspal Tanpa Cold Milling Machine</v>
          </cell>
          <cell r="F70" t="str">
            <v>M3</v>
          </cell>
          <cell r="H70">
            <v>0</v>
          </cell>
          <cell r="I70">
            <v>0</v>
          </cell>
        </row>
        <row r="71">
          <cell r="B71" t="str">
            <v>3.1 (9)</v>
          </cell>
          <cell r="D71" t="str">
            <v xml:space="preserve">Biaya Tambahan Utk. Pengangkutan bahan </v>
          </cell>
          <cell r="F71" t="str">
            <v>M3/Km</v>
          </cell>
          <cell r="H71">
            <v>0</v>
          </cell>
          <cell r="I71">
            <v>0</v>
          </cell>
        </row>
        <row r="72">
          <cell r="D72" t="str">
            <v>hasil galian dengan jarak melebihi 5 Km</v>
          </cell>
          <cell r="I72">
            <v>0</v>
          </cell>
        </row>
        <row r="74">
          <cell r="B74" t="str">
            <v>3.2 (1)</v>
          </cell>
          <cell r="D74" t="str">
            <v>Timbunan Biasa dari Selain Galian Sumber Bahan</v>
          </cell>
          <cell r="F74" t="str">
            <v>M3</v>
          </cell>
          <cell r="H74">
            <v>0</v>
          </cell>
          <cell r="I74">
            <v>0</v>
          </cell>
        </row>
        <row r="75">
          <cell r="B75" t="str">
            <v>3.2 (2)</v>
          </cell>
          <cell r="D75" t="str">
            <v>Timbunan Pilihan</v>
          </cell>
          <cell r="F75" t="str">
            <v>M3</v>
          </cell>
          <cell r="G75">
            <v>3085.59</v>
          </cell>
          <cell r="H75">
            <v>0</v>
          </cell>
          <cell r="I75">
            <v>0</v>
          </cell>
        </row>
        <row r="76">
          <cell r="B76" t="str">
            <v>3.2 (3)</v>
          </cell>
          <cell r="D76" t="str">
            <v>Timbunan Pilihan di Atas Tanah Rawa (diukur di atas bak truk)</v>
          </cell>
          <cell r="F76" t="str">
            <v>M3</v>
          </cell>
          <cell r="H76">
            <v>0</v>
          </cell>
          <cell r="I76">
            <v>0</v>
          </cell>
        </row>
        <row r="77">
          <cell r="B77" t="str">
            <v>3.2 (4)</v>
          </cell>
          <cell r="D77" t="str">
            <v>Timbunan batu dengan manual</v>
          </cell>
          <cell r="F77" t="str">
            <v>M3</v>
          </cell>
          <cell r="H77">
            <v>0</v>
          </cell>
          <cell r="I77">
            <v>0</v>
          </cell>
        </row>
        <row r="78">
          <cell r="B78" t="str">
            <v>3.2 (5)</v>
          </cell>
          <cell r="D78" t="str">
            <v>Timbunan batu dengan derek</v>
          </cell>
          <cell r="F78" t="str">
            <v>M3</v>
          </cell>
          <cell r="H78">
            <v>0</v>
          </cell>
          <cell r="I78">
            <v>0</v>
          </cell>
        </row>
        <row r="79">
          <cell r="B79" t="str">
            <v>3.2 (6)</v>
          </cell>
          <cell r="D79" t="str">
            <v>Timbunan batu dengan derek</v>
          </cell>
          <cell r="F79" t="str">
            <v>Ton</v>
          </cell>
          <cell r="H79">
            <v>0</v>
          </cell>
          <cell r="I79">
            <v>0</v>
          </cell>
        </row>
        <row r="80">
          <cell r="H80">
            <v>0</v>
          </cell>
          <cell r="I80">
            <v>0</v>
          </cell>
        </row>
        <row r="81">
          <cell r="B81" t="str">
            <v>3.3</v>
          </cell>
          <cell r="D81" t="str">
            <v>Penyiapan Badan Jalan</v>
          </cell>
          <cell r="F81" t="str">
            <v>M2</v>
          </cell>
          <cell r="G81">
            <v>0</v>
          </cell>
          <cell r="H81">
            <v>0</v>
          </cell>
          <cell r="I81">
            <v>0</v>
          </cell>
        </row>
        <row r="83">
          <cell r="B83" t="str">
            <v>3.4.</v>
          </cell>
          <cell r="D83" t="str">
            <v>Pengupasan Permukaan aspal lama dan pencampuran kembali (tebal 15 cm)</v>
          </cell>
          <cell r="F83" t="str">
            <v>M3</v>
          </cell>
          <cell r="H83">
            <v>0</v>
          </cell>
          <cell r="I83">
            <v>0</v>
          </cell>
        </row>
        <row r="86">
          <cell r="C86" t="str">
            <v>Jumlah Harga Pekerjaan DIVISI 3  (masuk pada Rekapitulasi Perkiraan Harga Pekerjaan)</v>
          </cell>
          <cell r="I86">
            <v>0</v>
          </cell>
        </row>
        <row r="91">
          <cell r="D91" t="str">
            <v>DIVISI  4.  PELEBARAN PERKERASAN DAN BAHU JALAN</v>
          </cell>
        </row>
        <row r="93">
          <cell r="B93" t="str">
            <v>4.2 (1)</v>
          </cell>
          <cell r="D93" t="str">
            <v>Lapis Pondasi Agregat Kelas A</v>
          </cell>
          <cell r="F93" t="str">
            <v>M3</v>
          </cell>
          <cell r="H93">
            <v>0</v>
          </cell>
          <cell r="I93">
            <v>0</v>
          </cell>
        </row>
        <row r="94">
          <cell r="B94" t="str">
            <v>4.2 (2)</v>
          </cell>
          <cell r="D94" t="str">
            <v>Lapis Pondasi Agregat Kelas B</v>
          </cell>
          <cell r="F94" t="str">
            <v>M3</v>
          </cell>
          <cell r="G94">
            <v>0</v>
          </cell>
          <cell r="H94">
            <v>0</v>
          </cell>
          <cell r="I94">
            <v>0</v>
          </cell>
        </row>
        <row r="95">
          <cell r="B95" t="str">
            <v>4.2 (3)</v>
          </cell>
          <cell r="D95" t="str">
            <v>Semen Untuk Lapis Pondasi Semen Tanah</v>
          </cell>
          <cell r="F95" t="str">
            <v>Ton</v>
          </cell>
          <cell r="H95">
            <v>0</v>
          </cell>
          <cell r="I95">
            <v>0</v>
          </cell>
        </row>
        <row r="96">
          <cell r="B96" t="str">
            <v>4.2 (4)</v>
          </cell>
          <cell r="D96" t="str">
            <v>Lapis Pondasi Semen Tanah</v>
          </cell>
          <cell r="F96" t="str">
            <v>M3</v>
          </cell>
          <cell r="H96">
            <v>0</v>
          </cell>
          <cell r="I96">
            <v>0</v>
          </cell>
        </row>
        <row r="97">
          <cell r="B97" t="str">
            <v>4.2 (5)</v>
          </cell>
          <cell r="D97" t="str">
            <v>Agregat Penutup BURTU</v>
          </cell>
          <cell r="F97" t="str">
            <v>M2</v>
          </cell>
          <cell r="G97">
            <v>0</v>
          </cell>
          <cell r="H97">
            <v>0</v>
          </cell>
          <cell r="I97">
            <v>0</v>
          </cell>
        </row>
        <row r="98">
          <cell r="B98" t="str">
            <v>4.2 (6)</v>
          </cell>
          <cell r="D98" t="str">
            <v>Bahan aspal untuk Pekerjaan Pelaburan</v>
          </cell>
          <cell r="F98" t="str">
            <v>Liter</v>
          </cell>
          <cell r="G98">
            <v>0</v>
          </cell>
          <cell r="H98">
            <v>0</v>
          </cell>
          <cell r="I98">
            <v>0</v>
          </cell>
        </row>
        <row r="99">
          <cell r="B99" t="str">
            <v>4.2 (7)</v>
          </cell>
          <cell r="D99" t="str">
            <v>Lapis Resap Ikat</v>
          </cell>
          <cell r="F99" t="str">
            <v>Liter</v>
          </cell>
          <cell r="H99">
            <v>0</v>
          </cell>
          <cell r="I99">
            <v>0</v>
          </cell>
        </row>
        <row r="103">
          <cell r="C103" t="str">
            <v>Jumlah Harga Pekerjaan DIVISI 4  (masuk pada Rekapitulasi Perkiraan Harga Pekerjaan)</v>
          </cell>
          <cell r="I103">
            <v>0</v>
          </cell>
        </row>
        <row r="107">
          <cell r="D107" t="str">
            <v>DIVISI  5.  PERKERASAN  BERBUTIR</v>
          </cell>
        </row>
        <row r="109">
          <cell r="B109" t="str">
            <v>5.1 (1)</v>
          </cell>
          <cell r="D109" t="str">
            <v>Lapis Pondasi Agregat Kelas A</v>
          </cell>
          <cell r="F109" t="str">
            <v>M3</v>
          </cell>
          <cell r="H109">
            <v>0</v>
          </cell>
          <cell r="I109">
            <v>0</v>
          </cell>
        </row>
        <row r="110">
          <cell r="B110" t="str">
            <v>5.1 (2)</v>
          </cell>
          <cell r="D110" t="str">
            <v>Lapis Pondasi Agregat Kelas B</v>
          </cell>
          <cell r="F110" t="str">
            <v>M3</v>
          </cell>
          <cell r="H110">
            <v>0</v>
          </cell>
          <cell r="I110">
            <v>0</v>
          </cell>
        </row>
        <row r="112">
          <cell r="B112" t="str">
            <v>5.2 (1)</v>
          </cell>
          <cell r="D112" t="str">
            <v>Lapis Pondasi Agregat Kelas C</v>
          </cell>
          <cell r="F112" t="str">
            <v>M3</v>
          </cell>
          <cell r="H112">
            <v>0</v>
          </cell>
          <cell r="I112">
            <v>0</v>
          </cell>
        </row>
        <row r="113">
          <cell r="B113" t="str">
            <v>5.2 (1)b</v>
          </cell>
          <cell r="D113" t="str">
            <v>Lapis Pondasi Bawah  dengan  telford</v>
          </cell>
          <cell r="F113" t="str">
            <v>M3</v>
          </cell>
          <cell r="G113">
            <v>1755</v>
          </cell>
          <cell r="H113">
            <v>0</v>
          </cell>
          <cell r="I113">
            <v>0</v>
          </cell>
        </row>
        <row r="115">
          <cell r="B115" t="str">
            <v>5.4 (1)</v>
          </cell>
          <cell r="D115" t="str">
            <v>Semen Untuk Lapis Pondasi Semen Tanah</v>
          </cell>
          <cell r="F115" t="str">
            <v>Ton</v>
          </cell>
          <cell r="H115">
            <v>0</v>
          </cell>
          <cell r="I115">
            <v>0</v>
          </cell>
        </row>
        <row r="116">
          <cell r="B116" t="str">
            <v>5.4 (2)</v>
          </cell>
          <cell r="D116" t="str">
            <v>Lapis Pondasi Semen  Tanah</v>
          </cell>
          <cell r="F116" t="str">
            <v>M3</v>
          </cell>
          <cell r="H116">
            <v>0</v>
          </cell>
          <cell r="I116">
            <v>0</v>
          </cell>
        </row>
        <row r="118">
          <cell r="B118" t="str">
            <v>5.5 (1)</v>
          </cell>
          <cell r="D118" t="str">
            <v>Lapis Beton Semen Pondasi Bawah  (Cement  Treated Sub Base (CTSB)</v>
          </cell>
          <cell r="F118" t="str">
            <v>M3</v>
          </cell>
          <cell r="H118">
            <v>0</v>
          </cell>
          <cell r="I118">
            <v>0</v>
          </cell>
        </row>
        <row r="120">
          <cell r="B120" t="str">
            <v>5.6 (1)</v>
          </cell>
          <cell r="D120" t="str">
            <v>Lapis Pondasi Agregat dengan Cement Treated Base  (CTB)</v>
          </cell>
          <cell r="F120" t="str">
            <v>M3</v>
          </cell>
          <cell r="H120">
            <v>0</v>
          </cell>
          <cell r="I120">
            <v>0</v>
          </cell>
        </row>
        <row r="121">
          <cell r="I121">
            <v>0</v>
          </cell>
        </row>
        <row r="122">
          <cell r="I122">
            <v>0</v>
          </cell>
        </row>
        <row r="125">
          <cell r="C125" t="str">
            <v>Jumlah Harga Pekerjaan DIVISI 5  (masuk pada Rekapitulasi Perkiraan Harga Pekerjaan)</v>
          </cell>
          <cell r="I125">
            <v>0</v>
          </cell>
        </row>
        <row r="129">
          <cell r="D129" t="str">
            <v>DIVISI  6.  PERKERASAN  ASPAL</v>
          </cell>
        </row>
        <row r="131">
          <cell r="B131" t="str">
            <v>6.1 (1)</v>
          </cell>
          <cell r="D131" t="str">
            <v>Lapis Resap Pengikat</v>
          </cell>
          <cell r="F131" t="str">
            <v>Liter</v>
          </cell>
          <cell r="G131">
            <v>9360</v>
          </cell>
          <cell r="H131">
            <v>0</v>
          </cell>
          <cell r="I131">
            <v>0</v>
          </cell>
        </row>
        <row r="132">
          <cell r="B132" t="str">
            <v>6.1 (2)</v>
          </cell>
          <cell r="D132" t="str">
            <v>Lapis Perekat</v>
          </cell>
          <cell r="F132" t="str">
            <v>Liter</v>
          </cell>
          <cell r="H132">
            <v>0</v>
          </cell>
          <cell r="I132">
            <v>0</v>
          </cell>
        </row>
        <row r="134">
          <cell r="B134" t="str">
            <v>6.2 (1)</v>
          </cell>
          <cell r="D134" t="str">
            <v>Agregat Penutup BURTU</v>
          </cell>
          <cell r="F134" t="str">
            <v>M2</v>
          </cell>
          <cell r="H134">
            <v>0</v>
          </cell>
          <cell r="I134">
            <v>0</v>
          </cell>
        </row>
        <row r="135">
          <cell r="B135" t="str">
            <v>6.2 (2)</v>
          </cell>
          <cell r="D135" t="str">
            <v>Agregat Penutup BURDA</v>
          </cell>
          <cell r="F135" t="str">
            <v>M2</v>
          </cell>
          <cell r="H135">
            <v>0</v>
          </cell>
          <cell r="I135">
            <v>0</v>
          </cell>
        </row>
        <row r="136">
          <cell r="B136" t="str">
            <v>6.2 (3)</v>
          </cell>
          <cell r="D136" t="str">
            <v>Bahan Aspal untuk Pekerjaan Pelaburan</v>
          </cell>
          <cell r="F136" t="str">
            <v>Liter</v>
          </cell>
          <cell r="H136">
            <v>0</v>
          </cell>
          <cell r="I136">
            <v>0</v>
          </cell>
        </row>
        <row r="138">
          <cell r="B138" t="str">
            <v>6.3 (1)</v>
          </cell>
          <cell r="D138" t="str">
            <v>LATASIR Kelas A (SS-A)</v>
          </cell>
          <cell r="F138" t="str">
            <v>M2</v>
          </cell>
          <cell r="H138">
            <v>0</v>
          </cell>
          <cell r="I138">
            <v>0</v>
          </cell>
        </row>
        <row r="139">
          <cell r="B139" t="str">
            <v>6.3 (2)</v>
          </cell>
          <cell r="D139" t="str">
            <v>LATASIR Kelas B (SS-B)</v>
          </cell>
          <cell r="F139" t="str">
            <v>M2</v>
          </cell>
          <cell r="H139">
            <v>0</v>
          </cell>
          <cell r="I139">
            <v>0</v>
          </cell>
        </row>
        <row r="140">
          <cell r="B140" t="str">
            <v>6.3 (3)</v>
          </cell>
          <cell r="D140" t="str">
            <v>LATASTON Lapis Aus (HRS - WC)</v>
          </cell>
          <cell r="F140" t="str">
            <v>M2</v>
          </cell>
          <cell r="H140">
            <v>0</v>
          </cell>
          <cell r="I140">
            <v>0</v>
          </cell>
        </row>
        <row r="141">
          <cell r="B141" t="str">
            <v>6.3 (3a)</v>
          </cell>
          <cell r="D141" t="str">
            <v xml:space="preserve">LATASTON Lapis Aus (HRS - WC)  Levelling </v>
          </cell>
          <cell r="F141" t="str">
            <v>Ton</v>
          </cell>
          <cell r="H141">
            <v>0</v>
          </cell>
          <cell r="I141">
            <v>0</v>
          </cell>
        </row>
        <row r="143">
          <cell r="B143" t="str">
            <v>6.3 (4)</v>
          </cell>
          <cell r="D143" t="str">
            <v>LATASTON Lapis Pondasi (HRS -Base)</v>
          </cell>
          <cell r="F143" t="str">
            <v>M3</v>
          </cell>
          <cell r="G143">
            <v>0</v>
          </cell>
          <cell r="H143">
            <v>0</v>
          </cell>
          <cell r="I143">
            <v>0</v>
          </cell>
        </row>
        <row r="144">
          <cell r="B144" t="str">
            <v>6.3 (4a)</v>
          </cell>
          <cell r="D144" t="str">
            <v xml:space="preserve">LATASTON Lapis Pondasi (HRS -Base)  Levelling </v>
          </cell>
          <cell r="F144" t="str">
            <v>Ton</v>
          </cell>
          <cell r="H144">
            <v>0</v>
          </cell>
          <cell r="I144">
            <v>0</v>
          </cell>
        </row>
        <row r="146">
          <cell r="B146" t="str">
            <v>6.3 (5a)</v>
          </cell>
          <cell r="D146" t="str">
            <v>LASTON Lapis Aus (AC-WC)</v>
          </cell>
          <cell r="F146" t="str">
            <v>M2</v>
          </cell>
          <cell r="H146">
            <v>0</v>
          </cell>
          <cell r="I146">
            <v>0</v>
          </cell>
        </row>
        <row r="147">
          <cell r="B147" t="str">
            <v>6.3 (5b)</v>
          </cell>
          <cell r="D147" t="str">
            <v>LASTON Lapis Aus (AC-WC) Modifikasi</v>
          </cell>
          <cell r="F147" t="str">
            <v>M2</v>
          </cell>
          <cell r="I147">
            <v>0</v>
          </cell>
        </row>
        <row r="148">
          <cell r="B148" t="str">
            <v>6.3 (5c)</v>
          </cell>
          <cell r="D148" t="str">
            <v>LASTON Lapis Aus (AC-WC) Levelling</v>
          </cell>
          <cell r="F148" t="str">
            <v>Ton</v>
          </cell>
          <cell r="I148">
            <v>0</v>
          </cell>
        </row>
        <row r="149">
          <cell r="B149" t="str">
            <v>6.3 (5d)</v>
          </cell>
          <cell r="D149" t="str">
            <v xml:space="preserve">LASTON Lapis Aus (AC-WC)  Modifikasi Levelling  </v>
          </cell>
          <cell r="F149" t="str">
            <v>Ton</v>
          </cell>
          <cell r="I149">
            <v>0</v>
          </cell>
        </row>
        <row r="151">
          <cell r="B151" t="str">
            <v>6.3 (6a)</v>
          </cell>
          <cell r="D151" t="str">
            <v>LASTON Lapis Antara (AC-BC)</v>
          </cell>
          <cell r="F151" t="str">
            <v>M3</v>
          </cell>
          <cell r="H151">
            <v>0</v>
          </cell>
          <cell r="I151">
            <v>0</v>
          </cell>
        </row>
        <row r="152">
          <cell r="B152" t="str">
            <v>6.3 (6b)</v>
          </cell>
          <cell r="D152" t="str">
            <v xml:space="preserve">LASTON Lapis Antara (AC-BC)  Modifikasi </v>
          </cell>
          <cell r="F152" t="str">
            <v>M3</v>
          </cell>
          <cell r="I152">
            <v>0</v>
          </cell>
        </row>
        <row r="153">
          <cell r="B153" t="str">
            <v>6.3 (6c)</v>
          </cell>
          <cell r="D153" t="str">
            <v>LASTON Lapis Antara  (AC-BC) Levelling</v>
          </cell>
          <cell r="F153" t="str">
            <v>Ton</v>
          </cell>
          <cell r="H153">
            <v>0</v>
          </cell>
          <cell r="I153">
            <v>0</v>
          </cell>
        </row>
        <row r="154">
          <cell r="B154" t="str">
            <v>6.3 (6d)</v>
          </cell>
          <cell r="D154" t="str">
            <v>LASTON Lapis Antara  (AC-BC) Modifikasi Levelling</v>
          </cell>
          <cell r="F154" t="str">
            <v>Ton</v>
          </cell>
          <cell r="I154">
            <v>0</v>
          </cell>
        </row>
        <row r="155">
          <cell r="I155">
            <v>0</v>
          </cell>
        </row>
        <row r="156">
          <cell r="B156" t="str">
            <v>6.3 (7a)</v>
          </cell>
          <cell r="D156" t="str">
            <v>LASTON Lapis Pondasi (AC-Base)</v>
          </cell>
          <cell r="F156" t="str">
            <v>M3</v>
          </cell>
          <cell r="H156">
            <v>0</v>
          </cell>
          <cell r="I156">
            <v>0</v>
          </cell>
        </row>
        <row r="157">
          <cell r="B157" t="str">
            <v>6.3 (7b)</v>
          </cell>
          <cell r="D157" t="str">
            <v>LASTON Lapis Pondasi (AC-Base) Modofikasi</v>
          </cell>
          <cell r="F157" t="str">
            <v>M3</v>
          </cell>
          <cell r="I157">
            <v>0</v>
          </cell>
        </row>
        <row r="158">
          <cell r="B158" t="str">
            <v>6.3 (7c)</v>
          </cell>
          <cell r="D158" t="str">
            <v>LASTON Lapis Pondasi (AC-Base) Levelling</v>
          </cell>
          <cell r="F158" t="str">
            <v>Ton</v>
          </cell>
          <cell r="I158">
            <v>0</v>
          </cell>
        </row>
        <row r="159">
          <cell r="B159" t="str">
            <v>6.3 (7d)</v>
          </cell>
          <cell r="D159" t="str">
            <v>LASTON Lapis Pondasi (AC-Base) Modifikasi Levelling</v>
          </cell>
          <cell r="F159" t="str">
            <v>Ton</v>
          </cell>
          <cell r="I159">
            <v>0</v>
          </cell>
        </row>
        <row r="161">
          <cell r="B161" t="str">
            <v>6.4 (1)</v>
          </cell>
          <cell r="D161" t="str">
            <v>LASBUTAG</v>
          </cell>
          <cell r="F161" t="str">
            <v>M2</v>
          </cell>
          <cell r="H161">
            <v>9676.5449682460385</v>
          </cell>
          <cell r="I161">
            <v>0</v>
          </cell>
        </row>
        <row r="162">
          <cell r="B162" t="str">
            <v>6.4 (2)</v>
          </cell>
          <cell r="D162" t="str">
            <v>LATASBUSIR Kelas A</v>
          </cell>
          <cell r="F162" t="str">
            <v>M2</v>
          </cell>
          <cell r="H162">
            <v>4300.4900720762134</v>
          </cell>
          <cell r="I162">
            <v>0</v>
          </cell>
        </row>
        <row r="163">
          <cell r="B163" t="str">
            <v>6.4 (3)</v>
          </cell>
          <cell r="D163" t="str">
            <v>LATASBUSIR Kelas B</v>
          </cell>
          <cell r="F163" t="str">
            <v>M2</v>
          </cell>
          <cell r="H163">
            <v>5596.4520936028548</v>
          </cell>
          <cell r="I163">
            <v>0</v>
          </cell>
        </row>
        <row r="164">
          <cell r="B164" t="str">
            <v>6.4 (4)</v>
          </cell>
          <cell r="D164" t="str">
            <v>Bitumen ASBUTON</v>
          </cell>
          <cell r="F164" t="str">
            <v>Ton</v>
          </cell>
          <cell r="H164">
            <v>0</v>
          </cell>
          <cell r="I164">
            <v>0</v>
          </cell>
        </row>
        <row r="165">
          <cell r="B165" t="str">
            <v>6.4 (5)</v>
          </cell>
          <cell r="D165" t="str">
            <v>Bitumen Bahan Peremaja</v>
          </cell>
          <cell r="F165" t="str">
            <v>Ton</v>
          </cell>
          <cell r="H165">
            <v>4448730.1265079668</v>
          </cell>
          <cell r="I165">
            <v>0</v>
          </cell>
        </row>
        <row r="166">
          <cell r="B166" t="str">
            <v>6.4 (6)</v>
          </cell>
          <cell r="D166" t="str">
            <v>Bitumen Anti Pengelupasan (Anti Stripping Agent)</v>
          </cell>
          <cell r="F166" t="str">
            <v>Liter</v>
          </cell>
          <cell r="I166">
            <v>0</v>
          </cell>
        </row>
        <row r="168">
          <cell r="B168" t="str">
            <v>6.5. (1)</v>
          </cell>
          <cell r="D168" t="str">
            <v>Campuran Beraspal dingin untuk pekerjaan pelapisan</v>
          </cell>
          <cell r="F168" t="str">
            <v>M3</v>
          </cell>
          <cell r="H168">
            <v>0</v>
          </cell>
          <cell r="I168">
            <v>0</v>
          </cell>
        </row>
        <row r="170">
          <cell r="B170">
            <v>6.6</v>
          </cell>
          <cell r="D170" t="str">
            <v>Lapis Perata Penetrasi Macadam</v>
          </cell>
          <cell r="F170" t="str">
            <v>M3</v>
          </cell>
          <cell r="G170">
            <v>585</v>
          </cell>
          <cell r="H170">
            <v>0</v>
          </cell>
          <cell r="I170">
            <v>0</v>
          </cell>
        </row>
        <row r="174">
          <cell r="C174" t="str">
            <v>Jumlah Harga Pekerjaan DIVISI 6  (masuk pada Rekapitulasi Perkiraan Harga Pekerjaan)</v>
          </cell>
          <cell r="I174">
            <v>0</v>
          </cell>
        </row>
        <row r="178">
          <cell r="D178" t="str">
            <v>DIVISI  7.  STRUKTUR</v>
          </cell>
        </row>
        <row r="181">
          <cell r="B181" t="str">
            <v>7.1 (1)</v>
          </cell>
          <cell r="D181" t="str">
            <v>Beton  K 500</v>
          </cell>
          <cell r="F181" t="str">
            <v>M3</v>
          </cell>
          <cell r="H181">
            <v>1167182.9374634677</v>
          </cell>
          <cell r="I181">
            <v>0</v>
          </cell>
        </row>
        <row r="182">
          <cell r="B182" t="str">
            <v>7.1 (2)</v>
          </cell>
          <cell r="D182" t="str">
            <v>Beton  K 400</v>
          </cell>
          <cell r="F182" t="str">
            <v>M3</v>
          </cell>
          <cell r="H182">
            <v>0</v>
          </cell>
          <cell r="I182">
            <v>0</v>
          </cell>
        </row>
        <row r="183">
          <cell r="B183" t="str">
            <v>7.1 (3)</v>
          </cell>
          <cell r="D183" t="str">
            <v>Beton  K 350</v>
          </cell>
          <cell r="F183" t="str">
            <v>M3</v>
          </cell>
          <cell r="H183">
            <v>0</v>
          </cell>
          <cell r="I183">
            <v>0</v>
          </cell>
        </row>
        <row r="184">
          <cell r="B184" t="str">
            <v>7.1 (4)</v>
          </cell>
          <cell r="D184" t="str">
            <v>Beton  K 300</v>
          </cell>
          <cell r="F184" t="str">
            <v>M3</v>
          </cell>
          <cell r="G184">
            <v>97.98</v>
          </cell>
          <cell r="H184">
            <v>982974.7346771959</v>
          </cell>
          <cell r="I184">
            <v>96311864.503671661</v>
          </cell>
        </row>
        <row r="185">
          <cell r="B185" t="str">
            <v>7.1 (5)</v>
          </cell>
          <cell r="D185" t="str">
            <v>Beton  K 250</v>
          </cell>
          <cell r="F185" t="str">
            <v>M3</v>
          </cell>
          <cell r="G185">
            <v>0</v>
          </cell>
          <cell r="H185">
            <v>0</v>
          </cell>
          <cell r="I185">
            <v>0</v>
          </cell>
        </row>
        <row r="186">
          <cell r="B186" t="str">
            <v>7.1 (6)</v>
          </cell>
          <cell r="D186" t="str">
            <v>Beton  K 175</v>
          </cell>
          <cell r="F186" t="str">
            <v>M3</v>
          </cell>
          <cell r="G186">
            <v>10.52</v>
          </cell>
          <cell r="H186">
            <v>0</v>
          </cell>
          <cell r="I186">
            <v>0</v>
          </cell>
        </row>
        <row r="187">
          <cell r="B187" t="str">
            <v>7.1 (7)</v>
          </cell>
          <cell r="D187" t="str">
            <v>Beton  Siklop K 175</v>
          </cell>
          <cell r="F187" t="str">
            <v>M3</v>
          </cell>
          <cell r="H187">
            <v>0</v>
          </cell>
          <cell r="I187">
            <v>0</v>
          </cell>
        </row>
        <row r="188">
          <cell r="B188" t="str">
            <v>7.1 (8)</v>
          </cell>
          <cell r="D188" t="str">
            <v>Beton  K 125</v>
          </cell>
          <cell r="F188" t="str">
            <v>M3</v>
          </cell>
          <cell r="G188">
            <v>0</v>
          </cell>
          <cell r="H188">
            <v>0</v>
          </cell>
          <cell r="I188">
            <v>0</v>
          </cell>
        </row>
        <row r="190">
          <cell r="B190" t="str">
            <v xml:space="preserve">7.2 (1) </v>
          </cell>
          <cell r="D190" t="str">
            <v>Unit Pracetak Gelagar Tipe I Bentang 16  M</v>
          </cell>
          <cell r="F190" t="str">
            <v>Buah</v>
          </cell>
          <cell r="H190">
            <v>37287863.222872831</v>
          </cell>
          <cell r="I190">
            <v>0</v>
          </cell>
        </row>
        <row r="191">
          <cell r="B191" t="str">
            <v xml:space="preserve">7.2 (2) </v>
          </cell>
          <cell r="D191" t="str">
            <v>Unit Pracetak Gelagar Tipe I Bentang 20  M</v>
          </cell>
          <cell r="F191" t="str">
            <v>Buah</v>
          </cell>
          <cell r="H191">
            <v>37287863.222872831</v>
          </cell>
          <cell r="I191">
            <v>0</v>
          </cell>
        </row>
        <row r="192">
          <cell r="B192" t="str">
            <v xml:space="preserve">7.2 (3) </v>
          </cell>
          <cell r="D192" t="str">
            <v>Unit Pracetak Gelagar Tipe I Bentang 22  M</v>
          </cell>
          <cell r="F192" t="str">
            <v>Buah</v>
          </cell>
          <cell r="I192">
            <v>0</v>
          </cell>
        </row>
        <row r="193">
          <cell r="B193" t="str">
            <v xml:space="preserve">7.2 (4) </v>
          </cell>
          <cell r="D193" t="str">
            <v>Unit Pracetak Gelagar Tipe I Bentang 25  M</v>
          </cell>
          <cell r="F193" t="str">
            <v>Buah</v>
          </cell>
          <cell r="I193">
            <v>0</v>
          </cell>
        </row>
        <row r="194">
          <cell r="B194" t="str">
            <v xml:space="preserve">7.2 (5) </v>
          </cell>
          <cell r="D194" t="str">
            <v>Unit Pracetak Gelagar Tipe I Bentang 28  M</v>
          </cell>
          <cell r="F194" t="str">
            <v>Buah</v>
          </cell>
          <cell r="I194">
            <v>0</v>
          </cell>
        </row>
        <row r="195">
          <cell r="B195" t="str">
            <v xml:space="preserve">7.2 (6) </v>
          </cell>
          <cell r="D195" t="str">
            <v>Unit Pracetak Gelagar Tipe I Bentang 30  M</v>
          </cell>
          <cell r="F195" t="str">
            <v>Buah</v>
          </cell>
          <cell r="I195">
            <v>0</v>
          </cell>
        </row>
        <row r="196">
          <cell r="B196" t="str">
            <v xml:space="preserve">7.2 (7) </v>
          </cell>
          <cell r="D196" t="str">
            <v>Unit Pracetak Gelagar Tipe I Bentang 31  M</v>
          </cell>
          <cell r="F196" t="str">
            <v>Buah</v>
          </cell>
          <cell r="I196">
            <v>0</v>
          </cell>
        </row>
        <row r="197">
          <cell r="B197" t="str">
            <v xml:space="preserve">7.2 (8) </v>
          </cell>
          <cell r="D197" t="str">
            <v>Unit Pracetak Gelagar Tipe I Bentang 35  M</v>
          </cell>
          <cell r="F197" t="str">
            <v>Buah</v>
          </cell>
          <cell r="I197">
            <v>0</v>
          </cell>
        </row>
        <row r="198">
          <cell r="B198" t="str">
            <v>7.2 (9)</v>
          </cell>
          <cell r="D198" t="str">
            <v>Baja Prategang</v>
          </cell>
          <cell r="F198" t="str">
            <v>Kg</v>
          </cell>
          <cell r="I198">
            <v>0</v>
          </cell>
        </row>
        <row r="199">
          <cell r="B199" t="str">
            <v>7.2 (10)</v>
          </cell>
          <cell r="D199" t="str">
            <v>Plat  Berongga  (Hollow Slab) Pracetak Bentang 21 M</v>
          </cell>
          <cell r="F199" t="str">
            <v>Buah</v>
          </cell>
          <cell r="I199">
            <v>0</v>
          </cell>
        </row>
        <row r="200">
          <cell r="B200" t="str">
            <v xml:space="preserve">7.2 (11) </v>
          </cell>
          <cell r="D200" t="str">
            <v>Beton  Diafraggma K 350  termasuk pekerjaan penegangan</v>
          </cell>
          <cell r="F200" t="str">
            <v>M3</v>
          </cell>
          <cell r="I200">
            <v>0</v>
          </cell>
        </row>
        <row r="201">
          <cell r="D201" t="str">
            <v>Setelah  Pengecoran (Post - tension)</v>
          </cell>
        </row>
        <row r="203">
          <cell r="B203" t="str">
            <v>7.3 (1)</v>
          </cell>
          <cell r="D203" t="str">
            <v>Baja Tulangan U 24 Polos</v>
          </cell>
          <cell r="F203" t="str">
            <v>Kg</v>
          </cell>
          <cell r="G203">
            <v>16542.07</v>
          </cell>
          <cell r="H203">
            <v>13460.810000000001</v>
          </cell>
          <cell r="I203">
            <v>222669661.27670002</v>
          </cell>
        </row>
        <row r="204">
          <cell r="B204" t="str">
            <v>7.3 (2)</v>
          </cell>
          <cell r="D204" t="str">
            <v>Baja Tulangan U 32 Polos</v>
          </cell>
          <cell r="F204" t="str">
            <v>Kg</v>
          </cell>
          <cell r="H204">
            <v>1576.3</v>
          </cell>
          <cell r="I204">
            <v>0</v>
          </cell>
        </row>
        <row r="205">
          <cell r="B205" t="str">
            <v>7.3 (3)</v>
          </cell>
          <cell r="D205" t="str">
            <v>Baja Tulangan U 32 Ulir</v>
          </cell>
          <cell r="F205" t="str">
            <v>Kg</v>
          </cell>
          <cell r="H205">
            <v>18059.8</v>
          </cell>
          <cell r="I205">
            <v>0</v>
          </cell>
        </row>
        <row r="206">
          <cell r="B206" t="str">
            <v>7.3 (4)</v>
          </cell>
          <cell r="D206" t="str">
            <v>Baja Tulangan U 39 Ulir</v>
          </cell>
          <cell r="F206" t="str">
            <v>Kg</v>
          </cell>
          <cell r="H206">
            <v>6746.3</v>
          </cell>
          <cell r="I206">
            <v>0</v>
          </cell>
        </row>
        <row r="207">
          <cell r="B207" t="str">
            <v>7.3 (5)</v>
          </cell>
          <cell r="D207" t="str">
            <v>Baja Tulangan U 48 Ulir</v>
          </cell>
          <cell r="F207" t="str">
            <v>Kg</v>
          </cell>
          <cell r="H207">
            <v>7351.3</v>
          </cell>
          <cell r="I207">
            <v>0</v>
          </cell>
        </row>
        <row r="208">
          <cell r="B208" t="str">
            <v>7.3 (6)</v>
          </cell>
          <cell r="D208" t="str">
            <v>Anyaman kawat yang dilas (welded wire mesh)</v>
          </cell>
          <cell r="F208" t="str">
            <v>Kg</v>
          </cell>
          <cell r="I208">
            <v>0</v>
          </cell>
        </row>
        <row r="210">
          <cell r="B210" t="str">
            <v>7.4 (1)</v>
          </cell>
          <cell r="D210" t="str">
            <v>Baja Struktur Titik Leleh 2500 Kg/Cm2, Penyediaan dan Pemasangan</v>
          </cell>
          <cell r="F210" t="str">
            <v>Kg</v>
          </cell>
          <cell r="I210">
            <v>0</v>
          </cell>
        </row>
        <row r="211">
          <cell r="B211" t="str">
            <v>7.4 (2)</v>
          </cell>
          <cell r="D211" t="str">
            <v>Baja Struktur Titik Leleh 2800 Kg/Cm2, Penyediaan dan Pemasangan</v>
          </cell>
          <cell r="F211" t="str">
            <v>Kg</v>
          </cell>
          <cell r="I211">
            <v>0</v>
          </cell>
        </row>
        <row r="212">
          <cell r="B212" t="str">
            <v>7.4 (3)</v>
          </cell>
          <cell r="D212" t="str">
            <v>Baja Struktur Titik Leleh 3500 Kg/Cm2, Penyediaan dan Pemasangan</v>
          </cell>
          <cell r="F212" t="str">
            <v>Kg</v>
          </cell>
          <cell r="I212">
            <v>0</v>
          </cell>
        </row>
        <row r="215">
          <cell r="J215" t="str">
            <v xml:space="preserve">DIVISI 7 berlanjut ke halaman berikut.  </v>
          </cell>
        </row>
        <row r="219">
          <cell r="B219" t="str">
            <v>7.5 (1)</v>
          </cell>
          <cell r="D219" t="str">
            <v>Pemasangan  Jembatan  Rangka  Baja</v>
          </cell>
          <cell r="F219" t="str">
            <v>Kg</v>
          </cell>
          <cell r="H219">
            <v>0</v>
          </cell>
          <cell r="I219">
            <v>0</v>
          </cell>
        </row>
        <row r="220">
          <cell r="B220" t="str">
            <v>7.5 (2)</v>
          </cell>
          <cell r="D220" t="str">
            <v>Pengangkutan Bahan Jembatan</v>
          </cell>
          <cell r="F220" t="str">
            <v>Kg</v>
          </cell>
          <cell r="H220">
            <v>0</v>
          </cell>
          <cell r="I220">
            <v>0</v>
          </cell>
        </row>
        <row r="222">
          <cell r="B222" t="str">
            <v>7.6 (1)</v>
          </cell>
          <cell r="D222" t="str">
            <v>Pondasi Cerucuk, Penyediaan  dan Pemancangan</v>
          </cell>
          <cell r="F222" t="str">
            <v>M1</v>
          </cell>
          <cell r="I222">
            <v>0</v>
          </cell>
        </row>
        <row r="223">
          <cell r="B223" t="str">
            <v>7.6 (2)</v>
          </cell>
          <cell r="D223" t="str">
            <v>Dinding  Turap Kayu  Tanpa Pengawetan</v>
          </cell>
          <cell r="F223" t="str">
            <v>M2</v>
          </cell>
          <cell r="I223">
            <v>0</v>
          </cell>
        </row>
        <row r="224">
          <cell r="B224" t="str">
            <v>7.6 (3)</v>
          </cell>
          <cell r="D224" t="str">
            <v>Dinding  Turap Kayu  Dengan  Pengawetan</v>
          </cell>
          <cell r="F224" t="str">
            <v>M2</v>
          </cell>
          <cell r="I224">
            <v>0</v>
          </cell>
        </row>
        <row r="225">
          <cell r="B225" t="str">
            <v>7.6 (4)</v>
          </cell>
          <cell r="D225" t="str">
            <v>Dinding  Turap Baja</v>
          </cell>
          <cell r="F225" t="str">
            <v>M2</v>
          </cell>
          <cell r="H225">
            <v>0</v>
          </cell>
          <cell r="I225">
            <v>0</v>
          </cell>
        </row>
        <row r="226">
          <cell r="B226" t="str">
            <v xml:space="preserve">7.6 (5) </v>
          </cell>
          <cell r="D226" t="str">
            <v>Dinding  Turap Beton</v>
          </cell>
          <cell r="F226" t="str">
            <v>M2</v>
          </cell>
          <cell r="H226">
            <v>0</v>
          </cell>
          <cell r="I226">
            <v>0</v>
          </cell>
        </row>
        <row r="227">
          <cell r="B227" t="str">
            <v xml:space="preserve">7.6 (6) </v>
          </cell>
          <cell r="D227" t="str">
            <v xml:space="preserve">Penyediaan Tiang Pancang  Kayu  Tanpa  Pengawetan </v>
          </cell>
          <cell r="F227" t="str">
            <v>M3</v>
          </cell>
        </row>
        <row r="228">
          <cell r="B228" t="str">
            <v xml:space="preserve">7.6 (7) </v>
          </cell>
          <cell r="D228" t="str">
            <v xml:space="preserve">Penyediaan Tiang Pancang  Kayu  Dengan  Pengawetan </v>
          </cell>
          <cell r="F228" t="str">
            <v>M3</v>
          </cell>
        </row>
        <row r="229">
          <cell r="B229" t="str">
            <v xml:space="preserve">7.6 (8) </v>
          </cell>
          <cell r="D229" t="str">
            <v>Penyediaan Tiang Pancang  Baja</v>
          </cell>
          <cell r="F229" t="str">
            <v>Kg</v>
          </cell>
        </row>
        <row r="230">
          <cell r="B230" t="str">
            <v xml:space="preserve">7.6 (9) </v>
          </cell>
          <cell r="D230" t="str">
            <v>Penyediaan Tiang Pancang  Beton  Bertulang  Pracetak</v>
          </cell>
          <cell r="F230" t="str">
            <v>M3</v>
          </cell>
        </row>
        <row r="231">
          <cell r="B231" t="str">
            <v xml:space="preserve">7.6 (10) </v>
          </cell>
          <cell r="D231" t="str">
            <v>Penyediaan Tiang Pancang  Beton Pratekan Pracetak</v>
          </cell>
          <cell r="F231" t="str">
            <v>M3</v>
          </cell>
          <cell r="H231">
            <v>0</v>
          </cell>
          <cell r="I231">
            <v>0</v>
          </cell>
        </row>
        <row r="232">
          <cell r="B232" t="str">
            <v xml:space="preserve">7.6 (11) </v>
          </cell>
          <cell r="D232" t="str">
            <v>Pemancangan  Tiang  Pancang  Kayu</v>
          </cell>
          <cell r="F232" t="str">
            <v>M1</v>
          </cell>
          <cell r="I232">
            <v>0</v>
          </cell>
        </row>
        <row r="233">
          <cell r="B233" t="str">
            <v xml:space="preserve">7.6 (12) </v>
          </cell>
          <cell r="D233" t="str">
            <v>Pemancangan  Tiang  Pancang  Pipa Baja Diameter 400 mm</v>
          </cell>
          <cell r="F233" t="str">
            <v>M1</v>
          </cell>
          <cell r="H233">
            <v>0</v>
          </cell>
          <cell r="I233">
            <v>0</v>
          </cell>
        </row>
        <row r="234">
          <cell r="B234" t="str">
            <v xml:space="preserve">7.6 (13) </v>
          </cell>
          <cell r="D234" t="str">
            <v>Pemancangan  Tiang  Pancang  Pipa Baja Diameter 500 mm</v>
          </cell>
          <cell r="F234" t="str">
            <v>M1</v>
          </cell>
          <cell r="H234">
            <v>0</v>
          </cell>
          <cell r="I234">
            <v>0</v>
          </cell>
        </row>
        <row r="235">
          <cell r="B235" t="str">
            <v xml:space="preserve">7.6 (14) </v>
          </cell>
          <cell r="D235" t="str">
            <v>Pemancangan  Tiang  Pancang  Pipa Baja Diameter 600 mm</v>
          </cell>
          <cell r="F235" t="str">
            <v>M1</v>
          </cell>
          <cell r="H235">
            <v>0</v>
          </cell>
          <cell r="I235">
            <v>0</v>
          </cell>
        </row>
        <row r="236">
          <cell r="B236" t="str">
            <v xml:space="preserve">7.6 (15) </v>
          </cell>
          <cell r="D236" t="str">
            <v>Pemancangan  Tiang  Pancang  Beton Pracetak : 30 cm x 30 cm atau</v>
          </cell>
          <cell r="F236" t="str">
            <v>M1</v>
          </cell>
        </row>
        <row r="237">
          <cell r="D237" t="str">
            <v>diameter  300  mm</v>
          </cell>
        </row>
        <row r="238">
          <cell r="B238" t="str">
            <v xml:space="preserve">7.6 (16) </v>
          </cell>
          <cell r="D238" t="str">
            <v>Pemancangan  Tiang  Pancang  Beton Pracetak : 40 cm x 40 cm atau</v>
          </cell>
          <cell r="F238" t="str">
            <v>M1</v>
          </cell>
        </row>
        <row r="239">
          <cell r="D239" t="str">
            <v>diameter  400  mm</v>
          </cell>
        </row>
        <row r="240">
          <cell r="B240" t="str">
            <v xml:space="preserve">7.6 (17) </v>
          </cell>
          <cell r="D240" t="str">
            <v>Pemancangan  Tiang  Pancang  Beton Pracetak : 50 cm x 50 cm atau</v>
          </cell>
          <cell r="F240" t="str">
            <v>M1</v>
          </cell>
        </row>
        <row r="241">
          <cell r="D241" t="str">
            <v>diameter  500  mm</v>
          </cell>
        </row>
        <row r="242">
          <cell r="B242" t="str">
            <v>7.6 (18)</v>
          </cell>
          <cell r="D242" t="str">
            <v>Tiang  Bor  Beton, diameter  600  mm</v>
          </cell>
          <cell r="F242" t="str">
            <v>M1</v>
          </cell>
        </row>
        <row r="243">
          <cell r="B243" t="str">
            <v>7.6 (19)</v>
          </cell>
          <cell r="D243" t="str">
            <v>Tiang  Bor  Beton, diameter  800  mm</v>
          </cell>
          <cell r="F243" t="str">
            <v>M1</v>
          </cell>
        </row>
        <row r="244">
          <cell r="B244" t="str">
            <v>7.6 (20)</v>
          </cell>
          <cell r="D244" t="str">
            <v>Tiang  Bor  Beton, diameter  1000  mm</v>
          </cell>
          <cell r="F244" t="str">
            <v>M1</v>
          </cell>
        </row>
        <row r="245">
          <cell r="B245" t="str">
            <v>7.6 (21)</v>
          </cell>
          <cell r="D245" t="str">
            <v>Tiang  Bor  Beton, diameter  1200  mm</v>
          </cell>
          <cell r="F245" t="str">
            <v>M1</v>
          </cell>
        </row>
        <row r="246">
          <cell r="B246" t="str">
            <v>7.6 (22)</v>
          </cell>
          <cell r="D246" t="str">
            <v>Tiang  Bor  Beton, diameter  1500  mm</v>
          </cell>
          <cell r="F246" t="str">
            <v>M1</v>
          </cell>
        </row>
        <row r="247">
          <cell r="B247" t="str">
            <v>7.6 (23)</v>
          </cell>
          <cell r="D247" t="str">
            <v>Tambahan  Biaya untuk Nomor Mata Pembayaran 7.6.(11) s/d 7.6.(17)</v>
          </cell>
          <cell r="F247" t="str">
            <v>M1</v>
          </cell>
          <cell r="I247">
            <v>0</v>
          </cell>
        </row>
        <row r="248">
          <cell r="D248" t="str">
            <v>bila Tiang Pancanga Beton dikerjakan di tempat yang berair</v>
          </cell>
        </row>
        <row r="249">
          <cell r="B249" t="str">
            <v>7.6 (24)</v>
          </cell>
          <cell r="D249" t="str">
            <v>Tambahan  Biaya untuk Nomor Mata Pembayaran 7.6.(18) s/d 7.6.(22)</v>
          </cell>
          <cell r="F249" t="str">
            <v>M1</v>
          </cell>
          <cell r="I249">
            <v>0</v>
          </cell>
        </row>
        <row r="250">
          <cell r="D250" t="str">
            <v>bila Tiang Pancanga Bor Beton dikerjakan di tempat yang berair</v>
          </cell>
        </row>
        <row r="251">
          <cell r="B251" t="str">
            <v>7.6 (25)</v>
          </cell>
          <cell r="D251" t="str">
            <v>Pengujian  Pembebanan  Pada  Tiang  Dengan  Diameter sampai  600 mm</v>
          </cell>
          <cell r="F251" t="str">
            <v>Bh</v>
          </cell>
          <cell r="I251">
            <v>0</v>
          </cell>
        </row>
        <row r="252">
          <cell r="B252" t="str">
            <v>7.6 (26)</v>
          </cell>
          <cell r="D252" t="str">
            <v>Pengujian  Pembebanan  Pada  Tiang  Dengan  Diameter diatas 600 mm</v>
          </cell>
          <cell r="F252" t="str">
            <v>Bh</v>
          </cell>
          <cell r="I252">
            <v>0</v>
          </cell>
        </row>
        <row r="253">
          <cell r="B253" t="str">
            <v xml:space="preserve"> </v>
          </cell>
        </row>
        <row r="254">
          <cell r="B254" t="str">
            <v xml:space="preserve">7.7 (1) </v>
          </cell>
          <cell r="D254" t="str">
            <v>Penyediaan  Dinding Sumuran Silinder, Diameter  250 cm</v>
          </cell>
          <cell r="F254" t="str">
            <v>M1</v>
          </cell>
          <cell r="I254">
            <v>0</v>
          </cell>
        </row>
        <row r="255">
          <cell r="B255" t="str">
            <v xml:space="preserve">7.7 (2) </v>
          </cell>
          <cell r="D255" t="str">
            <v>Penyediaan  Dinding Sumuran Silinder, Diameter  300 cm</v>
          </cell>
          <cell r="F255" t="str">
            <v>M1</v>
          </cell>
        </row>
        <row r="256">
          <cell r="B256" t="str">
            <v xml:space="preserve">7.7 (3) </v>
          </cell>
          <cell r="D256" t="str">
            <v>Penyediaan  Dinding Sumuran Silinder, Diameter  350 cm</v>
          </cell>
          <cell r="F256" t="str">
            <v>M1</v>
          </cell>
        </row>
        <row r="257">
          <cell r="B257" t="str">
            <v xml:space="preserve">7.7 (4) </v>
          </cell>
          <cell r="D257" t="str">
            <v>Penyediaan  Dinding Sumuran Silinder, Diameter  400 cm</v>
          </cell>
          <cell r="F257" t="str">
            <v>M1</v>
          </cell>
        </row>
        <row r="259">
          <cell r="B259" t="str">
            <v xml:space="preserve">7.7 (5) </v>
          </cell>
          <cell r="D259" t="str">
            <v>Penurunan  Dinding Sumuran Silinder, Diameter  250 cm</v>
          </cell>
          <cell r="F259" t="str">
            <v>M1</v>
          </cell>
          <cell r="I259">
            <v>0</v>
          </cell>
        </row>
        <row r="260">
          <cell r="B260" t="str">
            <v xml:space="preserve">7.7 (6) </v>
          </cell>
          <cell r="D260" t="str">
            <v>Penurunan  Dinding Sumuran Silinder, Diameter  300 cm</v>
          </cell>
          <cell r="F260" t="str">
            <v>M1</v>
          </cell>
        </row>
        <row r="261">
          <cell r="B261" t="str">
            <v xml:space="preserve">7.7 (7) </v>
          </cell>
          <cell r="D261" t="str">
            <v>Penurunan  Dinding Sumuran Silinder, Diameter  350 cm</v>
          </cell>
          <cell r="F261" t="str">
            <v>M1</v>
          </cell>
        </row>
        <row r="262">
          <cell r="B262" t="str">
            <v xml:space="preserve">7.7 (8) </v>
          </cell>
          <cell r="D262" t="str">
            <v>Penurunan  Dinding Sumuran Silinder, Diameter  400 cm</v>
          </cell>
          <cell r="F262" t="str">
            <v>M1</v>
          </cell>
        </row>
        <row r="264">
          <cell r="B264" t="str">
            <v>7.9</v>
          </cell>
          <cell r="D264" t="str">
            <v>Pasangan Batu</v>
          </cell>
          <cell r="F264" t="str">
            <v>M3</v>
          </cell>
          <cell r="G264">
            <v>1226.4100000000001</v>
          </cell>
          <cell r="H264">
            <v>0</v>
          </cell>
          <cell r="I264">
            <v>0</v>
          </cell>
        </row>
        <row r="266">
          <cell r="B266" t="str">
            <v>7.10 (1)</v>
          </cell>
          <cell r="D266" t="str">
            <v>Pasangan Batu Kosong Yang Diisi Adukan</v>
          </cell>
          <cell r="F266" t="str">
            <v>M3</v>
          </cell>
          <cell r="G266">
            <v>0</v>
          </cell>
          <cell r="H266">
            <v>0</v>
          </cell>
          <cell r="I266">
            <v>0</v>
          </cell>
        </row>
        <row r="267">
          <cell r="B267" t="str">
            <v>7.10 (2)</v>
          </cell>
          <cell r="D267" t="str">
            <v>Pasangan Batu Kosong</v>
          </cell>
          <cell r="F267" t="str">
            <v>M3</v>
          </cell>
          <cell r="G267">
            <v>0</v>
          </cell>
          <cell r="H267">
            <v>0</v>
          </cell>
          <cell r="I267">
            <v>0</v>
          </cell>
        </row>
        <row r="268">
          <cell r="B268" t="str">
            <v>7.10 (3)</v>
          </cell>
          <cell r="D268" t="str">
            <v>Bronjong</v>
          </cell>
          <cell r="F268" t="str">
            <v>M2</v>
          </cell>
          <cell r="H268">
            <v>0</v>
          </cell>
          <cell r="I268">
            <v>0</v>
          </cell>
        </row>
        <row r="270">
          <cell r="B270" t="str">
            <v xml:space="preserve">7.11 (1) </v>
          </cell>
          <cell r="D270" t="str">
            <v>Expansion Joint  Tipe  Asphaltic  Plug</v>
          </cell>
          <cell r="F270" t="str">
            <v>M1</v>
          </cell>
          <cell r="I270">
            <v>0</v>
          </cell>
        </row>
        <row r="271">
          <cell r="B271" t="str">
            <v xml:space="preserve">7.11 (2) </v>
          </cell>
          <cell r="D271" t="str">
            <v>Expansion Joint  Tipe  Rbber  1  (celah 21 - 41 mm)</v>
          </cell>
          <cell r="F271" t="str">
            <v>M1</v>
          </cell>
          <cell r="I271">
            <v>0</v>
          </cell>
        </row>
        <row r="272">
          <cell r="B272" t="str">
            <v xml:space="preserve">7.11 (3) </v>
          </cell>
          <cell r="D272" t="str">
            <v>Expansion Joint  Tipe  Rbber  2  (celah 32 - 62 mm)</v>
          </cell>
          <cell r="F272" t="str">
            <v>M1</v>
          </cell>
          <cell r="G272">
            <v>71.87</v>
          </cell>
          <cell r="H272">
            <v>91300</v>
          </cell>
          <cell r="I272">
            <v>6561731</v>
          </cell>
        </row>
        <row r="273">
          <cell r="B273" t="str">
            <v>7.11 (4)</v>
          </cell>
          <cell r="D273" t="str">
            <v>Expansion Joint  Tipe  Rbber  3  (celah 42 - 82 mm)</v>
          </cell>
          <cell r="F273" t="str">
            <v>M1</v>
          </cell>
          <cell r="I273">
            <v>0</v>
          </cell>
        </row>
        <row r="274">
          <cell r="B274" t="str">
            <v>7.11 (5)</v>
          </cell>
          <cell r="D274" t="str">
            <v>Joint filler untuk sambungan Konstruksi</v>
          </cell>
          <cell r="F274" t="str">
            <v>M1</v>
          </cell>
          <cell r="I274">
            <v>0</v>
          </cell>
        </row>
        <row r="275">
          <cell r="B275" t="str">
            <v>7.11 (6)</v>
          </cell>
          <cell r="D275" t="str">
            <v>Expansion Joint  Tipe  Baja Bersudut</v>
          </cell>
          <cell r="F275" t="str">
            <v>M1</v>
          </cell>
        </row>
        <row r="277">
          <cell r="B277" t="str">
            <v xml:space="preserve">7.12 (1) </v>
          </cell>
          <cell r="D277" t="str">
            <v>Perletakan  Logam</v>
          </cell>
          <cell r="F277" t="str">
            <v>Buah</v>
          </cell>
          <cell r="I277">
            <v>0</v>
          </cell>
        </row>
        <row r="278">
          <cell r="B278" t="str">
            <v xml:space="preserve">7.12 (2) </v>
          </cell>
          <cell r="D278" t="str">
            <v>Perletakan  Elastomer  Jenis  1 (300 x 350 x 36)</v>
          </cell>
          <cell r="F278" t="str">
            <v>Buah</v>
          </cell>
          <cell r="G278">
            <v>16</v>
          </cell>
          <cell r="H278">
            <v>2750000</v>
          </cell>
          <cell r="I278">
            <v>44000000</v>
          </cell>
        </row>
        <row r="279">
          <cell r="B279" t="str">
            <v xml:space="preserve">7.12 (3) </v>
          </cell>
          <cell r="D279" t="str">
            <v>Perletakan  Elastomer  Jenis  2 (350 x 400 x 39)</v>
          </cell>
          <cell r="F279" t="str">
            <v>Buah</v>
          </cell>
          <cell r="I279">
            <v>0</v>
          </cell>
        </row>
        <row r="280">
          <cell r="B280" t="str">
            <v xml:space="preserve">7.12 (4) </v>
          </cell>
          <cell r="D280" t="str">
            <v>Perletakan  Elastomer  Jenis  3 (400 x 450 x 45)</v>
          </cell>
          <cell r="F280" t="str">
            <v>Buah</v>
          </cell>
          <cell r="I280">
            <v>0</v>
          </cell>
        </row>
        <row r="281">
          <cell r="B281" t="str">
            <v xml:space="preserve">7.12 (5) </v>
          </cell>
          <cell r="D281" t="str">
            <v>Perletakan  Strip</v>
          </cell>
          <cell r="F281" t="str">
            <v>M1</v>
          </cell>
          <cell r="I281">
            <v>0</v>
          </cell>
        </row>
        <row r="283">
          <cell r="B283" t="str">
            <v>7.13</v>
          </cell>
          <cell r="D283" t="str">
            <v>Sandaran (railing)</v>
          </cell>
          <cell r="F283" t="str">
            <v>M1</v>
          </cell>
          <cell r="G283">
            <v>63.47</v>
          </cell>
          <cell r="H283">
            <v>58700</v>
          </cell>
          <cell r="I283">
            <v>3725689</v>
          </cell>
        </row>
        <row r="284">
          <cell r="B284" t="str">
            <v>7.14</v>
          </cell>
          <cell r="D284" t="str">
            <v>Papan Nama jembatan</v>
          </cell>
          <cell r="F284" t="str">
            <v>Buah</v>
          </cell>
          <cell r="G284">
            <v>3</v>
          </cell>
          <cell r="H284">
            <v>2000000</v>
          </cell>
          <cell r="I284">
            <v>6000000</v>
          </cell>
        </row>
        <row r="286">
          <cell r="B286" t="str">
            <v>7.15 (1)</v>
          </cell>
          <cell r="D286" t="str">
            <v>Pembongkaran Pasangan Batu</v>
          </cell>
          <cell r="F286" t="str">
            <v>M3</v>
          </cell>
          <cell r="I286">
            <v>0</v>
          </cell>
        </row>
        <row r="287">
          <cell r="B287" t="str">
            <v>7.15 (2)</v>
          </cell>
          <cell r="D287" t="str">
            <v>Pembongkaran Beton</v>
          </cell>
          <cell r="F287" t="str">
            <v>M3</v>
          </cell>
          <cell r="I287">
            <v>0</v>
          </cell>
        </row>
        <row r="288">
          <cell r="B288" t="str">
            <v>7.15 (3)</v>
          </cell>
          <cell r="D288" t="str">
            <v>Pembongkaran Beton Pratekan</v>
          </cell>
          <cell r="F288" t="str">
            <v>M3</v>
          </cell>
          <cell r="I288">
            <v>0</v>
          </cell>
        </row>
        <row r="289">
          <cell r="B289" t="str">
            <v>7.15 (4)</v>
          </cell>
          <cell r="D289" t="str">
            <v>Pembongkaran Bangunan Gedung</v>
          </cell>
          <cell r="F289" t="str">
            <v>M2</v>
          </cell>
          <cell r="I289">
            <v>0</v>
          </cell>
        </row>
        <row r="290">
          <cell r="B290" t="str">
            <v>7.15 (5)</v>
          </cell>
          <cell r="D290" t="str">
            <v>Pembongkaran Rangka Baja</v>
          </cell>
          <cell r="F290" t="str">
            <v>M2</v>
          </cell>
          <cell r="I290">
            <v>0</v>
          </cell>
        </row>
        <row r="291">
          <cell r="B291" t="str">
            <v>7.15 (6)</v>
          </cell>
          <cell r="D291" t="str">
            <v>Pembongkaran Balok Baja  (Steel Strngers)</v>
          </cell>
          <cell r="F291" t="str">
            <v>M1</v>
          </cell>
          <cell r="I291">
            <v>0</v>
          </cell>
        </row>
        <row r="292">
          <cell r="B292" t="str">
            <v>7.15 (7)</v>
          </cell>
          <cell r="D292" t="str">
            <v>Pembongkaran Lantai Jembatan Kayu</v>
          </cell>
          <cell r="F292" t="str">
            <v>M2</v>
          </cell>
          <cell r="I292">
            <v>0</v>
          </cell>
        </row>
        <row r="293">
          <cell r="B293" t="str">
            <v>7.15 (8)</v>
          </cell>
          <cell r="D293" t="str">
            <v>Pembongkaran Jembatan Kayu</v>
          </cell>
          <cell r="F293" t="str">
            <v>M2</v>
          </cell>
          <cell r="I293">
            <v>0</v>
          </cell>
        </row>
        <row r="294">
          <cell r="B294" t="str">
            <v>7.15 (9)</v>
          </cell>
          <cell r="D294" t="str">
            <v>Pengangkutan Hasil Bongkaran yang Melebihi 5 Km.</v>
          </cell>
          <cell r="F294" t="str">
            <v>M3/Km</v>
          </cell>
          <cell r="I294">
            <v>0</v>
          </cell>
        </row>
        <row r="296">
          <cell r="B296" t="str">
            <v>7.16 (1)</v>
          </cell>
          <cell r="D296" t="str">
            <v>Perkerasan  Jalan  Beton</v>
          </cell>
          <cell r="F296" t="str">
            <v>M3</v>
          </cell>
          <cell r="I296">
            <v>0</v>
          </cell>
        </row>
        <row r="298">
          <cell r="B298" t="str">
            <v>7.17 (1)</v>
          </cell>
          <cell r="D298" t="str">
            <v>Wet Lean Concrete</v>
          </cell>
          <cell r="F298" t="str">
            <v>M2</v>
          </cell>
        </row>
        <row r="299">
          <cell r="B299" t="str">
            <v>7.17 (2)</v>
          </cell>
          <cell r="D299" t="str">
            <v>Sand Bedding  ( t = 4 cm )</v>
          </cell>
          <cell r="F299" t="str">
            <v>M2</v>
          </cell>
        </row>
        <row r="301">
          <cell r="B301" t="str">
            <v>7.17</v>
          </cell>
          <cell r="D301" t="str">
            <v>Pipa cucuran / Pipa  GIP 2"</v>
          </cell>
          <cell r="F301" t="str">
            <v>M1</v>
          </cell>
          <cell r="G301">
            <v>63.47</v>
          </cell>
          <cell r="H301">
            <v>73600</v>
          </cell>
          <cell r="I301">
            <v>4671392</v>
          </cell>
        </row>
        <row r="303">
          <cell r="B303" t="str">
            <v>7.18</v>
          </cell>
          <cell r="D303" t="str">
            <v>Pasangan Parapet</v>
          </cell>
          <cell r="F303" t="str">
            <v>M3</v>
          </cell>
          <cell r="I303">
            <v>0</v>
          </cell>
        </row>
        <row r="306">
          <cell r="C306" t="str">
            <v>Jumlah Harga Pekerjaan DIVISI 7  (masuk pada Rekapitulasi Perkiraan Harga Pekerjaan)</v>
          </cell>
          <cell r="I306">
            <v>383940337.78037167</v>
          </cell>
        </row>
        <row r="310">
          <cell r="D310" t="str">
            <v>DIVISI  8.  PENGEMBALIAN  KONDISI  DAN  PEKERJAAN  MINOR</v>
          </cell>
        </row>
        <row r="312">
          <cell r="B312" t="str">
            <v>8.1 (1)</v>
          </cell>
          <cell r="D312" t="str">
            <v>Lapis Pondasi agregat Kelas A untuk Pekerjaan Minor</v>
          </cell>
          <cell r="F312" t="str">
            <v>M3</v>
          </cell>
          <cell r="H312">
            <v>0</v>
          </cell>
          <cell r="I312">
            <v>0</v>
          </cell>
        </row>
        <row r="313">
          <cell r="B313" t="str">
            <v>8.1 (2)</v>
          </cell>
          <cell r="D313" t="str">
            <v>Lapis Pondasi agregat Kelas B untuk Pekerjaan Minor</v>
          </cell>
          <cell r="F313" t="str">
            <v>M3</v>
          </cell>
          <cell r="H313">
            <v>0</v>
          </cell>
          <cell r="I313">
            <v>0</v>
          </cell>
        </row>
        <row r="314">
          <cell r="B314" t="str">
            <v>8.1 (3)</v>
          </cell>
          <cell r="D314" t="str">
            <v xml:space="preserve">Agregat untuk perkerasan tanpa penutup </v>
          </cell>
          <cell r="F314" t="str">
            <v>M3</v>
          </cell>
          <cell r="H314">
            <v>0</v>
          </cell>
          <cell r="I314">
            <v>0</v>
          </cell>
        </row>
        <row r="315">
          <cell r="D315" t="str">
            <v>Aspal Untuk Pekerjaan Minor</v>
          </cell>
          <cell r="F315" t="str">
            <v>(vol gembur)</v>
          </cell>
          <cell r="I315">
            <v>0</v>
          </cell>
        </row>
        <row r="316">
          <cell r="B316" t="str">
            <v>8.1 (4)</v>
          </cell>
          <cell r="D316" t="str">
            <v>Waterbound Macadam untuk Pekerjaan Minor</v>
          </cell>
          <cell r="F316" t="str">
            <v>M3</v>
          </cell>
          <cell r="H316">
            <v>0</v>
          </cell>
          <cell r="I316">
            <v>0</v>
          </cell>
        </row>
        <row r="317">
          <cell r="B317" t="str">
            <v>8.1 (5)</v>
          </cell>
          <cell r="D317" t="str">
            <v>Campuran Aspal Panas untuk Pekerjaan Minor</v>
          </cell>
          <cell r="F317" t="str">
            <v>M3</v>
          </cell>
          <cell r="H317">
            <v>0</v>
          </cell>
          <cell r="I317">
            <v>0</v>
          </cell>
        </row>
        <row r="318">
          <cell r="B318" t="str">
            <v>8.1 (6)</v>
          </cell>
          <cell r="D318" t="str">
            <v>Lasbutag atau Latasbusir  untuk  pekerkaan  minor</v>
          </cell>
          <cell r="F318" t="str">
            <v>M3</v>
          </cell>
        </row>
        <row r="319">
          <cell r="B319" t="str">
            <v>8.1 (7)</v>
          </cell>
          <cell r="D319" t="str">
            <v>Penetrasi  Macadam  untuk  Pekerjaan  Minor</v>
          </cell>
          <cell r="F319" t="str">
            <v>M3</v>
          </cell>
          <cell r="H319">
            <v>0</v>
          </cell>
          <cell r="I319">
            <v>0</v>
          </cell>
        </row>
        <row r="320">
          <cell r="B320" t="str">
            <v>8.1 (8)</v>
          </cell>
          <cell r="D320" t="str">
            <v>Campuran Aspal Dingin untuk Pekerjaan Minor</v>
          </cell>
          <cell r="F320" t="str">
            <v>M3</v>
          </cell>
          <cell r="H320">
            <v>0</v>
          </cell>
          <cell r="I320">
            <v>0</v>
          </cell>
        </row>
        <row r="321">
          <cell r="B321" t="str">
            <v>8.1 (9)</v>
          </cell>
          <cell r="D321" t="str">
            <v>Residu Bitumen untuk Pekerjaan Minor</v>
          </cell>
          <cell r="F321" t="str">
            <v>Liter</v>
          </cell>
          <cell r="H321">
            <v>0</v>
          </cell>
          <cell r="I321">
            <v>0</v>
          </cell>
        </row>
        <row r="323">
          <cell r="B323" t="str">
            <v>8.2 (1)</v>
          </cell>
          <cell r="D323" t="str">
            <v>Galian untuk bahu jalan dan pek. Jalan minor lainnya</v>
          </cell>
          <cell r="F323" t="str">
            <v>M3</v>
          </cell>
          <cell r="H323">
            <v>0</v>
          </cell>
          <cell r="I323">
            <v>0</v>
          </cell>
        </row>
        <row r="324">
          <cell r="B324" t="str">
            <v>8.2 (2)</v>
          </cell>
          <cell r="D324" t="str">
            <v>Pembersihan dan Pembongkaran tanaman  (diameter &lt; 30 cm)</v>
          </cell>
          <cell r="F324" t="str">
            <v>M2</v>
          </cell>
          <cell r="H324">
            <v>0</v>
          </cell>
          <cell r="I324">
            <v>0</v>
          </cell>
        </row>
        <row r="325">
          <cell r="B325" t="str">
            <v>8.2 (3)</v>
          </cell>
          <cell r="D325" t="str">
            <v>Penebangan pohon, diameter 30 sampai 50 cm</v>
          </cell>
          <cell r="F325" t="str">
            <v>buah</v>
          </cell>
          <cell r="I325">
            <v>0</v>
          </cell>
        </row>
        <row r="326">
          <cell r="B326" t="str">
            <v>8.2 (4)</v>
          </cell>
          <cell r="D326" t="str">
            <v>Penebangan pohon, diameter 50 sampai 75 cm</v>
          </cell>
          <cell r="F326" t="str">
            <v>buah</v>
          </cell>
          <cell r="I326">
            <v>0</v>
          </cell>
        </row>
        <row r="327">
          <cell r="B327" t="str">
            <v>8.2 (5)</v>
          </cell>
          <cell r="D327" t="str">
            <v>Penebangan pohon, diameter &gt; 75 cm</v>
          </cell>
          <cell r="F327" t="str">
            <v>buah</v>
          </cell>
          <cell r="I327">
            <v>0</v>
          </cell>
        </row>
        <row r="329">
          <cell r="B329" t="str">
            <v>8.3 (1)</v>
          </cell>
          <cell r="D329" t="str">
            <v>Stabilisasi dengan tanaman</v>
          </cell>
          <cell r="F329" t="str">
            <v>M2</v>
          </cell>
          <cell r="I329">
            <v>0</v>
          </cell>
        </row>
        <row r="330">
          <cell r="B330" t="str">
            <v>8.3 (2)</v>
          </cell>
          <cell r="D330" t="str">
            <v>Semak/perdu</v>
          </cell>
          <cell r="F330" t="str">
            <v>M2</v>
          </cell>
          <cell r="I330">
            <v>0</v>
          </cell>
        </row>
        <row r="331">
          <cell r="B331" t="str">
            <v>8.3 (3)</v>
          </cell>
          <cell r="D331" t="str">
            <v>Pohon</v>
          </cell>
          <cell r="F331" t="str">
            <v>buah</v>
          </cell>
          <cell r="I331">
            <v>0</v>
          </cell>
        </row>
        <row r="333">
          <cell r="B333" t="str">
            <v>11.1 (1)</v>
          </cell>
          <cell r="D333" t="str">
            <v>Marka Jalan Termoplastik</v>
          </cell>
          <cell r="F333" t="str">
            <v>M2</v>
          </cell>
          <cell r="H333">
            <v>0</v>
          </cell>
          <cell r="I333">
            <v>0</v>
          </cell>
        </row>
        <row r="334">
          <cell r="B334" t="str">
            <v>11.1 (2)</v>
          </cell>
          <cell r="D334" t="str">
            <v>Marka Jalan bukan Termoplastik</v>
          </cell>
          <cell r="F334" t="str">
            <v>M2</v>
          </cell>
          <cell r="H334">
            <v>0</v>
          </cell>
          <cell r="I334">
            <v>0</v>
          </cell>
        </row>
        <row r="335">
          <cell r="B335" t="str">
            <v>8.4 (3)(a)</v>
          </cell>
          <cell r="D335" t="str">
            <v>Rambu Jalan Tunggal dengan Permukaan Pemantul Engineering Grade</v>
          </cell>
          <cell r="F335" t="str">
            <v>Buah</v>
          </cell>
          <cell r="H335">
            <v>0</v>
          </cell>
          <cell r="I335">
            <v>0</v>
          </cell>
        </row>
        <row r="336">
          <cell r="B336" t="str">
            <v>8.4 (3)(b)</v>
          </cell>
          <cell r="D336" t="str">
            <v>Rambu Jalan Ganda dengan Permukaan Pemantul  Engineering Grade</v>
          </cell>
          <cell r="F336" t="str">
            <v>Buah</v>
          </cell>
          <cell r="I336">
            <v>0</v>
          </cell>
        </row>
        <row r="337">
          <cell r="B337" t="str">
            <v>8.4 (4)(a)</v>
          </cell>
          <cell r="D337" t="str">
            <v>Rambu Jalan Tunggal dengan Permukaan Pemantul  High Intensity Grade</v>
          </cell>
          <cell r="F337" t="str">
            <v>Buah</v>
          </cell>
          <cell r="H337">
            <v>0</v>
          </cell>
          <cell r="I337">
            <v>0</v>
          </cell>
        </row>
        <row r="338">
          <cell r="B338" t="str">
            <v>8.4 (4)(b)</v>
          </cell>
          <cell r="D338" t="str">
            <v>Rambu Jalan Ganda dengan Permukaan Pemantul   High Intensity Grade</v>
          </cell>
          <cell r="F338" t="str">
            <v>Buah</v>
          </cell>
          <cell r="I338">
            <v>0</v>
          </cell>
        </row>
        <row r="340">
          <cell r="B340" t="str">
            <v>8.4 (5)</v>
          </cell>
          <cell r="D340" t="str">
            <v>Patok Pengarah</v>
          </cell>
          <cell r="F340" t="str">
            <v>Buah</v>
          </cell>
          <cell r="G340">
            <v>84</v>
          </cell>
          <cell r="H340">
            <v>0</v>
          </cell>
          <cell r="I340">
            <v>0</v>
          </cell>
        </row>
        <row r="341">
          <cell r="B341" t="str">
            <v>8.4 (6)(a)</v>
          </cell>
          <cell r="D341" t="str">
            <v>Patok Kilometer</v>
          </cell>
          <cell r="F341" t="str">
            <v>Buah</v>
          </cell>
          <cell r="H341">
            <v>0</v>
          </cell>
          <cell r="I341">
            <v>0</v>
          </cell>
        </row>
        <row r="342">
          <cell r="B342" t="str">
            <v>8.4 (6)(b)</v>
          </cell>
          <cell r="D342" t="str">
            <v>Patok Hektometer</v>
          </cell>
          <cell r="F342" t="str">
            <v>Buah</v>
          </cell>
          <cell r="I342">
            <v>0</v>
          </cell>
        </row>
        <row r="343">
          <cell r="B343" t="str">
            <v>8.4 (7)</v>
          </cell>
          <cell r="D343" t="str">
            <v>Rel Pengaman</v>
          </cell>
          <cell r="F343" t="str">
            <v>M1</v>
          </cell>
          <cell r="H343">
            <v>0</v>
          </cell>
          <cell r="I343">
            <v>0</v>
          </cell>
        </row>
        <row r="344">
          <cell r="B344" t="str">
            <v>8.4 (8)</v>
          </cell>
          <cell r="D344" t="str">
            <v>Paku Jalan</v>
          </cell>
          <cell r="F344" t="str">
            <v>Buah</v>
          </cell>
          <cell r="I344">
            <v>0</v>
          </cell>
        </row>
        <row r="345">
          <cell r="B345" t="str">
            <v>8.4 (9)</v>
          </cell>
          <cell r="D345" t="str">
            <v>Mata kucing</v>
          </cell>
          <cell r="F345" t="str">
            <v>Buah</v>
          </cell>
          <cell r="I345">
            <v>0</v>
          </cell>
        </row>
        <row r="346">
          <cell r="B346" t="str">
            <v>8.4 (10)</v>
          </cell>
          <cell r="D346" t="str">
            <v>Kerb pracetak</v>
          </cell>
          <cell r="F346" t="str">
            <v>M1</v>
          </cell>
          <cell r="I346">
            <v>0</v>
          </cell>
        </row>
        <row r="347">
          <cell r="B347" t="str">
            <v>8.4 (11)</v>
          </cell>
          <cell r="D347" t="str">
            <v>Kerb yang digunakan kembali</v>
          </cell>
          <cell r="F347" t="str">
            <v>M1</v>
          </cell>
          <cell r="I347">
            <v>0</v>
          </cell>
        </row>
        <row r="348">
          <cell r="B348" t="str">
            <v>8.4 (12)</v>
          </cell>
          <cell r="D348" t="str">
            <v>Perkerasan Blok Beton pada trotoar dan median</v>
          </cell>
          <cell r="F348" t="str">
            <v>M2</v>
          </cell>
          <cell r="I348">
            <v>0</v>
          </cell>
        </row>
        <row r="350">
          <cell r="B350" t="str">
            <v>8.5 (1)</v>
          </cell>
          <cell r="D350" t="str">
            <v>Pengembalian Kondisi Lantai Jembatan Beton</v>
          </cell>
          <cell r="F350" t="str">
            <v>M2</v>
          </cell>
          <cell r="I350">
            <v>0</v>
          </cell>
        </row>
        <row r="351">
          <cell r="B351" t="str">
            <v>8.5 (2)</v>
          </cell>
          <cell r="D351" t="str">
            <v>Pengembalian Kondisi Lantai Jembatan Kayu</v>
          </cell>
          <cell r="F351" t="str">
            <v>M2</v>
          </cell>
          <cell r="I351">
            <v>0</v>
          </cell>
        </row>
        <row r="352">
          <cell r="B352" t="str">
            <v>8.5 (3)</v>
          </cell>
          <cell r="D352" t="str">
            <v>Pengembalian Kond. Pelapisan Permukaan Baja Struktur</v>
          </cell>
          <cell r="F352" t="str">
            <v>M2</v>
          </cell>
          <cell r="I352">
            <v>0</v>
          </cell>
        </row>
        <row r="354">
          <cell r="B354" t="str">
            <v>8.6 (1)</v>
          </cell>
          <cell r="D354" t="str">
            <v>Kerb  Pracetak  Pemisah  Jalan  (Concrete  Barrier)</v>
          </cell>
          <cell r="F354" t="str">
            <v>M1</v>
          </cell>
          <cell r="I354">
            <v>0</v>
          </cell>
        </row>
        <row r="356">
          <cell r="B356" t="str">
            <v>8.7 (1)</v>
          </cell>
          <cell r="D356" t="str">
            <v>Unit Lampu Penerangan Jalan Lengan Tunggal, Tipe  Sodium 250 watt</v>
          </cell>
          <cell r="F356" t="str">
            <v>Buah</v>
          </cell>
        </row>
        <row r="357">
          <cell r="B357" t="str">
            <v>8.7 (2)</v>
          </cell>
          <cell r="D357" t="str">
            <v>Unit Lampu Penerangan Jalan Lengan Ganda, Tipe  Sodium 250 watt</v>
          </cell>
          <cell r="F357" t="str">
            <v>Buah</v>
          </cell>
        </row>
        <row r="358">
          <cell r="B358" t="str">
            <v>8.7 (3)</v>
          </cell>
          <cell r="D358" t="str">
            <v>Unit Lampu Penerangan Jalan Lengan Tunggal, Tipe  Merkuri 250 watt</v>
          </cell>
          <cell r="F358" t="str">
            <v>Buah</v>
          </cell>
        </row>
        <row r="359">
          <cell r="B359" t="str">
            <v>8.7 (4)</v>
          </cell>
          <cell r="D359" t="str">
            <v>Unit Lampu Penerangan Jalan Lengan Ganda,   Tipe  Merkuri 250 watt</v>
          </cell>
          <cell r="F359" t="str">
            <v>Buah</v>
          </cell>
        </row>
        <row r="360">
          <cell r="B360" t="str">
            <v>8.7 (5)</v>
          </cell>
          <cell r="D360" t="str">
            <v>Unit Lampu Penerangan Jalan Lengan Tunggal,  Tipe  Merkuri 400 watt</v>
          </cell>
          <cell r="F360" t="str">
            <v>Buah</v>
          </cell>
        </row>
        <row r="361">
          <cell r="B361" t="str">
            <v>8.7 (6)</v>
          </cell>
          <cell r="D361" t="str">
            <v>Unit Lampu Penerangan Jalan Lengan Ganda,  Tipe  Merkuri 400 watt</v>
          </cell>
          <cell r="F361" t="str">
            <v>Buah</v>
          </cell>
        </row>
        <row r="363">
          <cell r="B363" t="str">
            <v>8.8 (1)</v>
          </cell>
          <cell r="D363" t="str">
            <v>Pagar Pemisah Pedestrian Carbon Steel</v>
          </cell>
          <cell r="F363" t="str">
            <v>M1</v>
          </cell>
        </row>
        <row r="364">
          <cell r="B364" t="str">
            <v>8.8 (2)</v>
          </cell>
          <cell r="D364" t="str">
            <v>Pagar Pemisah Pedestrian Galvanised</v>
          </cell>
          <cell r="F364" t="str">
            <v>M1</v>
          </cell>
        </row>
        <row r="367">
          <cell r="C367" t="str">
            <v>Jumlah Harga Pekerjaan DIVISI 8  (masuk pada Rekapitulasi Perkiraan Harga Pekerjaan)</v>
          </cell>
          <cell r="I367">
            <v>0</v>
          </cell>
        </row>
        <row r="372">
          <cell r="D372" t="str">
            <v>DIVISI  9.  PEKERJAAN  HARIAN</v>
          </cell>
        </row>
        <row r="374">
          <cell r="B374" t="str">
            <v>9.1 (1)</v>
          </cell>
          <cell r="D374" t="str">
            <v>Mandor</v>
          </cell>
          <cell r="F374" t="str">
            <v>Jam</v>
          </cell>
          <cell r="I374">
            <v>0</v>
          </cell>
        </row>
        <row r="375">
          <cell r="B375" t="str">
            <v>9.1 (2)</v>
          </cell>
          <cell r="D375" t="str">
            <v>Pekerja Biasa</v>
          </cell>
          <cell r="F375" t="str">
            <v>Jam</v>
          </cell>
          <cell r="I375">
            <v>0</v>
          </cell>
        </row>
        <row r="376">
          <cell r="B376" t="str">
            <v>9.1 (3)</v>
          </cell>
          <cell r="D376" t="str">
            <v>Tukang Kayu, Tukang Batu, dsb</v>
          </cell>
          <cell r="F376" t="str">
            <v>Jam</v>
          </cell>
          <cell r="I376">
            <v>0</v>
          </cell>
        </row>
        <row r="377">
          <cell r="B377" t="str">
            <v>9.1 (4)</v>
          </cell>
          <cell r="D377" t="str">
            <v>Dump Truck 3 - 4 M3</v>
          </cell>
          <cell r="F377" t="str">
            <v>Jam</v>
          </cell>
          <cell r="H377">
            <v>0</v>
          </cell>
          <cell r="I377">
            <v>0</v>
          </cell>
        </row>
        <row r="378">
          <cell r="B378" t="str">
            <v>9.1 (5)</v>
          </cell>
          <cell r="D378" t="str">
            <v>Truk Bak Datar 3 - 4 Ton</v>
          </cell>
          <cell r="F378" t="str">
            <v>Jam</v>
          </cell>
          <cell r="H378">
            <v>0</v>
          </cell>
          <cell r="I378">
            <v>0</v>
          </cell>
        </row>
        <row r="379">
          <cell r="B379" t="str">
            <v>9.1 (6)</v>
          </cell>
          <cell r="D379" t="str">
            <v>Truk Tangki 3000 - 4500 Liter</v>
          </cell>
          <cell r="F379" t="str">
            <v>Jam</v>
          </cell>
          <cell r="H379">
            <v>0</v>
          </cell>
          <cell r="I379">
            <v>0</v>
          </cell>
        </row>
        <row r="380">
          <cell r="B380" t="str">
            <v>9.1 (7)</v>
          </cell>
          <cell r="D380" t="str">
            <v>Bulldozer 100 - 150 PK</v>
          </cell>
          <cell r="F380" t="str">
            <v>Jam</v>
          </cell>
          <cell r="H380">
            <v>0</v>
          </cell>
          <cell r="I380">
            <v>0</v>
          </cell>
        </row>
        <row r="381">
          <cell r="B381" t="str">
            <v>9.1 (8)</v>
          </cell>
          <cell r="D381" t="str">
            <v>Motor Grader min 100 PK</v>
          </cell>
          <cell r="F381" t="str">
            <v>Jam</v>
          </cell>
          <cell r="H381">
            <v>0</v>
          </cell>
          <cell r="I381">
            <v>0</v>
          </cell>
        </row>
        <row r="382">
          <cell r="B382" t="str">
            <v>9.1 (9)</v>
          </cell>
          <cell r="D382" t="str">
            <v>Loader Roda Karet 1.0 - 1.6 M3</v>
          </cell>
          <cell r="F382" t="str">
            <v>Jam</v>
          </cell>
          <cell r="H382">
            <v>0</v>
          </cell>
          <cell r="I382">
            <v>0</v>
          </cell>
        </row>
        <row r="383">
          <cell r="B383" t="str">
            <v>9.1 (10)</v>
          </cell>
          <cell r="D383" t="str">
            <v>Loader Roda Berantai 75 - 100 PK</v>
          </cell>
          <cell r="F383" t="str">
            <v>Jam</v>
          </cell>
          <cell r="H383">
            <v>0</v>
          </cell>
          <cell r="I383">
            <v>0</v>
          </cell>
        </row>
        <row r="384">
          <cell r="B384" t="str">
            <v>9.1 (11)</v>
          </cell>
          <cell r="D384" t="str">
            <v>Alat Penggali (Excavator) 80 - 140 PK</v>
          </cell>
          <cell r="F384" t="str">
            <v>Jam</v>
          </cell>
          <cell r="G384">
            <v>0</v>
          </cell>
          <cell r="H384">
            <v>0</v>
          </cell>
          <cell r="I384">
            <v>0</v>
          </cell>
        </row>
        <row r="385">
          <cell r="B385" t="str">
            <v>9.1 (12)</v>
          </cell>
          <cell r="D385" t="str">
            <v>Crane 10 - 15 Ton</v>
          </cell>
          <cell r="F385" t="str">
            <v>Jam</v>
          </cell>
          <cell r="H385">
            <v>0</v>
          </cell>
          <cell r="I385">
            <v>0</v>
          </cell>
        </row>
        <row r="386">
          <cell r="B386" t="str">
            <v>9.1 (13)</v>
          </cell>
          <cell r="D386" t="str">
            <v>Penggilas Roda Besi 6 - 9 Ton</v>
          </cell>
          <cell r="F386" t="str">
            <v>Jam</v>
          </cell>
          <cell r="H386">
            <v>0</v>
          </cell>
          <cell r="I386">
            <v>0</v>
          </cell>
        </row>
        <row r="387">
          <cell r="B387" t="str">
            <v>9.1 (14)</v>
          </cell>
          <cell r="D387" t="str">
            <v>Penggilas Bervibrasi  5 - 8  Ton</v>
          </cell>
          <cell r="F387" t="str">
            <v>Jam</v>
          </cell>
          <cell r="H387">
            <v>0</v>
          </cell>
          <cell r="I387">
            <v>0</v>
          </cell>
        </row>
        <row r="388">
          <cell r="B388" t="str">
            <v>9.1 (15)</v>
          </cell>
          <cell r="D388" t="str">
            <v>Pemadat Bervibrasi 1.5 - 3.0 PK</v>
          </cell>
          <cell r="F388" t="str">
            <v>Jam</v>
          </cell>
          <cell r="H388">
            <v>0</v>
          </cell>
          <cell r="I388">
            <v>0</v>
          </cell>
        </row>
        <row r="389">
          <cell r="B389" t="str">
            <v>9.1 (16)</v>
          </cell>
          <cell r="D389" t="str">
            <v>Penggilas Roda Karet 8 - 10 Ton</v>
          </cell>
          <cell r="F389" t="str">
            <v>Jam</v>
          </cell>
          <cell r="H389">
            <v>0</v>
          </cell>
          <cell r="I389">
            <v>0</v>
          </cell>
        </row>
        <row r="390">
          <cell r="B390" t="str">
            <v>9.1 (17)</v>
          </cell>
          <cell r="D390" t="str">
            <v>Kompresor 4000 - 6500 Ltr/mnt</v>
          </cell>
          <cell r="F390" t="str">
            <v>Jam</v>
          </cell>
          <cell r="H390">
            <v>0</v>
          </cell>
          <cell r="I390">
            <v>0</v>
          </cell>
        </row>
        <row r="391">
          <cell r="B391" t="str">
            <v>9.1 (18)</v>
          </cell>
          <cell r="D391" t="str">
            <v>Mesin pengaduk beton (molen) 0.3 - 0.6 M3</v>
          </cell>
          <cell r="F391" t="str">
            <v>Jam</v>
          </cell>
          <cell r="H391">
            <v>0</v>
          </cell>
          <cell r="I391">
            <v>0</v>
          </cell>
        </row>
        <row r="392">
          <cell r="B392" t="str">
            <v>9.1 (19)</v>
          </cell>
          <cell r="D392" t="str">
            <v>Pompa Air 70 - 100 MM</v>
          </cell>
          <cell r="F392" t="str">
            <v>Jam</v>
          </cell>
          <cell r="H392">
            <v>0</v>
          </cell>
          <cell r="I392">
            <v>0</v>
          </cell>
        </row>
        <row r="393">
          <cell r="B393" t="str">
            <v>9.1 (20)</v>
          </cell>
          <cell r="D393" t="str">
            <v>Jack Hammer</v>
          </cell>
          <cell r="F393" t="str">
            <v>Jam</v>
          </cell>
          <cell r="H393">
            <v>0</v>
          </cell>
          <cell r="I393">
            <v>0</v>
          </cell>
        </row>
        <row r="396">
          <cell r="C396" t="str">
            <v>Jumlah Harga Pekerjaan DIVISI 9  (masuk pada Rekapitulasi Perkiraan Harga Pekerjaan)</v>
          </cell>
          <cell r="I396">
            <v>0</v>
          </cell>
        </row>
        <row r="399">
          <cell r="D399" t="str">
            <v>DIVISI  10.  PEKERJAAN PEMELIHARAAN RUTIN</v>
          </cell>
        </row>
        <row r="401">
          <cell r="B401" t="str">
            <v>10.1 (1)</v>
          </cell>
          <cell r="D401" t="str">
            <v>Pemeliharaan Rutin Perkerasan</v>
          </cell>
          <cell r="F401" t="str">
            <v>Ls</v>
          </cell>
          <cell r="G401">
            <v>0</v>
          </cell>
          <cell r="H401">
            <v>22231267.334435146</v>
          </cell>
          <cell r="I401">
            <v>0</v>
          </cell>
        </row>
        <row r="402">
          <cell r="B402" t="str">
            <v>10.1 (2)</v>
          </cell>
          <cell r="D402" t="str">
            <v>Pemeliharaan Rutin Bahu Jalan</v>
          </cell>
          <cell r="F402" t="str">
            <v>Ls</v>
          </cell>
          <cell r="G402">
            <v>0</v>
          </cell>
          <cell r="H402">
            <v>3586034.4097855045</v>
          </cell>
          <cell r="I402">
            <v>0</v>
          </cell>
        </row>
        <row r="403">
          <cell r="B403" t="str">
            <v>10.1 (3)</v>
          </cell>
          <cell r="D403" t="str">
            <v>Pemeliharaan Rutin Selokan, Saluran Air, Galian dan Timbunan</v>
          </cell>
          <cell r="F403" t="str">
            <v>Ls</v>
          </cell>
          <cell r="G403">
            <v>0</v>
          </cell>
          <cell r="H403">
            <v>13062955.9723396</v>
          </cell>
          <cell r="I403">
            <v>0</v>
          </cell>
        </row>
        <row r="404">
          <cell r="B404" t="str">
            <v>10.1 (4)</v>
          </cell>
          <cell r="D404" t="str">
            <v>Pemeliharaan Rutin Perlengkapan Jalan</v>
          </cell>
          <cell r="F404" t="str">
            <v>Ls</v>
          </cell>
          <cell r="H404">
            <v>1884534.2565309596</v>
          </cell>
          <cell r="I404">
            <v>0</v>
          </cell>
        </row>
        <row r="405">
          <cell r="B405" t="str">
            <v>10.1 (5)</v>
          </cell>
          <cell r="D405" t="str">
            <v>Pemeliharaan Rutin Jembatan</v>
          </cell>
          <cell r="F405" t="str">
            <v>Ls</v>
          </cell>
          <cell r="H405">
            <v>10083888.398642929</v>
          </cell>
          <cell r="I405">
            <v>0</v>
          </cell>
        </row>
        <row r="408">
          <cell r="C408" t="str">
            <v>Jumlah Harga Pekerjaan DIVISI 10  (masuk pada Rekapitulasi Perkiraan Harga Pekerjaan)</v>
          </cell>
          <cell r="I408">
            <v>0</v>
          </cell>
        </row>
        <row r="428">
          <cell r="D428" t="str">
            <v>DIVISI  11.   PERLENGKAPAN JALAN DAN UTILITAS</v>
          </cell>
        </row>
        <row r="430">
          <cell r="B430" t="str">
            <v>11.1 (1)</v>
          </cell>
          <cell r="D430" t="str">
            <v>Marka Jalan Termoplastik</v>
          </cell>
          <cell r="F430" t="str">
            <v>M2</v>
          </cell>
          <cell r="H430">
            <v>0</v>
          </cell>
          <cell r="I430">
            <v>0</v>
          </cell>
        </row>
        <row r="431">
          <cell r="B431" t="str">
            <v>11.1 (2)</v>
          </cell>
          <cell r="D431" t="str">
            <v>Marka Jalan bukan Termoplastik</v>
          </cell>
          <cell r="F431" t="str">
            <v>M2</v>
          </cell>
          <cell r="H431">
            <v>0</v>
          </cell>
          <cell r="I431">
            <v>0</v>
          </cell>
        </row>
        <row r="432">
          <cell r="B432" t="str">
            <v>11.1 (3)(a)</v>
          </cell>
          <cell r="D432" t="str">
            <v xml:space="preserve">Rambu Jalan Tunggal dengan Permukaan Pemantul </v>
          </cell>
          <cell r="F432" t="str">
            <v>Buah</v>
          </cell>
          <cell r="H432">
            <v>0</v>
          </cell>
          <cell r="I432">
            <v>0</v>
          </cell>
        </row>
        <row r="433">
          <cell r="D433" t="str">
            <v>Engineering Grade</v>
          </cell>
        </row>
        <row r="434">
          <cell r="B434" t="str">
            <v>11.1 (3)(b)</v>
          </cell>
          <cell r="D434" t="str">
            <v xml:space="preserve">Rambu Jalan Ganda dengan Permukaan Pemantul </v>
          </cell>
          <cell r="F434" t="str">
            <v>Buah</v>
          </cell>
          <cell r="I434">
            <v>0</v>
          </cell>
        </row>
        <row r="435">
          <cell r="D435" t="str">
            <v>Engineering Grade</v>
          </cell>
        </row>
        <row r="436">
          <cell r="B436" t="str">
            <v>11.1 (4)(a)</v>
          </cell>
          <cell r="D436" t="str">
            <v xml:space="preserve">Rambu Jalan Tunggal dengan Permukaan Pemantul </v>
          </cell>
          <cell r="F436" t="str">
            <v>Buah</v>
          </cell>
          <cell r="H436">
            <v>0</v>
          </cell>
          <cell r="I436">
            <v>0</v>
          </cell>
        </row>
        <row r="437">
          <cell r="D437" t="str">
            <v>High Intensity Grade</v>
          </cell>
        </row>
        <row r="438">
          <cell r="B438" t="str">
            <v>11.1 (4)(b)</v>
          </cell>
          <cell r="D438" t="str">
            <v xml:space="preserve">Rambu Jalan Ganda dengan Permukaan Pemantul </v>
          </cell>
          <cell r="F438" t="str">
            <v>Buah</v>
          </cell>
          <cell r="I438">
            <v>0</v>
          </cell>
        </row>
        <row r="439">
          <cell r="D439" t="str">
            <v>High Intensity Grade</v>
          </cell>
        </row>
        <row r="440">
          <cell r="B440" t="str">
            <v>11.1 (5)</v>
          </cell>
          <cell r="D440" t="str">
            <v>Patok Pengarah</v>
          </cell>
          <cell r="F440" t="str">
            <v>Buah</v>
          </cell>
          <cell r="G440">
            <v>84</v>
          </cell>
          <cell r="H440">
            <v>0</v>
          </cell>
          <cell r="I440">
            <v>0</v>
          </cell>
        </row>
        <row r="441">
          <cell r="B441" t="str">
            <v>11.1 (6)(a)</v>
          </cell>
          <cell r="D441" t="str">
            <v>Patok Kilometer</v>
          </cell>
          <cell r="F441" t="str">
            <v>Buah</v>
          </cell>
          <cell r="H441">
            <v>0</v>
          </cell>
          <cell r="I441">
            <v>0</v>
          </cell>
        </row>
        <row r="442">
          <cell r="B442" t="str">
            <v>11.1 (6)(b)</v>
          </cell>
          <cell r="D442" t="str">
            <v>Patok Hektometer</v>
          </cell>
          <cell r="F442" t="str">
            <v>Buah</v>
          </cell>
          <cell r="I442">
            <v>0</v>
          </cell>
        </row>
        <row r="443">
          <cell r="B443" t="str">
            <v>11.1 (7)</v>
          </cell>
          <cell r="D443" t="str">
            <v>Rel Pengaman</v>
          </cell>
          <cell r="F443" t="str">
            <v>M1</v>
          </cell>
          <cell r="H443">
            <v>0</v>
          </cell>
          <cell r="I443">
            <v>0</v>
          </cell>
        </row>
        <row r="444">
          <cell r="B444" t="str">
            <v>11.1 (8)</v>
          </cell>
          <cell r="D444" t="str">
            <v>Paku Jalan</v>
          </cell>
          <cell r="F444" t="str">
            <v>Buah</v>
          </cell>
          <cell r="I444">
            <v>0</v>
          </cell>
        </row>
        <row r="445">
          <cell r="B445" t="str">
            <v>11.1 (9)</v>
          </cell>
          <cell r="D445" t="str">
            <v>Mata kucing</v>
          </cell>
          <cell r="F445" t="str">
            <v>Buah</v>
          </cell>
          <cell r="I445">
            <v>0</v>
          </cell>
        </row>
        <row r="446">
          <cell r="B446" t="str">
            <v>11.1 (10)</v>
          </cell>
          <cell r="D446" t="str">
            <v>Kerb pracetak</v>
          </cell>
          <cell r="F446" t="str">
            <v>M1</v>
          </cell>
          <cell r="I446">
            <v>0</v>
          </cell>
        </row>
        <row r="447">
          <cell r="B447" t="str">
            <v>11.1 (11)</v>
          </cell>
          <cell r="D447" t="str">
            <v>Kerb yang digunakan kembali</v>
          </cell>
          <cell r="F447" t="str">
            <v>M1</v>
          </cell>
          <cell r="I447">
            <v>0</v>
          </cell>
        </row>
        <row r="448">
          <cell r="B448" t="str">
            <v>11.1 (12)</v>
          </cell>
          <cell r="D448" t="str">
            <v>Perkerasan Blok Beton pada trotoar dan median</v>
          </cell>
          <cell r="F448" t="str">
            <v>M2</v>
          </cell>
          <cell r="I448">
            <v>0</v>
          </cell>
        </row>
        <row r="450">
          <cell r="B450" t="str">
            <v>11.2 (1)</v>
          </cell>
          <cell r="D450" t="str">
            <v>Kerb Pracetak Pemicah Jalan (concrete barrier)</v>
          </cell>
          <cell r="F450" t="str">
            <v>M1</v>
          </cell>
          <cell r="I450">
            <v>0</v>
          </cell>
        </row>
        <row r="452">
          <cell r="B452" t="str">
            <v>11.3 (1)</v>
          </cell>
          <cell r="D452" t="str">
            <v xml:space="preserve">Unit Lampu Penerangan Jalan Lengan Tunggal, </v>
          </cell>
          <cell r="F452" t="str">
            <v>Buah</v>
          </cell>
          <cell r="I452">
            <v>0</v>
          </cell>
        </row>
        <row r="453">
          <cell r="D453" t="str">
            <v>Tipe Sodium 250 watt</v>
          </cell>
        </row>
        <row r="454">
          <cell r="B454" t="str">
            <v>11.3 (2)</v>
          </cell>
          <cell r="D454" t="str">
            <v xml:space="preserve">Unit Lampu Penerangan Jalan Lengan Ganda, </v>
          </cell>
          <cell r="F454" t="str">
            <v>Buah</v>
          </cell>
          <cell r="I454">
            <v>0</v>
          </cell>
        </row>
        <row r="455">
          <cell r="D455" t="str">
            <v>Tipe Sodium 250 watt</v>
          </cell>
        </row>
        <row r="456">
          <cell r="B456" t="str">
            <v>11.3 (3)</v>
          </cell>
          <cell r="D456" t="str">
            <v xml:space="preserve">Unit Lampu Penerangan Jalan Lengan Tunggal, </v>
          </cell>
          <cell r="F456" t="str">
            <v>Buah</v>
          </cell>
          <cell r="I456">
            <v>0</v>
          </cell>
        </row>
        <row r="457">
          <cell r="D457" t="str">
            <v>Tipe Merkuri 250 watt</v>
          </cell>
        </row>
        <row r="458">
          <cell r="B458" t="str">
            <v>11.3 (4)</v>
          </cell>
          <cell r="D458" t="str">
            <v xml:space="preserve">Unit Lampu Penerangan Jalan Lengan Ganda, </v>
          </cell>
          <cell r="F458" t="str">
            <v>Buah</v>
          </cell>
          <cell r="I458">
            <v>0</v>
          </cell>
        </row>
        <row r="459">
          <cell r="D459" t="str">
            <v>Tipe Merkuri 250 watt</v>
          </cell>
        </row>
        <row r="460">
          <cell r="B460" t="str">
            <v>11.3 (5)</v>
          </cell>
          <cell r="D460" t="str">
            <v xml:space="preserve">Unit Lampu Penerangan Jalan Lengan Tunggal, </v>
          </cell>
          <cell r="F460" t="str">
            <v>Buah</v>
          </cell>
          <cell r="I460">
            <v>0</v>
          </cell>
        </row>
        <row r="461">
          <cell r="D461" t="str">
            <v>Tipe Merkuri 400 watt</v>
          </cell>
        </row>
        <row r="462">
          <cell r="B462" t="str">
            <v>11.3 (6)</v>
          </cell>
          <cell r="D462" t="str">
            <v xml:space="preserve">Unit Lampu Penerangan Jalan Lengan Ganda, </v>
          </cell>
          <cell r="F462" t="str">
            <v>Buah</v>
          </cell>
          <cell r="I462">
            <v>0</v>
          </cell>
        </row>
        <row r="463">
          <cell r="D463" t="str">
            <v>Tipe Merkuri 400 watt</v>
          </cell>
        </row>
        <row r="464">
          <cell r="B464" t="str">
            <v>11.4 (1)</v>
          </cell>
          <cell r="D464" t="str">
            <v>Pagar Pemisah Pedestrian Carbon Steel</v>
          </cell>
          <cell r="F464" t="str">
            <v>M1</v>
          </cell>
          <cell r="I464">
            <v>0</v>
          </cell>
        </row>
        <row r="465">
          <cell r="B465" t="str">
            <v>11.4 (2)</v>
          </cell>
          <cell r="D465" t="str">
            <v>Pagar Pemisah Pedestrian Galvanised</v>
          </cell>
          <cell r="F465" t="str">
            <v>M1</v>
          </cell>
          <cell r="I465">
            <v>0</v>
          </cell>
        </row>
        <row r="468">
          <cell r="C468" t="str">
            <v>Jumlah Harga Pekerjaan DIVISI 11  (masuk pada Rekapitulasi Perkiraan Harga Pekerjaan)</v>
          </cell>
          <cell r="I468">
            <v>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s>
    <sheetDataSet>
      <sheetData sheetId="0">
        <row r="42">
          <cell r="H42">
            <v>15000</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Sheet1"/>
      <sheetName val="MAJOR"/>
      <sheetName val="%"/>
      <sheetName val="Rekap"/>
      <sheetName val="Informasi"/>
      <sheetName val="Peta Quarry"/>
      <sheetName val="Mobilisasi"/>
      <sheetName val="Perhitungan Mobilisasi Alat"/>
      <sheetName val="Lalu Lintas"/>
      <sheetName val="Jembatan Sementara"/>
      <sheetName val="BOQ"/>
      <sheetName val="D2"/>
      <sheetName val="D3"/>
      <sheetName val="D4"/>
      <sheetName val="D5"/>
      <sheetName val="D6"/>
      <sheetName val="D6 ASBT"/>
      <sheetName val="D7(1)"/>
      <sheetName val="D7(2)"/>
      <sheetName val="D7(3)"/>
      <sheetName val="D8(1)"/>
      <sheetName val="D8(2)"/>
      <sheetName val="D9"/>
      <sheetName val="D10 LS-Rutin"/>
      <sheetName val="D10 Kuantitas"/>
      <sheetName val="D10 Analisa HSP"/>
      <sheetName val="4-Basic Price"/>
      <sheetName val="4-Analisa Quarry"/>
      <sheetName val="4-formulir harga bahan"/>
      <sheetName val="5-ALAT(1)"/>
      <sheetName val="5-ALAT (2)"/>
      <sheetName val="Agg Halus &amp; Kasar"/>
      <sheetName val="Agg A"/>
      <sheetName val="Agg B"/>
      <sheetName val="Agg C"/>
    </sheetNames>
    <sheetDataSet>
      <sheetData sheetId="0"/>
      <sheetData sheetId="1"/>
      <sheetData sheetId="2"/>
      <sheetData sheetId="3"/>
      <sheetData sheetId="4"/>
      <sheetData sheetId="5"/>
      <sheetData sheetId="6"/>
      <sheetData sheetId="7"/>
      <sheetData sheetId="8"/>
      <sheetData sheetId="9"/>
      <sheetData sheetId="10"/>
      <sheetData sheetId="11">
        <row r="37">
          <cell r="F37">
            <v>99221496.663880676</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Mata"/>
      <sheetName val="Analisa"/>
      <sheetName val="Jad"/>
      <sheetName val="Mat"/>
      <sheetName val="RAB"/>
      <sheetName val="Mob"/>
      <sheetName val="MobAlat"/>
      <sheetName val="Alat"/>
      <sheetName val="U &amp; B"/>
      <sheetName val="Jadwal"/>
      <sheetName val="Sub"/>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Rekap BOQ"/>
      <sheetName val="BOQ"/>
      <sheetName val="Div1"/>
      <sheetName val="Div2"/>
      <sheetName val="Div3"/>
      <sheetName val="Div4"/>
      <sheetName val="Div5"/>
      <sheetName val="Div6"/>
      <sheetName val="Div7a"/>
      <sheetName val="Div7a (2)"/>
      <sheetName val="Div7b"/>
      <sheetName val="Div7c"/>
      <sheetName val="Div8a"/>
      <sheetName val="Div8b"/>
      <sheetName val="HS"/>
      <sheetName val="Utama"/>
      <sheetName val="Lamp8"/>
      <sheetName val="Lamp"/>
      <sheetName val="SKon"/>
      <sheetName val="Jadwal"/>
      <sheetName val="Daft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F. Polyclinic"/>
      <sheetName val="rekap ME MB 15M"/>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
      <sheetName val="rab"/>
      <sheetName val="st"/>
      <sheetName val="rekap"/>
      <sheetName val="anal"/>
      <sheetName val="uba"/>
      <sheetName val="metode"/>
      <sheetName val="sch"/>
      <sheetName val="subkon"/>
    </sheetNames>
    <sheetDataSet>
      <sheetData sheetId="0"/>
      <sheetData sheetId="1" refreshError="1"/>
      <sheetData sheetId="2" refreshError="1"/>
      <sheetData sheetId="3"/>
      <sheetData sheetId="4">
        <row r="825">
          <cell r="K825">
            <v>577400</v>
          </cell>
        </row>
        <row r="846">
          <cell r="K846">
            <v>10960</v>
          </cell>
        </row>
        <row r="868">
          <cell r="K868">
            <v>67060</v>
          </cell>
        </row>
        <row r="892">
          <cell r="K892">
            <v>133310</v>
          </cell>
        </row>
        <row r="915">
          <cell r="K915">
            <v>54100</v>
          </cell>
        </row>
        <row r="930">
          <cell r="K930">
            <v>8750</v>
          </cell>
        </row>
      </sheetData>
      <sheetData sheetId="5">
        <row r="79">
          <cell r="H79">
            <v>125000</v>
          </cell>
        </row>
      </sheetData>
      <sheetData sheetId="6" refreshError="1"/>
      <sheetData sheetId="7" refreshError="1"/>
      <sheetData sheetId="8"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AN-RMH"/>
      <sheetName val="UPAH"/>
      <sheetName val="MTRL-ALAMI"/>
      <sheetName val="PABRIK"/>
      <sheetName val="TS"/>
      <sheetName val="AIS 3"/>
      <sheetName val="Sheet1 (2)"/>
      <sheetName val="time schedule"/>
    </sheetNames>
    <sheetDataSet>
      <sheetData sheetId="0"/>
      <sheetData sheetId="1"/>
      <sheetData sheetId="2"/>
      <sheetData sheetId="3"/>
      <sheetData sheetId="4"/>
      <sheetData sheetId="5"/>
      <sheetData sheetId="6"/>
      <sheetData sheetId="7">
        <row r="73">
          <cell r="M73" t="e">
            <v>#N/A</v>
          </cell>
        </row>
        <row r="87">
          <cell r="M87">
            <v>258435.3</v>
          </cell>
        </row>
        <row r="249">
          <cell r="M249">
            <v>62954.8</v>
          </cell>
        </row>
        <row r="294">
          <cell r="M294">
            <v>30105</v>
          </cell>
        </row>
        <row r="318">
          <cell r="M318">
            <v>3408410</v>
          </cell>
        </row>
        <row r="339">
          <cell r="M339">
            <v>203904</v>
          </cell>
        </row>
        <row r="352">
          <cell r="M352">
            <v>272773</v>
          </cell>
        </row>
        <row r="388">
          <cell r="M388">
            <v>2306280</v>
          </cell>
        </row>
        <row r="400">
          <cell r="M400">
            <v>1695710</v>
          </cell>
        </row>
        <row r="434">
          <cell r="M434">
            <v>70539.5</v>
          </cell>
        </row>
        <row r="456">
          <cell r="M456">
            <v>54351.9</v>
          </cell>
        </row>
        <row r="481">
          <cell r="M481">
            <v>48164.9</v>
          </cell>
        </row>
      </sheetData>
      <sheetData sheetId="8"/>
      <sheetData sheetId="9">
        <row r="55">
          <cell r="J55">
            <v>120341</v>
          </cell>
        </row>
        <row r="91">
          <cell r="J91">
            <v>233782</v>
          </cell>
        </row>
        <row r="169">
          <cell r="J169" t="e">
            <v>#N/A</v>
          </cell>
        </row>
        <row r="231">
          <cell r="J231">
            <v>39558</v>
          </cell>
        </row>
        <row r="297">
          <cell r="J297" t="e">
            <v>#N/A</v>
          </cell>
        </row>
        <row r="504">
          <cell r="J504">
            <v>5213510</v>
          </cell>
        </row>
        <row r="530">
          <cell r="J530">
            <v>250048</v>
          </cell>
        </row>
        <row r="544">
          <cell r="J544">
            <v>70539</v>
          </cell>
        </row>
        <row r="591">
          <cell r="J591">
            <v>321066</v>
          </cell>
        </row>
        <row r="637">
          <cell r="J637">
            <v>3113480</v>
          </cell>
        </row>
        <row r="663">
          <cell r="J663">
            <v>2451675</v>
          </cell>
        </row>
        <row r="737">
          <cell r="J737">
            <v>70382</v>
          </cell>
        </row>
        <row r="749">
          <cell r="J749">
            <v>41612.5</v>
          </cell>
        </row>
        <row r="782">
          <cell r="J782">
            <v>282932</v>
          </cell>
        </row>
      </sheetData>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ME SCHE (2)"/>
      <sheetName val="Info 1"/>
      <sheetName val="Ass-um 2"/>
      <sheetName val="BQ 3"/>
      <sheetName val="BQ 4"/>
      <sheetName val="BQ 5"/>
      <sheetName val="Surat Penawar"/>
      <sheetName val="REKAP"/>
      <sheetName val="RAB"/>
      <sheetName val="TIME SCHE"/>
      <sheetName val="Dhs 6"/>
      <sheetName val="Eq. 7"/>
      <sheetName val="Mat. 8"/>
      <sheetName val="Mat. 8 (2)"/>
      <sheetName val="Mat. 8 (3)"/>
      <sheetName val="Aggr. 9"/>
      <sheetName val="DIV I-1.10"/>
      <sheetName val="DIV I-2. 11 "/>
      <sheetName val="DIV I-3 .12 "/>
      <sheetName val="DAMIJA"/>
      <sheetName val="METODE DAMIJA"/>
      <sheetName val="METODE JOINT S"/>
      <sheetName val="JOINT SILENT"/>
      <sheetName val="DIV II. 13"/>
      <sheetName val="DIV III. 14 "/>
      <sheetName val="DIV IV. 15 "/>
      <sheetName val="DIV V. 16"/>
      <sheetName val="DIV VI. 17"/>
      <sheetName val="DIV VII. 18"/>
      <sheetName val="DIV VIII. 19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L-M (4)"/>
      <sheetName val="rph"/>
      <sheetName val="RUMAHJAGA"/>
      <sheetName val="KANDANG"/>
      <sheetName val="SAP-GEDUNG"/>
      <sheetName val="BQ"/>
      <sheetName val="ANL-M"/>
      <sheetName val="AN-RMH"/>
      <sheetName val="REKAP"/>
      <sheetName val="PAGAR"/>
      <sheetName val="PAGAR (2)"/>
      <sheetName val="PAGAR 50%"/>
      <sheetName val="SITE"/>
      <sheetName val="AN PAGAR"/>
      <sheetName val="UPAH"/>
      <sheetName val="MTRL-ALAMI"/>
      <sheetName val="PABRIK"/>
      <sheetName val="an sni"/>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8">
          <cell r="I8">
            <v>33825</v>
          </cell>
        </row>
        <row r="11">
          <cell r="I11">
            <v>4950</v>
          </cell>
        </row>
        <row r="46">
          <cell r="J46">
            <v>145530</v>
          </cell>
        </row>
        <row r="116">
          <cell r="J116">
            <v>660622</v>
          </cell>
        </row>
        <row r="130">
          <cell r="J130">
            <v>524860</v>
          </cell>
        </row>
        <row r="157">
          <cell r="J157">
            <v>949250</v>
          </cell>
        </row>
        <row r="206">
          <cell r="J206">
            <v>662026</v>
          </cell>
        </row>
        <row r="245">
          <cell r="J245">
            <v>36581</v>
          </cell>
        </row>
        <row r="258">
          <cell r="J258">
            <v>41457</v>
          </cell>
        </row>
        <row r="463">
          <cell r="J463">
            <v>4170252</v>
          </cell>
        </row>
        <row r="811">
          <cell r="J811">
            <v>16546</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M43">
            <v>19800</v>
          </cell>
        </row>
        <row r="48">
          <cell r="M48">
            <v>9490.7999999999993</v>
          </cell>
        </row>
        <row r="111">
          <cell r="M111">
            <v>455908</v>
          </cell>
        </row>
        <row r="178">
          <cell r="M178">
            <v>4317006</v>
          </cell>
        </row>
        <row r="237">
          <cell r="M237">
            <v>59127</v>
          </cell>
        </row>
        <row r="283">
          <cell r="M283">
            <v>22100.2</v>
          </cell>
        </row>
      </sheetData>
      <sheetData sheetId="19" refreshError="1"/>
      <sheetData sheetId="20" refreshError="1"/>
      <sheetData sheetId="21"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PRINT"/>
      <sheetName val="RAB PRINT"/>
      <sheetName val="Lingkup"/>
      <sheetName val="REK"/>
      <sheetName val="RAB CIMAHI"/>
      <sheetName val="8LT 12"/>
      <sheetName val="8LT PAK"/>
      <sheetName val="8LT SAR"/>
      <sheetName val="8LT T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NCIAN"/>
      <sheetName val="Sheet1"/>
      <sheetName val="Sheet11"/>
      <sheetName val="Sheet10"/>
      <sheetName val="Sheet5"/>
      <sheetName val="AKS-KTP"/>
      <sheetName val="Sheet7"/>
      <sheetName val="ASDP"/>
      <sheetName val="Sheet2"/>
      <sheetName val="Gb.3.3."/>
      <sheetName val="Gb.3.1."/>
      <sheetName val="sket lokasi"/>
      <sheetName val="Sheet12"/>
      <sheetName val="Gb.1.1."/>
      <sheetName val="Sheet9"/>
      <sheetName val="Gb.2.1."/>
      <sheetName val="Gb.2.8."/>
      <sheetName val="Gb.2.17."/>
      <sheetName val="Gb.2.18."/>
      <sheetName val="Undpass"/>
      <sheetName val="024.1"/>
      <sheetName val="AKS_KT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rekap"/>
      <sheetName val="rab1"/>
      <sheetName val="upahbahan"/>
      <sheetName val="metode"/>
      <sheetName val="analisa"/>
      <sheetName val="anal-alat"/>
      <sheetName val="scedule"/>
      <sheetName val="Sheet1"/>
      <sheetName val="pemb.utama"/>
      <sheetName val="kontrakterseleksi"/>
      <sheetName val="simak"/>
      <sheetName val="subkon"/>
      <sheetName val="lamp.13"/>
      <sheetName val="satjadi"/>
      <sheetName val="rab"/>
      <sheetName val="Sheet4"/>
      <sheetName val="timescedule"/>
      <sheetName val="skema"/>
      <sheetName val="usulanalat"/>
      <sheetName val="usulanstafinti"/>
      <sheetName val="dataadm"/>
      <sheetName val="isian kua."/>
      <sheetName val="Lan.hukum"/>
      <sheetName val="neraca"/>
      <sheetName val="personalia"/>
      <sheetName val="dataperalatan"/>
      <sheetName val="datapengalaman"/>
      <sheetName val="SKN"/>
      <sheetName val="CAVER"/>
      <sheetName val="OUTPUT"/>
      <sheetName val="Sheet2"/>
    </sheetNames>
    <sheetDataSet>
      <sheetData sheetId="0"/>
      <sheetData sheetId="1" refreshError="1">
        <row r="51">
          <cell r="G51">
            <v>690614571.09083867</v>
          </cell>
        </row>
      </sheetData>
      <sheetData sheetId="2" refreshError="1">
        <row r="28">
          <cell r="I28">
            <v>1250000</v>
          </cell>
        </row>
        <row r="48">
          <cell r="I48">
            <v>112178377.69947073</v>
          </cell>
        </row>
        <row r="68">
          <cell r="I68">
            <v>1476975.9598958497</v>
          </cell>
        </row>
        <row r="108">
          <cell r="I108">
            <v>0</v>
          </cell>
        </row>
        <row r="139">
          <cell r="I139">
            <v>518468986.29868788</v>
          </cell>
        </row>
        <row r="306">
          <cell r="I306">
            <v>2971126.1249999995</v>
          </cell>
        </row>
        <row r="364">
          <cell r="I364">
            <v>54269105.007784255</v>
          </cell>
        </row>
      </sheetData>
      <sheetData sheetId="3" refreshError="1">
        <row r="28">
          <cell r="G28">
            <v>13500</v>
          </cell>
        </row>
        <row r="29">
          <cell r="G29">
            <v>8000</v>
          </cell>
        </row>
        <row r="30">
          <cell r="G30">
            <v>8500</v>
          </cell>
        </row>
        <row r="31">
          <cell r="G31">
            <v>13500</v>
          </cell>
        </row>
        <row r="32">
          <cell r="G32">
            <v>7500</v>
          </cell>
        </row>
        <row r="67">
          <cell r="G67">
            <v>147785.46666666667</v>
          </cell>
        </row>
        <row r="68">
          <cell r="G68">
            <v>142177.856</v>
          </cell>
        </row>
        <row r="69">
          <cell r="G69">
            <v>336872.16000000003</v>
          </cell>
        </row>
        <row r="70">
          <cell r="G70">
            <v>246763.91999999998</v>
          </cell>
        </row>
        <row r="71">
          <cell r="G71">
            <v>149942.24</v>
          </cell>
        </row>
        <row r="72">
          <cell r="G72">
            <v>272261.68</v>
          </cell>
        </row>
        <row r="73">
          <cell r="G73">
            <v>129143.37599999999</v>
          </cell>
        </row>
        <row r="74">
          <cell r="G74">
            <v>203352.24</v>
          </cell>
        </row>
        <row r="75">
          <cell r="G75">
            <v>23419.760000000002</v>
          </cell>
        </row>
        <row r="76">
          <cell r="G76">
            <v>145084.576</v>
          </cell>
        </row>
        <row r="77">
          <cell r="G77">
            <v>22300</v>
          </cell>
        </row>
        <row r="78">
          <cell r="G78">
            <v>250</v>
          </cell>
        </row>
        <row r="111">
          <cell r="G111">
            <v>140000</v>
          </cell>
        </row>
        <row r="112">
          <cell r="G112">
            <v>125000</v>
          </cell>
        </row>
        <row r="114">
          <cell r="G114">
            <v>8500</v>
          </cell>
        </row>
        <row r="115">
          <cell r="G115">
            <v>25</v>
          </cell>
        </row>
        <row r="116">
          <cell r="G116">
            <v>85000</v>
          </cell>
        </row>
        <row r="117">
          <cell r="G117">
            <v>125000</v>
          </cell>
        </row>
        <row r="118">
          <cell r="G118">
            <v>140000</v>
          </cell>
        </row>
        <row r="119">
          <cell r="G119">
            <v>155000</v>
          </cell>
        </row>
        <row r="120">
          <cell r="G120">
            <v>38000</v>
          </cell>
        </row>
        <row r="122">
          <cell r="G122">
            <v>75000</v>
          </cell>
        </row>
      </sheetData>
      <sheetData sheetId="4"/>
      <sheetData sheetId="5" refreshError="1">
        <row r="96">
          <cell r="K96">
            <v>36815.076144000006</v>
          </cell>
        </row>
        <row r="155">
          <cell r="K155">
            <v>685905</v>
          </cell>
        </row>
        <row r="1226">
          <cell r="K1226" t="e">
            <v>#REF!</v>
          </cell>
        </row>
        <row r="4217">
          <cell r="K4217" t="e">
            <v>#REF!</v>
          </cell>
        </row>
        <row r="4278">
          <cell r="K4278" t="e">
            <v>#REF!</v>
          </cell>
        </row>
        <row r="4339">
          <cell r="K4339" t="e">
            <v>#REF!</v>
          </cell>
        </row>
        <row r="4400">
          <cell r="K4400" t="e">
            <v>#REF!</v>
          </cell>
        </row>
        <row r="4461">
          <cell r="K4461" t="e">
            <v>#REF!</v>
          </cell>
        </row>
        <row r="4520">
          <cell r="K4520" t="e">
            <v>#REF!</v>
          </cell>
        </row>
        <row r="4578">
          <cell r="K4578" t="e">
            <v>#REF!</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row r="5">
          <cell r="A5" t="str">
            <v>INDRIATI GAIB</v>
          </cell>
        </row>
        <row r="9">
          <cell r="A9" t="str">
            <v>CV.  NATON</v>
          </cell>
        </row>
      </sheetData>
      <sheetData sheetId="3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ontrak PPSPL"/>
      <sheetName val="SPL PPSPL"/>
      <sheetName val="SPMK PPSPL"/>
      <sheetName val="DISPOSISI P2JKK (2)"/>
      <sheetName val="KULIT DAK"/>
      <sheetName val="SPL-DAK"/>
      <sheetName val="SPMK-DAK"/>
      <sheetName val="KULIT DASIS"/>
      <sheetName val="Kontrak DASIS"/>
      <sheetName val="Kontrak DAK"/>
      <sheetName val="Kontrak DAK (2)"/>
      <sheetName val="Kontrak DAK (3)"/>
      <sheetName val="SPMKPerubahan"/>
      <sheetName val="SPLPerubahan"/>
      <sheetName val="Kon. Perubahan"/>
      <sheetName val="Kon.Tobololo"/>
      <sheetName val="Kontrak"/>
      <sheetName val="SPL1"/>
      <sheetName val="SPMK"/>
      <sheetName val="KULIT Kontrak 2002"/>
      <sheetName val="DATABASE"/>
      <sheetName val="DATABASE-01"/>
      <sheetName val="Kon. ABT  2003"/>
      <sheetName val="SPMK ABT 2003"/>
      <sheetName val="SPL ABT  2003"/>
      <sheetName val="KULIT ABT 200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4">
          <cell r="C24">
            <v>16</v>
          </cell>
          <cell r="D24" t="str">
            <v>Ny. Mariam Amra, SH</v>
          </cell>
          <cell r="E24" t="str">
            <v>Direktur  CV.  MARSAL</v>
          </cell>
          <cell r="F24" t="str">
            <v>GERSON TJOANAPESSY,  SH.  No.  02   Tanggal   16  Agustus  1994</v>
          </cell>
          <cell r="G24" t="str">
            <v>PENGAMANAN BADAN JALAN ( TALUD DAULASI )</v>
          </cell>
          <cell r="H24" t="str">
            <v>0.308  Km</v>
          </cell>
          <cell r="I24" t="str">
            <v>Ny. MARIAM AMRA. SH</v>
          </cell>
          <cell r="J24" t="str">
            <v>DIREKTRIS</v>
          </cell>
          <cell r="K24">
            <v>672259090.90909088</v>
          </cell>
          <cell r="L24">
            <v>67225909.090909094</v>
          </cell>
          <cell r="M24">
            <v>739485000</v>
          </cell>
          <cell r="N24" t="str">
            <v>620 / 07a / PW-DAK / KOTA  TTE / 2004,  TANGGAL,  05  FEBRUARI  2004</v>
          </cell>
          <cell r="O24" t="str">
            <v>Jln.  Daniel Bohang  No.  207 Kel. Salero - Ternate</v>
          </cell>
          <cell r="P24" t="str">
            <v>CV.  M A R S A L</v>
          </cell>
          <cell r="Q24" t="str">
            <v>( Tujuh Ratus Tiga Puluh Sembilan Juta Empat Ratus Delapan Puluh Lima Ribu Rupiah )</v>
          </cell>
          <cell r="R24" t="str">
            <v>Kota Ternate Utara</v>
          </cell>
          <cell r="S24" t="str">
            <v>Delapan Puluh Lima Ribu Rupiah )</v>
          </cell>
          <cell r="T24" t="str">
            <v>Nomor : 620 / 17a / PW-DAK / KOTA  TTE / 2004</v>
          </cell>
          <cell r="U24" t="str">
            <v>Nomor : 620 / 12a / PW-DAK / KOTA  TTE / 2004</v>
          </cell>
          <cell r="V24" t="str">
            <v>Pengamanan Badan Jalan ( Talud Daulasi )</v>
          </cell>
          <cell r="W24" t="str">
            <v>Nomor : 620 / 17a / PW-DAK / KOTA  TTE / 2004</v>
          </cell>
          <cell r="X24" t="str">
            <v>Nomor   :  620 / 07a / PW-DAK / KOTA  TTE / 2004</v>
          </cell>
          <cell r="Y24" t="str">
            <v>TANGGAL,   05  FEBRUARI  2004</v>
          </cell>
          <cell r="Z24" t="str">
            <v>Alamat   :  Jln.  Daniel Bohang No.  207 Kel. Salero - Ternate</v>
          </cell>
          <cell r="AA24" t="str">
            <v>620 / 07a / PW-DAK / KOTA  TTE / 2004</v>
          </cell>
          <cell r="AB24" t="str">
            <v>05  FEBRUARI  2004</v>
          </cell>
          <cell r="AC24" t="str">
            <v xml:space="preserve">PT. Bank BNI No. 2003 / TNT / 11 / 1707 / Senin 31 Maret  2003 </v>
          </cell>
          <cell r="AD24" t="str">
            <v xml:space="preserve">  2. 15. 01. 3. 2. 01. 06</v>
          </cell>
          <cell r="AE24" t="str">
            <v>SUAIB TEAPON</v>
          </cell>
          <cell r="AF24" t="str">
            <v>Ir. M. DJUFRI  MAS'UD</v>
          </cell>
        </row>
        <row r="25">
          <cell r="C25">
            <v>17</v>
          </cell>
          <cell r="D25" t="str">
            <v>Bi Kona</v>
          </cell>
          <cell r="E25" t="str">
            <v>Direktur  CV.  DELTA</v>
          </cell>
          <cell r="F25" t="str">
            <v>TATIEK NURDJANTI,  SH.  No.  10   Tanggal   20  Desember  2002</v>
          </cell>
          <cell r="G25" t="str">
            <v>PEMBANGUNAN PENUNJANG DERMAGA DUFA - DUFA</v>
          </cell>
          <cell r="H25" t="str">
            <v>1 Unit</v>
          </cell>
          <cell r="I25" t="str">
            <v>BI KONA</v>
          </cell>
          <cell r="J25" t="str">
            <v>DIREKTUR</v>
          </cell>
          <cell r="K25">
            <v>355959090.90909094</v>
          </cell>
          <cell r="L25">
            <v>35595909.090909094</v>
          </cell>
          <cell r="M25">
            <v>391555000</v>
          </cell>
          <cell r="N25" t="str">
            <v>Nomor : 620 / 09a / PW-DAU / KOTA  TTE / 2004</v>
          </cell>
          <cell r="O25" t="str">
            <v>Jln. Batu Angus  Kel. Tafure - Ternate</v>
          </cell>
          <cell r="P25" t="str">
            <v>CV. DELTA</v>
          </cell>
          <cell r="Q25" t="str">
            <v>(Tiga Ratus Sembilan Puluh Satu Juta Lima Ratus Lima Puluh Lima Ribu Rupiah)</v>
          </cell>
          <cell r="R25" t="str">
            <v>Kota  Ternate  Utara</v>
          </cell>
          <cell r="S25" t="str">
            <v>Delapan  Puluh  Satu  Ribu  Rupiah</v>
          </cell>
          <cell r="T25" t="str">
            <v>Nomor : 620 / 14a / PW-DAU / KOTA  TTE / 2004</v>
          </cell>
          <cell r="U25" t="str">
            <v>Nomor : 620 / 19A / PW-DAU / KOTA  TTE / 2004</v>
          </cell>
          <cell r="V25" t="str">
            <v>PEMBANGUNAN PENUNJANG DERMAGA DUFA - DUFA</v>
          </cell>
          <cell r="W25" t="str">
            <v>Nomor : 620 / 09a / PW-DAU / KOTA  TTE / 2004</v>
          </cell>
          <cell r="X25" t="str">
            <v>Nomor   :  620 / 09a / PW-DAU / KOTA  TTE / 2004</v>
          </cell>
          <cell r="Y25" t="str">
            <v>TANGGAL,   01  MEI  2004</v>
          </cell>
          <cell r="Z25" t="str">
            <v>Jln. Batu Angus  Kel. Tafure - Ternate</v>
          </cell>
          <cell r="AA25" t="str">
            <v>620 / 09a / PW-DAU / KOTA  TTE / 2004</v>
          </cell>
          <cell r="AB25" t="str">
            <v>01  MEI  2004</v>
          </cell>
          <cell r="AC25" t="str">
            <v>Dua  Ratus  Empat  Puluh  Empat  Juta  Dua  -</v>
          </cell>
          <cell r="AD25" t="str">
            <v xml:space="preserve">  2. 15. 01. 3. 21. 01. 02</v>
          </cell>
          <cell r="AE25" t="str">
            <v>SYAHRUDIN MILE, Amd</v>
          </cell>
          <cell r="AF25" t="str">
            <v>IKRA  HALIL,  ST.</v>
          </cell>
        </row>
        <row r="26">
          <cell r="C26">
            <v>18</v>
          </cell>
          <cell r="D26" t="str">
            <v>Mariyam Muslim</v>
          </cell>
          <cell r="E26" t="str">
            <v>Direktris  CV.  DANDI</v>
          </cell>
          <cell r="F26" t="str">
            <v>MUHAMMAD  ANSAR  BASINU,  SH   No.  31  Tanggal  14  Desember  2000</v>
          </cell>
          <cell r="G26" t="str">
            <v>PEMELIHARAAN RUTIN JALAN PAKET I</v>
          </cell>
          <cell r="H26" t="str">
            <v>4.709 Km</v>
          </cell>
          <cell r="I26" t="str">
            <v>MARIYAM MUSLIM</v>
          </cell>
          <cell r="J26" t="str">
            <v>DIREKTRIS</v>
          </cell>
          <cell r="K26">
            <v>62649090.909090906</v>
          </cell>
          <cell r="L26">
            <v>6264909.0909090908</v>
          </cell>
          <cell r="M26">
            <v>68914000</v>
          </cell>
          <cell r="N26" t="str">
            <v>Nomor : 620 / 56 / PW - DAK / KOTA  TTE / 2004</v>
          </cell>
          <cell r="O26" t="str">
            <v>Jl. Maliaro RT. 07/03 Kel. Maliaro - Ternate</v>
          </cell>
          <cell r="P26" t="str">
            <v>CV. DANDI</v>
          </cell>
          <cell r="Q26" t="str">
            <v>(Enam Puluh Delapan Juta Sembilan Ratus Empat Belas Ribu Rupiah)</v>
          </cell>
          <cell r="R26" t="str">
            <v>Kota  Ternate  Selatan</v>
          </cell>
          <cell r="S26" t="str">
            <v>Ratus Empat Belas Ribu Rupiah</v>
          </cell>
          <cell r="T26" t="str">
            <v>Nomor : 620 / 72 / PW-DAK / KOTA  TTE / 2004</v>
          </cell>
          <cell r="U26" t="str">
            <v>Nomor : 620 / 88 / PW-DAK / KOTA  TTE / 2004</v>
          </cell>
          <cell r="V26" t="str">
            <v>PEMELIHARAAN RUTIN JALAN PAKET I</v>
          </cell>
          <cell r="W26" t="str">
            <v>Nomor : 620 / 56 / PW - DAK / KOTA  TTE / 2004</v>
          </cell>
          <cell r="X26" t="str">
            <v>Nomor : 620 / 56 / PW - DAK / KOTA  TTE / 2004</v>
          </cell>
          <cell r="Y26" t="str">
            <v>TANGGAL,   01  MEI  2004</v>
          </cell>
          <cell r="Z26" t="str">
            <v>Jl. Maliaro RT. 07/03 Kel. Maliaro - Ternate</v>
          </cell>
          <cell r="AA26" t="str">
            <v>620 / 56 / PW - DAK / KOTA  TTE / 2004</v>
          </cell>
          <cell r="AB26" t="str">
            <v>01  MEI  2004</v>
          </cell>
          <cell r="AC26" t="str">
            <v>Enam  Puluh  Delapan  Juta  Sembilan  Ratus  -</v>
          </cell>
          <cell r="AD26" t="str">
            <v>2.15.01.2.4.01.01.01.2</v>
          </cell>
          <cell r="AE26" t="str">
            <v>SUAIB TEAPON</v>
          </cell>
          <cell r="AF26" t="str">
            <v>Empat  Belas  Ribu  Rupiah</v>
          </cell>
        </row>
        <row r="27">
          <cell r="C27">
            <v>19</v>
          </cell>
          <cell r="D27" t="str">
            <v>Iming Ekawati Satya</v>
          </cell>
          <cell r="E27" t="str">
            <v>Direktris  CV.  MAHKOTA</v>
          </cell>
          <cell r="F27" t="str">
            <v>FARUK   ALWY,  SH    No.   22   Tanggal   17   Februari   2003</v>
          </cell>
          <cell r="G27" t="str">
            <v>PEMELIHARAAN RUTIN JALAN PAKET II</v>
          </cell>
          <cell r="H27" t="str">
            <v>14.888 Km</v>
          </cell>
          <cell r="I27" t="str">
            <v>IMING EKAWATI SATYA</v>
          </cell>
          <cell r="J27" t="str">
            <v>DIREKTRIS</v>
          </cell>
          <cell r="K27">
            <v>206657272.72727272</v>
          </cell>
          <cell r="L27">
            <v>20665727.272727273</v>
          </cell>
          <cell r="M27">
            <v>227323000</v>
          </cell>
          <cell r="N27" t="str">
            <v>Nomor : 620 / 57 / PW-DAK / KOTA  TTE / 2004</v>
          </cell>
          <cell r="O27" t="str">
            <v>Jl. Pahlawan Revolusi - Ternate</v>
          </cell>
          <cell r="P27" t="str">
            <v>CV. MAHKOTA</v>
          </cell>
          <cell r="Q27" t="str">
            <v>(Dua Ratus Dua Puluh Tujuh Juta Tiga Ratus Dua Puluh Tiga Ribu Rupiah)</v>
          </cell>
          <cell r="R27" t="str">
            <v>Kota  Ternate  Utara</v>
          </cell>
          <cell r="S27" t="str">
            <v>Tiga Ratus Dua Puluh Tiga Ribu Rupiah</v>
          </cell>
          <cell r="T27" t="str">
            <v>Nomor : 620 / 73 / PW-DAK / KOTA  TTE / 2004</v>
          </cell>
          <cell r="U27" t="str">
            <v>Nomor : 620 / 89 / PW-DAK / KOTA  TTE / 2004</v>
          </cell>
          <cell r="V27" t="str">
            <v>PEMELIHARAAN RUTIN JALAN PAKET II</v>
          </cell>
          <cell r="W27" t="str">
            <v>Nomor : 620 / 57 / PW-DAK / KOTA  TTE / 2004</v>
          </cell>
          <cell r="X27" t="str">
            <v>Nomor : 620 / 57 / PW-DAK / KOTA  TTE / 2004</v>
          </cell>
          <cell r="Y27" t="str">
            <v>TANGGAL,   01  MEI  2004</v>
          </cell>
          <cell r="Z27" t="str">
            <v>Jl. Pahlawan Revolusi - Ternate</v>
          </cell>
          <cell r="AA27" t="str">
            <v>620 / 57 / PW-DAK / KOTA  TTE / 2004</v>
          </cell>
          <cell r="AB27" t="str">
            <v>01  MEI  2004</v>
          </cell>
          <cell r="AC27" t="str">
            <v>Dua Ratus Dua Puluh Tujuh Juta Tiga Ratus  -</v>
          </cell>
          <cell r="AD27" t="str">
            <v>2.15.01.2.4.01.01.02.2</v>
          </cell>
          <cell r="AE27" t="str">
            <v>SUAIB TEAPON</v>
          </cell>
          <cell r="AF27" t="str">
            <v>Dua Puluh Tiga Ribu Rupiah</v>
          </cell>
        </row>
        <row r="28">
          <cell r="C28">
            <v>20</v>
          </cell>
          <cell r="D28" t="str">
            <v>Taufik Rahman</v>
          </cell>
          <cell r="E28" t="str">
            <v>Direktur  CV.  BATU JAJAR</v>
          </cell>
          <cell r="F28" t="str">
            <v>FARUK   ALWY,  SH     No.   12    Tanggal   7   Februari   2001</v>
          </cell>
          <cell r="G28" t="str">
            <v>PEMELIHARAAN RUTIN JALAN PAKET III</v>
          </cell>
          <cell r="H28" t="str">
            <v>6.774 Km</v>
          </cell>
          <cell r="I28" t="str">
            <v>TAUFIK RAHMAN</v>
          </cell>
          <cell r="J28" t="str">
            <v>DIREKTUR</v>
          </cell>
          <cell r="K28">
            <v>91986363.63636364</v>
          </cell>
          <cell r="L28">
            <v>9198636.3636363652</v>
          </cell>
          <cell r="M28">
            <v>101185000</v>
          </cell>
          <cell r="N28" t="str">
            <v>Nomor : 620 / 58 / PW-DAK / KOTA  TTE / 2004</v>
          </cell>
          <cell r="O28" t="str">
            <v>Kel. Kalumpang - Ternate</v>
          </cell>
          <cell r="P28" t="str">
            <v>CV. BATU JAJAR</v>
          </cell>
          <cell r="Q28" t="str">
            <v>(Seratus Satu Juta Seratus Delapan Puluh Lima Ribu Rupiah)</v>
          </cell>
          <cell r="R28" t="str">
            <v>Kota  Ternate  Utara</v>
          </cell>
          <cell r="S28" t="str">
            <v>Delapan Puluh Lima Ribu Rupiah</v>
          </cell>
          <cell r="T28" t="str">
            <v>Nomor : 620 / 74 / PW-DAK / KOTA  TTE / 2004</v>
          </cell>
          <cell r="U28" t="str">
            <v>Nomor : 620 / 90 / PW-DAK / KOTA  TTE / 2004</v>
          </cell>
          <cell r="V28" t="str">
            <v>PEMELIHARAAN RUTIN JALAN PAKET III</v>
          </cell>
          <cell r="W28" t="str">
            <v>Nomor : 620 / 58 / PW-DAK / KOTA  TTE / 2004</v>
          </cell>
          <cell r="X28" t="str">
            <v>Nomor : 620 / 58 / PW-DAK / KOTA  TTE / 2004</v>
          </cell>
          <cell r="Y28" t="str">
            <v>TANGGAL,   01  MEI  2004</v>
          </cell>
          <cell r="Z28" t="str">
            <v>Kel. Kalumpang - Ternate</v>
          </cell>
          <cell r="AA28" t="str">
            <v>620 / 58 / PW-DAK / KOTA  TTE / 2004</v>
          </cell>
          <cell r="AB28" t="str">
            <v>01  MEI  2004</v>
          </cell>
          <cell r="AC28" t="str">
            <v>Seratus Satu Juta Seratus Delapan Puluh Lima Ribu Rupiah</v>
          </cell>
          <cell r="AD28" t="str">
            <v>2.15.01.2.4.01.01.03.2</v>
          </cell>
          <cell r="AF28" t="str">
            <v>(Seratus Satu Juta Seratus Delapan Puluh Lima Ribu Rupiah)</v>
          </cell>
        </row>
        <row r="29">
          <cell r="C29">
            <v>21</v>
          </cell>
          <cell r="D29" t="str">
            <v>Tjetjep Sutarman</v>
          </cell>
          <cell r="E29" t="str">
            <v>Direktur CV. WIRABUANA BHAKTI</v>
          </cell>
          <cell r="F29" t="str">
            <v>TATIEK NURDJANTI,  SH.  No.  13   Tanggal  28  Desember  2002</v>
          </cell>
          <cell r="G29" t="str">
            <v>PEMELIHARAAN RUTIN JALAN PAKET IV</v>
          </cell>
          <cell r="H29" t="str">
            <v>10.117 Km</v>
          </cell>
          <cell r="I29" t="str">
            <v>TJETJEP SUTARMAN</v>
          </cell>
          <cell r="J29" t="str">
            <v>DIREKTUR</v>
          </cell>
          <cell r="K29">
            <v>137652727.27272728</v>
          </cell>
          <cell r="L29">
            <v>13765272.727272728</v>
          </cell>
          <cell r="M29">
            <v>151418000</v>
          </cell>
          <cell r="N29" t="str">
            <v>Nomor : 620 / 59 / PW-DAK / KOTA  TTE / 2004</v>
          </cell>
          <cell r="O29" t="str">
            <v>Jl. Melati Kel. Tanah Tinggi - Ternate</v>
          </cell>
          <cell r="P29" t="str">
            <v>CV. WIRABUANA BHAKTI</v>
          </cell>
          <cell r="Q29" t="str">
            <v>(Seratus Lima Puluh Satu Juta Empat Ratus Delapan Belas Ribu Rupiah)</v>
          </cell>
          <cell r="R29" t="str">
            <v>Kota Ternate Selatan</v>
          </cell>
          <cell r="S29" t="str">
            <v>Ratus Delapan Belas Ribu Rupiah</v>
          </cell>
          <cell r="T29" t="str">
            <v>Nomor : 620 / 75 / PW-DAK / KOTA  TTE / 2004</v>
          </cell>
          <cell r="U29" t="str">
            <v>Nomor : 620 / 91 / PW-DAK / KOTA  TTE / 2004</v>
          </cell>
          <cell r="V29" t="str">
            <v>PEMELIHARAAN RUTIN JALAN PAKET IV</v>
          </cell>
          <cell r="W29" t="str">
            <v>Nomor : 620 / 59 / PW-DAK / KOTA  TTE / 2004</v>
          </cell>
          <cell r="X29" t="str">
            <v>Nomor : 620 / 59 / PW-DAK / KOTA  TTE / 2004</v>
          </cell>
          <cell r="Y29" t="str">
            <v>TANGGAL,   01  MEI  2004</v>
          </cell>
          <cell r="Z29" t="str">
            <v>Jl. Melati Kel. Tanah Tinggi - Ternate</v>
          </cell>
          <cell r="AA29" t="str">
            <v>620 / 59 / PW-DAK / KOTA  TTE / 2004</v>
          </cell>
          <cell r="AB29" t="str">
            <v>01  MEI  2004</v>
          </cell>
          <cell r="AC29" t="str">
            <v>Seratus  Lima  Puluh  Satu  Juta  Empat  Ratus  -</v>
          </cell>
          <cell r="AD29" t="str">
            <v>2.15.01.2.4.01.01.04.2</v>
          </cell>
          <cell r="AE29" t="str">
            <v>SETIJAHADI</v>
          </cell>
          <cell r="AF29" t="str">
            <v>Delapan  Belas  Ribu  Rupiah</v>
          </cell>
        </row>
        <row r="30">
          <cell r="C30">
            <v>22</v>
          </cell>
          <cell r="D30" t="str">
            <v>Ir. Hi. Sudarsono</v>
          </cell>
          <cell r="E30" t="str">
            <v>Direktur   CV.  Marimoi  Engineering</v>
          </cell>
          <cell r="F30" t="str">
            <v>84 Tanggal 30 Desember 2000</v>
          </cell>
          <cell r="G30" t="str">
            <v>Pembangunan  Jalan  Ake  Tubo  ( Lanjutan )</v>
          </cell>
          <cell r="H30" t="str">
            <v>1.438   Km</v>
          </cell>
          <cell r="I30" t="str">
            <v>Ir.  HI.  SUDARSONO</v>
          </cell>
          <cell r="J30" t="str">
            <v>DIREKTUR</v>
          </cell>
          <cell r="K30">
            <v>293527272.72727269</v>
          </cell>
          <cell r="L30">
            <v>29352727.27272727</v>
          </cell>
          <cell r="M30">
            <v>322880000</v>
          </cell>
          <cell r="N30" t="str">
            <v>620 / 10 / PW-DAU / KOTA  TTE / 2004,  TANGGAL,  05  FEBRUARI  2004</v>
          </cell>
          <cell r="O30" t="str">
            <v>Jln.  Raya  Laguna  No.  27  Bastiong  Ternate</v>
          </cell>
          <cell r="P30" t="str">
            <v>CV.  MARIMOI  ANGINEERING</v>
          </cell>
          <cell r="Q30" t="str">
            <v>Seratus Tiga  Puluh  Dua  Juta  Tiga  Ratus  Sembilan -</v>
          </cell>
          <cell r="R30" t="str">
            <v>Kota  Ternate  Utara</v>
          </cell>
          <cell r="S30" t="str">
            <v>Puluh  Sembilan  Ribu  Rupiah</v>
          </cell>
          <cell r="T30" t="str">
            <v>620 / 316 / P2JKK / KOTA  TTE / 2003,  TANGGAL,  09  Oktober  2003</v>
          </cell>
          <cell r="U30" t="str">
            <v>620 / 319 / P2JKK / KOTA  TTE / 2003,  TANGGAL,  09  Oktober  2003</v>
          </cell>
          <cell r="V30" t="str">
            <v>Pembangunan  Jalan  Ake  Tubo  ( Lanjutan )</v>
          </cell>
          <cell r="W30" t="str">
            <v>Nomor : 620 / 60 / PW-DAK / KOTA  TTE / 2004</v>
          </cell>
          <cell r="X30" t="str">
            <v>Nomor   :  620 / 10 / PW-DAU / KOTA  TTE / 2004</v>
          </cell>
          <cell r="Y30" t="str">
            <v>TANGGAL,   05  FEBRUARI  2004</v>
          </cell>
          <cell r="Z30" t="str">
            <v>Alamat  :  Jln.  Raya  Laguna  No.  27  Bastiong  Ternate</v>
          </cell>
          <cell r="AA30" t="str">
            <v>620 / 60 / PW-DAK / KOTA  TTE / 2004</v>
          </cell>
          <cell r="AB30" t="str">
            <v>01  MEI  2004</v>
          </cell>
          <cell r="AC30" t="str">
            <v xml:space="preserve">PT. Asuransi Jasa Raharja Putra  No.13.12.04.2003.04.00007,  Senin 28 April  2003 </v>
          </cell>
          <cell r="AD30" t="str">
            <v xml:space="preserve">  2.15.01.2.4.01.01.2.</v>
          </cell>
          <cell r="AE30" t="str">
            <v>ABUNAWAS  D.  ST.</v>
          </cell>
          <cell r="AF30" t="str">
            <v>IKRA  HALIL,  ST.</v>
          </cell>
        </row>
        <row r="31">
          <cell r="C31">
            <v>23</v>
          </cell>
          <cell r="D31" t="str">
            <v>Ir. Nurmiaty Ismail</v>
          </cell>
          <cell r="E31" t="str">
            <v>Direktris  CV.  ARISTA JAYA</v>
          </cell>
          <cell r="F31" t="str">
            <v>FARUK   ALWY,  SH    No.  16   Tanggal   11  Juni   1999</v>
          </cell>
          <cell r="G31" t="str">
            <v>PEMELIHARAAN BERKALA JALAN PAKET I</v>
          </cell>
          <cell r="H31" t="str">
            <v>3.851 Km</v>
          </cell>
          <cell r="I31" t="str">
            <v>Ir. NURMIATY ISMAIL</v>
          </cell>
          <cell r="J31" t="str">
            <v>DIREKTRIS</v>
          </cell>
          <cell r="K31">
            <v>314650000</v>
          </cell>
          <cell r="L31">
            <v>31465000</v>
          </cell>
          <cell r="M31">
            <v>346115000</v>
          </cell>
          <cell r="N31" t="str">
            <v>Nomor : 620 / 61 / PW-DAK / KOTA  TTE / 2004</v>
          </cell>
          <cell r="O31" t="str">
            <v>Jl. Raya Laguna Bastiong - Ternate</v>
          </cell>
          <cell r="P31" t="str">
            <v>CV. ARISTA JAYA</v>
          </cell>
          <cell r="Q31" t="str">
            <v>(Tiga Ratus Empat Puluh Enam Juta Seratus Lima Belas Ribu Rupiah)</v>
          </cell>
          <cell r="R31" t="str">
            <v>Kota Ternate Utara</v>
          </cell>
          <cell r="S31" t="str">
            <v>Seratus Lima Belas Ribu Rupiah</v>
          </cell>
          <cell r="T31" t="str">
            <v>Nomor : 620 / 77 / PW-DAK / KOTA  TTE / 2004</v>
          </cell>
          <cell r="U31" t="str">
            <v>Nomor : 620 / 93 / PW-DAK / KOTA  TTE / 2004</v>
          </cell>
          <cell r="V31" t="str">
            <v>PEMELIHARAAN BERKALA JALAN PAKET I</v>
          </cell>
          <cell r="W31" t="str">
            <v>Nomor : 620 / 61 / PW-DAK / KOTA  TTE / 2004</v>
          </cell>
          <cell r="X31" t="str">
            <v>Nomor : 620 / 61 / PW-DAK / KOTA  TTE / 2004</v>
          </cell>
          <cell r="Y31" t="str">
            <v>TANGGAL,   01  MEI  2004</v>
          </cell>
          <cell r="Z31" t="str">
            <v>Jl. Raya Laguna Bastiong - Ternate</v>
          </cell>
          <cell r="AA31" t="str">
            <v>620 / 61 / PW-DAK / KOTA  TTE / 2004</v>
          </cell>
          <cell r="AB31" t="str">
            <v>01  MEI  2004</v>
          </cell>
          <cell r="AC31" t="str">
            <v>Tiga  Ratus  Empat  Puluh  Enam  Juta  -</v>
          </cell>
          <cell r="AD31" t="str">
            <v>2.15.01.2.4.01.01.06.2</v>
          </cell>
          <cell r="AE31" t="str">
            <v>ABUNAWAS  D.  ST.</v>
          </cell>
          <cell r="AF31" t="str">
            <v>Seratus  Lima  Belas  Ribu  Rupiah</v>
          </cell>
        </row>
        <row r="32">
          <cell r="C32">
            <v>24</v>
          </cell>
          <cell r="D32" t="str">
            <v>Helmi Utama  AR.</v>
          </cell>
          <cell r="E32" t="str">
            <v>Direktur CV. REZA UTAMA</v>
          </cell>
          <cell r="F32" t="str">
            <v>MUHAMMAD ANSAR ABD. BASINU, SH  No. 46 Tanggal 15 Desember 2000</v>
          </cell>
          <cell r="G32" t="str">
            <v>PEMELIHARAAN BERKALA JALAN PAKET II</v>
          </cell>
          <cell r="H32" t="str">
            <v>2.281 Km</v>
          </cell>
          <cell r="I32" t="str">
            <v>HELMI UTAMA  AR.</v>
          </cell>
          <cell r="J32" t="str">
            <v>DIREKTUR</v>
          </cell>
          <cell r="K32">
            <v>186033636.36363634</v>
          </cell>
          <cell r="L32">
            <v>18603363.636363637</v>
          </cell>
          <cell r="M32">
            <v>204637000</v>
          </cell>
          <cell r="N32" t="str">
            <v>Nomor : 620 / 62 / PW-DAK / KOTA  TTE / 2004</v>
          </cell>
          <cell r="O32" t="str">
            <v>Jl. Salim Fabanyo Kel. Muhajirin - Ternate</v>
          </cell>
          <cell r="P32" t="str">
            <v>CV. REZA UTAMA</v>
          </cell>
          <cell r="Q32" t="str">
            <v>(Dua Ratus Empat Juta Enam Ratus Tiga Puluh Tujuh Ribu Rupiah)</v>
          </cell>
          <cell r="R32" t="str">
            <v>Kota Ternate Utara</v>
          </cell>
          <cell r="S32" t="str">
            <v>Tiga Puluh Tujuh Ribu Rupiah</v>
          </cell>
          <cell r="T32" t="str">
            <v>Nomor : 620 / 78 / PW-DAK / KOTA  TTE / 2004</v>
          </cell>
          <cell r="U32" t="str">
            <v>Nomor : 620 / 94 / PW-DAK / KOTA  TTE / 2004</v>
          </cell>
          <cell r="V32" t="str">
            <v>PEMELIHARAAN BERKALA JALAN PAKET II</v>
          </cell>
          <cell r="W32" t="str">
            <v>Nomor : 620 / 62 / PW-DAK / KOTA  TTE / 2004</v>
          </cell>
          <cell r="X32" t="str">
            <v>Nomor : 620 / 62 / PW-DAK / KOTA  TTE / 2004</v>
          </cell>
          <cell r="Y32" t="str">
            <v>TANGGAL,   01  MEI  2004</v>
          </cell>
          <cell r="Z32" t="str">
            <v>Jl. Salim Fabanyo Kel. Muhajirin - Ternate</v>
          </cell>
          <cell r="AA32" t="str">
            <v>620 / 62 / PW-DAK / KOTA  TTE / 2004</v>
          </cell>
          <cell r="AB32" t="str">
            <v>01  MEI  2004</v>
          </cell>
          <cell r="AC32" t="str">
            <v>Dua  Ratus  Empat  Juta  Enam  Ratus  Tiga  -</v>
          </cell>
          <cell r="AD32" t="str">
            <v>2.15.01.2.4.01.01.07.2</v>
          </cell>
          <cell r="AF32" t="str">
            <v>Puluh  Tujuh  Ribu  Rupiah</v>
          </cell>
        </row>
        <row r="33">
          <cell r="C33">
            <v>25</v>
          </cell>
          <cell r="D33" t="str">
            <v>Ibrahim Ruray, SE</v>
          </cell>
          <cell r="E33" t="str">
            <v>Direktur CV. PRATITA UTAMA</v>
          </cell>
          <cell r="F33" t="str">
            <v>FARUK   ALWY,   SH     No.   9   Tanggal   09   Oktober   1996</v>
          </cell>
          <cell r="G33" t="str">
            <v>PEMELIHARAAN BERKALA JALAN PAKET III</v>
          </cell>
          <cell r="H33" t="str">
            <v>4.920 Km</v>
          </cell>
          <cell r="I33" t="str">
            <v>IBRAHIM RURAY, SE</v>
          </cell>
          <cell r="J33" t="str">
            <v>DIREKTUR</v>
          </cell>
          <cell r="K33">
            <v>363720000</v>
          </cell>
          <cell r="L33">
            <v>36372000</v>
          </cell>
          <cell r="M33">
            <v>400092000</v>
          </cell>
          <cell r="N33" t="str">
            <v>Nomor : 620 / 63 / PW-DAK / KOTA  TTE / 2004</v>
          </cell>
          <cell r="O33" t="str">
            <v>Jl. A.M. Kamaruddin - Ternate</v>
          </cell>
          <cell r="P33" t="str">
            <v>CV. PRATITA UTAMA</v>
          </cell>
          <cell r="Q33" t="str">
            <v>( Empat  Ratus  Juta  Sembilan  Puluh  Dua  Ribu  Rupiah )</v>
          </cell>
          <cell r="R33" t="str">
            <v>Pulau Ternate</v>
          </cell>
          <cell r="S33" t="str">
            <v>( Empat  Ratus  Empat  Puluh  Satu  Juta  Sembilan  Ratus  -</v>
          </cell>
          <cell r="T33" t="str">
            <v>Nomor : 620 / 79 / PW-DAK / KOTA  TTE / 2004</v>
          </cell>
          <cell r="U33" t="str">
            <v>Nomor : 620 / 95 / PW-DAK / KOTA  TTE / 2004</v>
          </cell>
          <cell r="V33" t="str">
            <v>PEMELIHARAAN BERKALA JALAN PAKET III</v>
          </cell>
          <cell r="W33" t="str">
            <v>Nomor : 620 / 63 / PW-DAK / KOTA  TTE / 2004</v>
          </cell>
          <cell r="X33" t="str">
            <v>Nomor : 620 / 63 / PW-DAK / KOTA  TTE / 2004</v>
          </cell>
          <cell r="Y33" t="str">
            <v>TANGGAL,   01  MEI  2004</v>
          </cell>
          <cell r="Z33" t="str">
            <v>Jl. A.M. Kamaruddin - Ternate</v>
          </cell>
          <cell r="AA33" t="str">
            <v>620 / 63 / PW-DAK / KOTA  TTE / 2004</v>
          </cell>
          <cell r="AB33" t="str">
            <v>01  MEI  2004</v>
          </cell>
          <cell r="AC33" t="str">
            <v>Empat  Ratus  Juta  Sembilan  Puluh  Dua  Ribu  Rupiah</v>
          </cell>
          <cell r="AD33" t="str">
            <v>2.15.01.2.4.01.01.08.2</v>
          </cell>
          <cell r="AF33" t="str">
            <v>(Empat Ratus Juta Sembilan Sembilan Puluh Dua Ribu Rupiah)</v>
          </cell>
        </row>
        <row r="34">
          <cell r="C34">
            <v>26</v>
          </cell>
          <cell r="D34" t="str">
            <v>Drs. Hi. Abdurrahman Lahabato</v>
          </cell>
          <cell r="E34" t="str">
            <v>Direktur CV. HASTA MULTI TEKNIK</v>
          </cell>
          <cell r="F34" t="str">
            <v>T. EDDY  BOHAM,  SH   No.  3  Tanggal  15  September  2000</v>
          </cell>
          <cell r="G34" t="str">
            <v>PEMELIHARAAN BERKALA JALAN PAKET IV</v>
          </cell>
          <cell r="H34" t="str">
            <v>4.750 Km</v>
          </cell>
          <cell r="I34" t="str">
            <v>Drs. Hi. ABDURRAHMAN LAHABATO</v>
          </cell>
          <cell r="J34" t="str">
            <v>DIREKTUR</v>
          </cell>
          <cell r="K34">
            <v>388224545.45454544</v>
          </cell>
          <cell r="L34">
            <v>38822454.545454547</v>
          </cell>
          <cell r="M34">
            <v>427047000</v>
          </cell>
          <cell r="N34" t="str">
            <v>Nomor : 620 / 64 / PW-DAK / KOTA  TTE / 2004</v>
          </cell>
          <cell r="O34" t="str">
            <v>Jl. Ketilang - Ternate</v>
          </cell>
          <cell r="P34" t="str">
            <v>CV. HASTA MULTI TEKNIK</v>
          </cell>
          <cell r="Q34" t="str">
            <v>(Empat Ratus Dua Puluh Tujuh Juta Empat Puluh Tujuh Ribu Rupiah)</v>
          </cell>
          <cell r="R34" t="str">
            <v>Kota Ternate Selatan</v>
          </cell>
          <cell r="S34" t="str">
            <v>Empat Puluh Tujuh Ribu Rupiah</v>
          </cell>
          <cell r="T34" t="str">
            <v>Nomor : 620 / 80 / PW-DAK / KOTA  TTE / 2004</v>
          </cell>
          <cell r="U34" t="str">
            <v>Nomor : 620 / 96 / PW-DAK / KOTA  TTE / 2004</v>
          </cell>
          <cell r="V34" t="str">
            <v>PEMELIHARAAN BERKALA JALAN PAKET IV</v>
          </cell>
          <cell r="W34" t="str">
            <v>Nomor : 620 / 64 / PW-DAK / KOTA  TTE / 2004</v>
          </cell>
          <cell r="X34" t="str">
            <v>Nomor : 620 / 64 / PW-DAK / KOTA  TTE / 2004</v>
          </cell>
          <cell r="Y34" t="str">
            <v>TANGGAL,   01  MEI  2004</v>
          </cell>
          <cell r="Z34" t="str">
            <v>Jl. Ketilang - Ternate</v>
          </cell>
          <cell r="AA34" t="str">
            <v>620 / 64 / PW-DAK / KOTA  TTE / 2004</v>
          </cell>
          <cell r="AB34" t="str">
            <v>01  MEI  2004</v>
          </cell>
          <cell r="AC34" t="str">
            <v>Empat  Ratus  Dua  Puluh  Tujuh  Juta  -</v>
          </cell>
          <cell r="AD34" t="str">
            <v>2.15.01.2.4.01.01.09.2</v>
          </cell>
          <cell r="AF34" t="str">
            <v>Empat  Puluh  Tujuh  Ribu  Rupiah</v>
          </cell>
        </row>
        <row r="35">
          <cell r="C35">
            <v>27</v>
          </cell>
          <cell r="D35" t="str">
            <v>Malik Robo</v>
          </cell>
          <cell r="E35" t="str">
            <v>Direktur CV. PERINDAH LESTARI</v>
          </cell>
          <cell r="F35" t="str">
            <v>FARUK  ALWY,  SH   No.  44   Tanggal   10   Januari   2001</v>
          </cell>
          <cell r="G35" t="str">
            <v>PEMELIHARAAN BERKALA JALAN PAKET V</v>
          </cell>
          <cell r="H35" t="str">
            <v>3.615 Km</v>
          </cell>
          <cell r="I35" t="str">
            <v>MALIK ROBO</v>
          </cell>
          <cell r="J35" t="str">
            <v>DIREKTUR</v>
          </cell>
          <cell r="K35">
            <v>235832727.27272728</v>
          </cell>
          <cell r="L35">
            <v>23583272.72727273</v>
          </cell>
          <cell r="M35">
            <v>259416000</v>
          </cell>
          <cell r="N35" t="str">
            <v>Nomor : 620 / 65 / PW-DAK / KOTA  TTE / 2004</v>
          </cell>
          <cell r="O35" t="str">
            <v>Jl. Falajawa II Kayu Merah - Ternate</v>
          </cell>
          <cell r="P35" t="str">
            <v>CV. PERINDAH LESTARI</v>
          </cell>
          <cell r="Q35" t="str">
            <v>(Dua Ratus Lima Puluh Sembilan Juta Empat Ratus Enam Belas Ribu Rupiah)</v>
          </cell>
          <cell r="R35" t="str">
            <v>Kota Ternate Selatan</v>
          </cell>
          <cell r="S35" t="str">
            <v>Empat Ratus Enam Belas Ribu Rupiah</v>
          </cell>
          <cell r="T35" t="str">
            <v>Nomor : 620 / 81 / PW-DAK / KOTA  TTE / 2004</v>
          </cell>
          <cell r="U35" t="str">
            <v>Nomor : 620 / 97 / PW-DAK / KOTA  TTE / 2004</v>
          </cell>
          <cell r="V35" t="str">
            <v>PEMELIHARAAN BERKALA JALAN PAKET V</v>
          </cell>
          <cell r="W35" t="str">
            <v>Nomor : 620 / 65 / PW-DAK / KOTA  TTE / 2004</v>
          </cell>
          <cell r="X35" t="str">
            <v>Nomor : 620 / 65 / PW-DAK / KOTA  TTE / 2004</v>
          </cell>
          <cell r="Y35" t="str">
            <v>TANGGAL,   12  MEI  2004</v>
          </cell>
          <cell r="Z35" t="str">
            <v>Jl. Falajawa II Kayu Merah - Ternate</v>
          </cell>
          <cell r="AA35" t="str">
            <v>620 / 65 / PW-DAK / KOTA  TTE / 2004</v>
          </cell>
          <cell r="AB35" t="str">
            <v>TANGGAL,   12  MEI  2004</v>
          </cell>
          <cell r="AC35" t="str">
            <v xml:space="preserve">Dua  Ratus  Lima  Puluh  Sembilan  Juta  Empat  Ratus  -  </v>
          </cell>
          <cell r="AD35" t="str">
            <v>2.15.01.2.4.01.01.10.2</v>
          </cell>
          <cell r="AF35" t="str">
            <v>Enam   Belas   Ribu   Rupiah.</v>
          </cell>
        </row>
        <row r="36">
          <cell r="C36">
            <v>28</v>
          </cell>
          <cell r="D36" t="str">
            <v>Rosdiana  Basyir</v>
          </cell>
          <cell r="E36" t="str">
            <v>Direktris  CV.  TARAKANI JAYA</v>
          </cell>
          <cell r="F36" t="str">
            <v>FARUK  ALWY,  SH   No.  50  Tanggal  14  Nopember   2001</v>
          </cell>
          <cell r="G36" t="str">
            <v>PEMELIHARAAN BERKALA JALAN PAKET VI</v>
          </cell>
          <cell r="H36" t="str">
            <v>2.686 Km</v>
          </cell>
          <cell r="I36" t="str">
            <v>ROSDIANA BASYIR</v>
          </cell>
          <cell r="J36" t="str">
            <v>DIREKTRIS</v>
          </cell>
          <cell r="K36">
            <v>219090909.09090909</v>
          </cell>
          <cell r="L36">
            <v>21909090.90909091</v>
          </cell>
          <cell r="M36">
            <v>241000000</v>
          </cell>
          <cell r="N36" t="str">
            <v>Nomor : 620 / 66 / PW-DAK / KOTA  TTE / 2004</v>
          </cell>
          <cell r="O36" t="str">
            <v>Jl. Kapitan Pattimura Kel. Kalumpang - Ternate</v>
          </cell>
          <cell r="P36" t="str">
            <v>CV. TARAKANI JAYA</v>
          </cell>
          <cell r="Q36" t="str">
            <v>(Dua Ratus Empat Puluh Satu Juta Rupiah)</v>
          </cell>
          <cell r="R36" t="str">
            <v>Kota Ternate Selatan</v>
          </cell>
          <cell r="S36" t="str">
            <v>Dua Ratus Empat Puluh Satu Juta Rupiah</v>
          </cell>
          <cell r="T36" t="str">
            <v>Nomor : 620 / 82 / PW-DAK / KOTA  TTE / 2004</v>
          </cell>
          <cell r="U36" t="str">
            <v>Nomor : 620 / 98 / PW-DAK / KOTA  TTE / 2004</v>
          </cell>
          <cell r="V36" t="str">
            <v>PEMELIHARAAN BERKALA JALAN PAKET VI</v>
          </cell>
          <cell r="W36" t="str">
            <v>Nomor : 620 / 66 / PW-DAK / KOTA  TTE / 2004</v>
          </cell>
          <cell r="X36" t="str">
            <v>Nomor : 620 / 66 / PW-DAK / KOTA  TTE / 2004</v>
          </cell>
          <cell r="Y36" t="str">
            <v>TANGGAL,   01  MEI  2004</v>
          </cell>
          <cell r="Z36" t="str">
            <v>Jl. Kapitan Pattimura Kel. Kalumpang - Ternate</v>
          </cell>
          <cell r="AA36" t="str">
            <v>620 / 66 / PW-DAK / KOTA  TTE / 2004</v>
          </cell>
          <cell r="AB36" t="str">
            <v>01  MEI  2004</v>
          </cell>
          <cell r="AC36" t="str">
            <v>Dua  Ratus  Empat  Puluh  Satu  Juta  Rupiah</v>
          </cell>
          <cell r="AD36" t="str">
            <v>2.15.01.2.4.01.01.11.2</v>
          </cell>
        </row>
        <row r="37">
          <cell r="C37">
            <v>29</v>
          </cell>
          <cell r="D37" t="str">
            <v>Velty Jehosua</v>
          </cell>
          <cell r="E37" t="str">
            <v>Direktur Utama PT. CITRA AGUNG UTAMA</v>
          </cell>
          <cell r="F37" t="str">
            <v>T. EDDY BOHAM,  SH  No. 1  Tanggal  1  Maret  2003</v>
          </cell>
          <cell r="G37" t="str">
            <v>PEMELIHARAAN/PERBAIKAN PERMUKAAN JALAN LAPEN KE HOTMIX DALAM KOTA TERNATE</v>
          </cell>
          <cell r="H37" t="str">
            <v>8.127 Km</v>
          </cell>
          <cell r="I37" t="str">
            <v>VELTY JEHOSUA</v>
          </cell>
          <cell r="J37" t="str">
            <v>DIREKTUR UTAMA</v>
          </cell>
          <cell r="K37">
            <v>2334499090.909091</v>
          </cell>
          <cell r="L37">
            <v>233449909.09090912</v>
          </cell>
          <cell r="M37">
            <v>2567949000</v>
          </cell>
          <cell r="N37" t="str">
            <v>Nomor : 620 / 67 / PW-DAK / KOTA  TTE / 2004</v>
          </cell>
          <cell r="O37" t="str">
            <v>Jl. Pahlawan Revolusi - Ternate</v>
          </cell>
          <cell r="P37" t="str">
            <v>PT.  CITRA  AGUNG  UTAMA</v>
          </cell>
          <cell r="Q37" t="str">
            <v>(Dua Milyar Lima Ratus Enam Puluh Tujuh Juta Sembilan Ratus Empat Puluh Sembilan Ribu Rupiah)</v>
          </cell>
          <cell r="R37" t="str">
            <v>Dalam Kota Ternate</v>
          </cell>
          <cell r="S37" t="str">
            <v>Juta Sembilan Ratus Empat Puluh Sembilan Ribu Rupiah</v>
          </cell>
          <cell r="T37" t="str">
            <v>Nomor : 620 / 83 / PW-DAK / KOTA  TTE / 2004</v>
          </cell>
          <cell r="U37" t="str">
            <v>Nomor : 620 / 99 / PW-DAK / KOTA  TTE / 2004</v>
          </cell>
          <cell r="V37" t="str">
            <v>PEMELIHARAAN/PERBAIKAN PERMUKAAN JALAN LAPEN KE HOTMIX DALAM KOTA TERNATE</v>
          </cell>
          <cell r="W37" t="str">
            <v>Nomor : 620 / 67 / PW-DAK / KOTA  TTE / 2004</v>
          </cell>
          <cell r="X37" t="str">
            <v>Nomor : 620 / 67 / PW-DAK / KOTA  TTE / 2004</v>
          </cell>
          <cell r="Y37" t="str">
            <v>TANGGAL,   01  MEI  2004</v>
          </cell>
          <cell r="Z37" t="str">
            <v>Jl. Pahlawan Revolusi - Ternate</v>
          </cell>
          <cell r="AA37" t="str">
            <v>620 / 67 / PW-DAK / KOTA  TTE / 2004</v>
          </cell>
          <cell r="AB37" t="str">
            <v>01  MEI  2004</v>
          </cell>
          <cell r="AC37" t="str">
            <v>PT. Asuransi Jasa Raharja Putera  No. 02. 13. 12. 04. 2004. 00059,</v>
          </cell>
          <cell r="AD37" t="str">
            <v>2.15.01.2.4.01.01.12.2</v>
          </cell>
          <cell r="AE37" t="str">
            <v>BAMBANG  AHMAD</v>
          </cell>
          <cell r="AF37" t="str">
            <v>Ratus  Empat  Puluh  Sembilan  Ribu  Rupiah )</v>
          </cell>
        </row>
        <row r="38">
          <cell r="C38">
            <v>30</v>
          </cell>
          <cell r="D38" t="str">
            <v>Taufik Rahman</v>
          </cell>
          <cell r="E38" t="str">
            <v>Direktur  CV.  BATU JAJAR</v>
          </cell>
          <cell r="F38" t="str">
            <v>FARUK ALWY, SH  No. 12  Tanggal  7  Februari  2001</v>
          </cell>
          <cell r="G38" t="str">
            <v>PENINGKATAN JALAN TANAH KE ASPAL RUAS JALAN KALUMATA - SASA</v>
          </cell>
          <cell r="H38" t="str">
            <v>603 Km</v>
          </cell>
          <cell r="I38" t="str">
            <v>TAUFIK RAHMAN</v>
          </cell>
          <cell r="J38" t="str">
            <v>DIREKTUR</v>
          </cell>
          <cell r="K38">
            <v>181386363.63636366</v>
          </cell>
          <cell r="L38">
            <v>18138636.363636367</v>
          </cell>
          <cell r="M38">
            <v>199525000</v>
          </cell>
          <cell r="N38" t="str">
            <v>Nomor : 620 / 68 / PW-DAK / KOTA  TTE / 2004</v>
          </cell>
          <cell r="O38" t="str">
            <v>Kel. Kalumpang - Ternate</v>
          </cell>
          <cell r="P38" t="str">
            <v>CV.  B A T U  J A J A R</v>
          </cell>
          <cell r="Q38" t="str">
            <v>(Seratus Sembilan Puluh Sembilan Juta Lima Ratus Dua Puluh Lima Ribu Rupiah)</v>
          </cell>
          <cell r="R38" t="str">
            <v>Kota Ternate Selatan</v>
          </cell>
          <cell r="S38" t="str">
            <v>Lima Ratus Dua Puluh Lima Ribu Rupiah</v>
          </cell>
          <cell r="T38" t="str">
            <v>Nomor : 620 / 84 / PW-DAK / KOTA  TTE / 2004</v>
          </cell>
          <cell r="U38" t="str">
            <v>Nomor : 620 / 100 / PW-DAK / KOTA  TTE / 2004</v>
          </cell>
          <cell r="V38" t="str">
            <v>PENINGKATAN JALAN TANAH KE ASPAL RUAS JALAN KALUMATA - SASA</v>
          </cell>
          <cell r="W38" t="str">
            <v>Nomor : 620 / 68 / PW-DAK / KOTA  TTE / 2004</v>
          </cell>
          <cell r="X38" t="str">
            <v>Nomor : 620 / 68 / PW-DAK / KOTA  TTE / 2004</v>
          </cell>
          <cell r="Y38" t="str">
            <v>TANGGAL,   01  MEI  2004</v>
          </cell>
          <cell r="Z38" t="str">
            <v>Jl. Maliaro RT. 07/03 Kel. Maliaro - Ternate</v>
          </cell>
          <cell r="AA38" t="str">
            <v>620 / 68 / PW-DAK / KOTA  TTE / 2004</v>
          </cell>
          <cell r="AB38" t="str">
            <v>01  MEI  2004</v>
          </cell>
          <cell r="AC38" t="str">
            <v>Seratus   Sembilan   Puluh   Sembilan   Juta   Lima  -</v>
          </cell>
          <cell r="AD38" t="str">
            <v>2.15.01.2.4.01.01.13.2</v>
          </cell>
          <cell r="AF38" t="str">
            <v>Ratus    Dua    Puluh    Lima    Ribu    Rupiah</v>
          </cell>
        </row>
        <row r="39">
          <cell r="C39">
            <v>31</v>
          </cell>
          <cell r="D39" t="str">
            <v>Malik Robo</v>
          </cell>
          <cell r="E39" t="str">
            <v>Direktur CV. PERINDAH LESTARI</v>
          </cell>
          <cell r="F39" t="str">
            <v>FARUK  ALWY,  SH   No.  44   Tanggal   10   Januari   2001</v>
          </cell>
          <cell r="G39" t="str">
            <v>PEMELIHARAAN BERKALA JALAN PAKET V</v>
          </cell>
          <cell r="H39" t="str">
            <v>3.615 Km</v>
          </cell>
          <cell r="I39" t="str">
            <v>MALIK ROBO</v>
          </cell>
          <cell r="J39" t="str">
            <v>DIREKTUR</v>
          </cell>
          <cell r="K39">
            <v>235832727.27272728</v>
          </cell>
          <cell r="L39">
            <v>23583272.72727273</v>
          </cell>
          <cell r="M39">
            <v>259416000</v>
          </cell>
          <cell r="N39" t="str">
            <v>Nomor : 620 / 65 / PW-DAK / KOTA  TTE / 2004</v>
          </cell>
          <cell r="O39" t="str">
            <v>Jl. Falajawa II Kayu Merah - Ternate</v>
          </cell>
          <cell r="P39" t="str">
            <v>CV. PERINDAH LESTARI</v>
          </cell>
          <cell r="Q39" t="str">
            <v>(Dua Ratus Lima Puluh Sembilan Juta Empat Ratus Enam Belas Ribu Rupiah)</v>
          </cell>
          <cell r="R39" t="str">
            <v>Kota Ternate Selatan</v>
          </cell>
          <cell r="S39" t="str">
            <v>Empat Ratus Enam Belas Ribu Rupiah</v>
          </cell>
          <cell r="T39" t="str">
            <v>Nomor : 620 / 81 / PW-DAK / KOTA  TTE / 2004</v>
          </cell>
          <cell r="U39" t="str">
            <v>Nomor : 620 / 97 / PW-DAK / KOTA  TTE / 2004</v>
          </cell>
          <cell r="V39" t="str">
            <v>PEMELIHARAAN BERKALA JALAN PAKET V</v>
          </cell>
          <cell r="W39" t="str">
            <v>Nomor : 620 / 65 / PW-DAK / KOTA  TTE / 2004</v>
          </cell>
          <cell r="X39" t="str">
            <v>Nomor : 620 / 65 / PW-DAK / KOTA  TTE / 2004</v>
          </cell>
          <cell r="Y39" t="str">
            <v>TANGGAL,   01  MEI  2004</v>
          </cell>
          <cell r="Z39" t="str">
            <v>Jl. Falajawa II Kayu Merah - Ternate</v>
          </cell>
          <cell r="AA39" t="str">
            <v>620 / 65 / PW-DAK / KOTA  TTE / 2004</v>
          </cell>
          <cell r="AB39" t="str">
            <v>TANGGAL,   01  MEI  2004</v>
          </cell>
          <cell r="AC39" t="str">
            <v xml:space="preserve">PT. Asuransi Jasa Raharja Putra  No.02.13.12.04.2004.00046,  Selasa 25 Mei 2004 </v>
          </cell>
          <cell r="AD39" t="str">
            <v>2.15.01.2.4.01.01.10.2</v>
          </cell>
          <cell r="AF39" t="str">
            <v>Enam   Belas   Ribu   Rupiah.</v>
          </cell>
        </row>
        <row r="40">
          <cell r="C40">
            <v>32</v>
          </cell>
          <cell r="D40" t="str">
            <v>Ny. Hj. Aminah Ruray</v>
          </cell>
          <cell r="E40" t="str">
            <v>Direktris  CV.  RINGONGANO</v>
          </cell>
          <cell r="F40" t="str">
            <v>T. EDDY BOHAM, SH No. 46 Tanggal  25  Agustus  1994</v>
          </cell>
          <cell r="G40" t="str">
            <v>PEMBANGUNAN DERMAGA PULAU MAYAU</v>
          </cell>
          <cell r="H40" t="str">
            <v>1 Unit</v>
          </cell>
          <cell r="I40" t="str">
            <v>NY. HJ. AMINAH RURAY</v>
          </cell>
          <cell r="J40" t="str">
            <v>DIREKTRIS</v>
          </cell>
          <cell r="K40">
            <v>222046363.63636363</v>
          </cell>
          <cell r="L40">
            <v>22204636.363636363</v>
          </cell>
          <cell r="M40">
            <v>244251000</v>
          </cell>
          <cell r="N40" t="str">
            <v>Nomor : 620 / 70 / PW-DAU / KOTA  TTE / 2004</v>
          </cell>
          <cell r="O40" t="str">
            <v>Jl. Daniel Bohang Kel. Salero - Ternate</v>
          </cell>
          <cell r="P40" t="str">
            <v>CV. RINGONGANO</v>
          </cell>
          <cell r="Q40" t="str">
            <v>(Dua Ratus Empat Puluh Empat Juta Dua Ratus Lima Puluh Satu Ribu Rupiah)</v>
          </cell>
          <cell r="R40" t="str">
            <v>Mayau (Pulau Batang Dua)</v>
          </cell>
          <cell r="S40" t="str">
            <v>Ratus Lima Puluh Satu Ribu Rupiah</v>
          </cell>
          <cell r="T40" t="str">
            <v>Nomor : 620 / 86 / PW-DAU / KOTA  TTE / 2004</v>
          </cell>
          <cell r="U40" t="str">
            <v>Nomor : 620 / 102 / PW-DAU / KOTA  TTE / 2004</v>
          </cell>
          <cell r="V40" t="str">
            <v>PEMBANGUNAN DERMAGA PULAU MAYAU</v>
          </cell>
          <cell r="W40" t="str">
            <v>Nomor : 620 / 70 / PW-DAU / KOTA  TTE / 2004</v>
          </cell>
          <cell r="X40" t="str">
            <v>Nomor : 620 / 70 / PW-DAU / KOTA  TTE / 2004</v>
          </cell>
          <cell r="Y40" t="str">
            <v>TANGGAL,   01  MEI  2004</v>
          </cell>
          <cell r="Z40" t="str">
            <v>Jl. Daniel Bohang Kel. Salero - Ternate</v>
          </cell>
          <cell r="AA40" t="str">
            <v>620 / 70 / PW-DAU / KOTA  TTE / 2004</v>
          </cell>
          <cell r="AB40" t="str">
            <v>01  MEI  2004</v>
          </cell>
          <cell r="AC40" t="str">
            <v xml:space="preserve">PT. Asuransi Jasa Raharja Putra  No.02.13.12.04.2004.00046,  Selasa 25 Mei 2004 </v>
          </cell>
          <cell r="AD40" t="str">
            <v>2.15.01.3.21.01.01.2</v>
          </cell>
          <cell r="AF40" t="str">
            <v>Ratus  Lima  Puluh  Satu  Ribu  Rupiah</v>
          </cell>
        </row>
        <row r="41">
          <cell r="C41">
            <v>33</v>
          </cell>
          <cell r="D41" t="str">
            <v>Etmy Pratiwi Azis</v>
          </cell>
          <cell r="E41" t="str">
            <v>Direktris  CV.  TUNAS KARYA</v>
          </cell>
          <cell r="F41" t="str">
            <v>FARUK   ALWY,   SH    No.   26   Tanggal   13    April    2000</v>
          </cell>
          <cell r="G41" t="str">
            <v>PEMBANGUNAN JALAN BETON / DERMAGA PULAU TIFURE</v>
          </cell>
          <cell r="H41" t="str">
            <v>1 Unit</v>
          </cell>
          <cell r="I41" t="str">
            <v>ETMY PRATIWI AZIS</v>
          </cell>
          <cell r="J41" t="str">
            <v>DIREKTRIS</v>
          </cell>
          <cell r="K41">
            <v>444054545.45454544</v>
          </cell>
          <cell r="L41">
            <v>44405454.545454547</v>
          </cell>
          <cell r="M41">
            <v>488460000</v>
          </cell>
          <cell r="N41" t="str">
            <v>Nomor : 620 / 71 / PW-DAU / KOTA  TTE / 2004</v>
          </cell>
          <cell r="O41" t="str">
            <v>Jl. A.M. Kamaruddin - Ternate</v>
          </cell>
          <cell r="P41" t="str">
            <v>CV. TUNAS KARYA</v>
          </cell>
          <cell r="Q41" t="str">
            <v>(Empat Ratus Delapan Puluh Delapan Juta Empat Ratus Enam Puluh Ribu Rupiah)</v>
          </cell>
          <cell r="R41" t="str">
            <v>Tifure (Pulau Batang Dua)</v>
          </cell>
          <cell r="S41" t="str">
            <v>Empat Ratus Enam Puluh Ribu Rupiah</v>
          </cell>
          <cell r="T41" t="str">
            <v>Nomor : 620 / 87 / PW-DAU / KOTA  TTE / 2004</v>
          </cell>
          <cell r="U41" t="str">
            <v>Nomor : 620 / 103 / PW-DAU / KOTA  TTE / 2004</v>
          </cell>
          <cell r="V41" t="str">
            <v>PEMBANGUNAN JALAN BETON / DERMAGA PULAU TIFURE</v>
          </cell>
          <cell r="W41" t="str">
            <v>Nomor : 620 / 71 / PW-DAU / KOTA  TTE / 2004</v>
          </cell>
          <cell r="X41" t="str">
            <v>Nomor : 620 / 71 / PW-DAU / KOTA  TTE / 2004</v>
          </cell>
          <cell r="Y41" t="str">
            <v>TANGGAL,   01  MEI  2004</v>
          </cell>
          <cell r="Z41" t="str">
            <v>Jl. A.M. Kamaruddin - Ternate</v>
          </cell>
          <cell r="AA41" t="str">
            <v>620 / 71 / PW-DAU / KOTA  TTE / 2004</v>
          </cell>
          <cell r="AB41" t="str">
            <v>01  MEI  2004</v>
          </cell>
          <cell r="AC41" t="str">
            <v xml:space="preserve">PT. Asuransi Jasa Raharja Putra  No.02.13.12.04.2004.00046,  Selasa 25 Mei 2004 </v>
          </cell>
          <cell r="AD41" t="str">
            <v>2.15.01.3.2.01.04.2</v>
          </cell>
          <cell r="AF41" t="str">
            <v xml:space="preserve"> Empat  Ratus  Enam  Puluh  Ribu  Rupiah</v>
          </cell>
        </row>
        <row r="42">
          <cell r="C42">
            <v>34</v>
          </cell>
          <cell r="D42" t="str">
            <v>Selvia Ong</v>
          </cell>
          <cell r="E42" t="str">
            <v>Direktris  PT. TRIBUMI ADITUNGGAL</v>
          </cell>
          <cell r="F42" t="str">
            <v>HENGKY ZOUGIERA,   SH    No.   16   Tanggal   1    September    1990</v>
          </cell>
          <cell r="G42" t="str">
            <v>PENGEMBANGAN KAWASAN PANTAI TAPAK I PLUS</v>
          </cell>
          <cell r="H42" t="str">
            <v>0.219 Km</v>
          </cell>
          <cell r="I42" t="str">
            <v>SELVIA ONG</v>
          </cell>
          <cell r="J42" t="str">
            <v>DIREKTRIS</v>
          </cell>
          <cell r="K42">
            <v>2488590909.090909</v>
          </cell>
          <cell r="L42">
            <v>248859090.90909091</v>
          </cell>
          <cell r="M42">
            <v>2737450000</v>
          </cell>
          <cell r="N42" t="str">
            <v>Nomor : 620 / 160 / PW-DAU / KOTA  TTE / 2004</v>
          </cell>
          <cell r="O42" t="str">
            <v>Jl. Pahlawan Revolusi  -  Ternate</v>
          </cell>
          <cell r="P42" t="str">
            <v>PT. TRIBUMI ADITUNGGAL</v>
          </cell>
          <cell r="Q42" t="str">
            <v>(Dua Milyar Tujuh Ratus Tiga Puluh Tujuh Juta Empat Ratus Lima Puluh Ribu Rupiah)</v>
          </cell>
          <cell r="R42" t="str">
            <v>Kota Ternate Utara</v>
          </cell>
          <cell r="S42" t="str">
            <v>( Dua  Milyar  Tujuh  Ratus  Tiga  Puluh  Tujuh  Juta  Empat  -</v>
          </cell>
          <cell r="T42" t="str">
            <v>Nomor : 620 / 161 / PW-DAU / KOTA  TTE / 2004</v>
          </cell>
          <cell r="U42" t="str">
            <v>Nomor : 620 / 162 / PW-DAU / KOTA  TTE / 2004</v>
          </cell>
          <cell r="V42" t="str">
            <v>PENGEMBANGAN KAWASAN PANTAI TAPAK I PLUS</v>
          </cell>
          <cell r="W42" t="str">
            <v>Nomor : 620 / 71 / PW-DAU / KOTA  TTE / 2004</v>
          </cell>
          <cell r="X42" t="str">
            <v>Nomor : 620 / 71 / PW-DAU / KOTA  TTE / 2004</v>
          </cell>
          <cell r="Y42" t="str">
            <v>TANGGAL,   10  MEI  2004</v>
          </cell>
          <cell r="Z42" t="str">
            <v>Jl. Pahlawan Revolusi  -  Ternate</v>
          </cell>
          <cell r="AA42" t="str">
            <v>620 / 13 / PW-DAU / KOTA  TTE / 2004</v>
          </cell>
          <cell r="AB42" t="str">
            <v>26  MEI  2004</v>
          </cell>
          <cell r="AC42" t="str">
            <v xml:space="preserve">PT. Asuransi Umum BUMIPUTERAMUDA 1967 No.1203.15.2004.06.0178, </v>
          </cell>
          <cell r="AD42" t="str">
            <v>2.15.01.3.1.10.01.2</v>
          </cell>
          <cell r="AF42" t="str">
            <v>Empat  Ratus  Lima  Puluh  Ribu  Rupiah.</v>
          </cell>
        </row>
        <row r="43">
          <cell r="C43">
            <v>35</v>
          </cell>
          <cell r="D43" t="str">
            <v>Selvia Ong</v>
          </cell>
          <cell r="E43" t="str">
            <v>Direktris  PT. TRIBUMI ADITUNGGAL</v>
          </cell>
          <cell r="F43" t="str">
            <v>HENGKY ZOUGIERA,   SH    No.   16   Tanggal   1    September    1990</v>
          </cell>
          <cell r="G43" t="str">
            <v>PEMBANGUNAN BANDARA BABULLAH TERNATE</v>
          </cell>
          <cell r="H43" t="str">
            <v>0.100 Km</v>
          </cell>
          <cell r="I43" t="str">
            <v>SELVIA ONG</v>
          </cell>
          <cell r="J43" t="str">
            <v>DIREKTRIS</v>
          </cell>
          <cell r="K43">
            <v>2534314545.4545455</v>
          </cell>
          <cell r="L43">
            <v>253431454.54545456</v>
          </cell>
          <cell r="M43">
            <v>2787746000</v>
          </cell>
          <cell r="N43" t="str">
            <v>Nomor : 620 / 163 / PW-DAU / KOTA  TTE / 2004</v>
          </cell>
          <cell r="O43" t="str">
            <v>Jl. Pahlawan Revolusi  -  Ternate</v>
          </cell>
          <cell r="P43" t="str">
            <v>PT. TRIBUMI ADITUNGGAL</v>
          </cell>
          <cell r="Q43" t="str">
            <v>(Dua Milyar Tujuh Ratus Delapan Puluh Tujuh Juta Tujuh Ratus Empat Puluh Enam Ribu Rupiah)</v>
          </cell>
          <cell r="R43" t="str">
            <v>Kota Ternate Utara</v>
          </cell>
          <cell r="S43" t="str">
            <v xml:space="preserve">( Dua  Milyar  Tujuh  Ratus  Delapan  Puluh  Tujuh  Juta  - </v>
          </cell>
          <cell r="T43" t="str">
            <v>Nomor : 620 / 164 / PW-DAU / KOTA  TTE / 2004</v>
          </cell>
          <cell r="U43" t="str">
            <v>Nomor : 620 / 165 / PW-DAU / KOTA  TTE / 2004</v>
          </cell>
          <cell r="V43" t="str">
            <v>PEMBANGUNAN BANDARA BABULLAH TERNATE</v>
          </cell>
          <cell r="W43" t="str">
            <v>Nomor : 620 / 71 / PW-DAU / KOTA  TTE / 2004</v>
          </cell>
          <cell r="X43" t="str">
            <v>Nomor : 620 / 71 / PW-DAU / KOTA  TTE / 2004</v>
          </cell>
          <cell r="Y43" t="str">
            <v>TANGGAL,   11  MEI  2004</v>
          </cell>
          <cell r="Z43" t="str">
            <v>Jl. Pahlawan Revolusi  -  Ternate</v>
          </cell>
          <cell r="AA43" t="str">
            <v>620 / 13 / PW-DAU / KOTA  TTE / 2004</v>
          </cell>
          <cell r="AB43" t="str">
            <v>27  MEI  2004</v>
          </cell>
          <cell r="AC43" t="str">
            <v xml:space="preserve">PT. Asuransi Umum BUMIPUTERAMUDA 1967 No.1203.15.2004.06.0179, </v>
          </cell>
          <cell r="AD43" t="str">
            <v>2.15.01.3.6.04.11.2</v>
          </cell>
          <cell r="AF43" t="str">
            <v>Tujuh  Ratus  Empat  Puluh  Enam  Ribu  Rupiah.</v>
          </cell>
        </row>
        <row r="44">
          <cell r="C44">
            <v>36</v>
          </cell>
          <cell r="D44" t="str">
            <v>Ir. M. Icshan Daeng Sibali</v>
          </cell>
          <cell r="E44" t="str">
            <v>Direktur   CV.  Baruga Engineering Konsultan</v>
          </cell>
          <cell r="F44" t="str">
            <v>6  Tanggal  6  Februari  2003</v>
          </cell>
          <cell r="G44" t="str">
            <v>PERENCANAAN TEKNIS (DED)</v>
          </cell>
          <cell r="H44" t="str">
            <v>1 Paket</v>
          </cell>
          <cell r="I44" t="str">
            <v>Ir. M. ICHSAN DAENG SIBALI</v>
          </cell>
          <cell r="J44" t="str">
            <v>DIREKTUR</v>
          </cell>
          <cell r="K44">
            <v>123909090.90909092</v>
          </cell>
          <cell r="L44">
            <v>12390909.090909094</v>
          </cell>
          <cell r="M44">
            <v>136300000</v>
          </cell>
          <cell r="N44" t="str">
            <v>Nomor : 620 / 35 / PR-BB / KOTA  TTE / 2004</v>
          </cell>
          <cell r="O44" t="str">
            <v>Jl.  Sultan Khairun   No.  76 Kel. Soa - Sio   Ternate</v>
          </cell>
          <cell r="P44" t="str">
            <v>CV. BARUGA ENGINEERING KONSULTAN</v>
          </cell>
          <cell r="Q44" t="str">
            <v>Seratus Tiga Puluh Enam Juta Tiga Ratus Ribu Rupiah</v>
          </cell>
          <cell r="R44" t="str">
            <v>Kota  Ternate  Utara</v>
          </cell>
          <cell r="S44" t="str">
            <v>Enam Belas Ribu Rupiah</v>
          </cell>
          <cell r="T44" t="str">
            <v>Nomor : 620 / 201 / PW-DAU / KOTA  TTE / 2004</v>
          </cell>
          <cell r="V44" t="str">
            <v>PERENCANAAN TEKNIS (DED)</v>
          </cell>
          <cell r="W44" t="str">
            <v>Nomor : 620 / 35 / PR-BB / KOTA  TTE / 2004</v>
          </cell>
          <cell r="X44" t="str">
            <v>Nomor : 620 / 200 / PW-DAU / KOTA  TTE / 2004</v>
          </cell>
          <cell r="Y44" t="str">
            <v>TANGGAL,   05  MARET  2004</v>
          </cell>
          <cell r="Z44" t="str">
            <v>Jl.  Sultan Khairun   No.  76 Kel. Soa - Sio   Ternate</v>
          </cell>
          <cell r="AA44" t="str">
            <v>PERENCANAAN TEKNIS (DED)</v>
          </cell>
          <cell r="AB44" t="str">
            <v>Abu Gunung Akehuda</v>
          </cell>
          <cell r="AD44" t="str">
            <v xml:space="preserve">  2.15.01.2.4.01.01.2.</v>
          </cell>
          <cell r="AE44" t="str">
            <v>SETIJAHADI</v>
          </cell>
          <cell r="AF44" t="str">
            <v>Ir. M. DJUFRI  MAS'UD</v>
          </cell>
        </row>
        <row r="45">
          <cell r="C45">
            <v>37</v>
          </cell>
          <cell r="D45" t="str">
            <v>Selvia Ong</v>
          </cell>
          <cell r="E45" t="str">
            <v>Direktris  PT. TRIBUMI ADITUNGGAL</v>
          </cell>
          <cell r="F45" t="str">
            <v>HENGKY ZOUGIERA,   SH    No.   16   Tanggal   1    September    1990</v>
          </cell>
          <cell r="G45" t="str">
            <v>Pembangunan  Bandara  Babullah  Ternate</v>
          </cell>
          <cell r="H45" t="str">
            <v>0.100 Km</v>
          </cell>
          <cell r="I45" t="str">
            <v>SELVIA ONG</v>
          </cell>
          <cell r="J45" t="str">
            <v>DIREKTRIS</v>
          </cell>
          <cell r="K45">
            <v>2534314545.4545455</v>
          </cell>
          <cell r="L45">
            <v>253431454.54545456</v>
          </cell>
          <cell r="M45">
            <v>2787746000</v>
          </cell>
          <cell r="N45" t="str">
            <v>Nomor : 620 / 163 / PW-DAU / KOTA  TTE / 2004</v>
          </cell>
          <cell r="O45" t="str">
            <v>Jl. Pahlawan Revolusi  -  Ternate</v>
          </cell>
          <cell r="P45" t="str">
            <v>PT. TRIBUMI ADITUNGGAL</v>
          </cell>
          <cell r="Q45" t="str">
            <v>(Dua Milyar Tujuh Ratus Delapan Puluh Tujuh Juta Tujuh Ratus Empat Puluh Enam Ribu Rupiah)</v>
          </cell>
          <cell r="R45" t="str">
            <v>Kota Ternate Utara</v>
          </cell>
          <cell r="S45" t="str">
            <v xml:space="preserve">( Dua  Milyar  Tujuh  Ratus  Delapan  Puluh  Tujuh  Juta  - </v>
          </cell>
          <cell r="T45" t="str">
            <v>Nomor : 620 / 164 / PW-DAU / KOTA  TTE / 2004</v>
          </cell>
          <cell r="U45" t="str">
            <v>Nomor : 620 / 165 / PW-DAU / KOTA  TTE / 2004</v>
          </cell>
          <cell r="V45" t="str">
            <v>PEMBANGUNAN BANDARA BABULLAH TERNATE</v>
          </cell>
          <cell r="W45" t="str">
            <v>Nomor : 620 / 71 / PW-DAU / KOTA  TTE / 2004</v>
          </cell>
          <cell r="X45" t="str">
            <v>Nomor : 620 / 71 / PW-DAU / KOTA  TTE / 2004</v>
          </cell>
          <cell r="Y45" t="str">
            <v>TANGGAL,   27  MEI  2004</v>
          </cell>
          <cell r="Z45" t="str">
            <v>Jl. Pahlawan Revolusi  -  Ternate</v>
          </cell>
          <cell r="AA45" t="str">
            <v>620 / 13 / PW-DAU / KOTA  TTE / 2004</v>
          </cell>
          <cell r="AB45" t="str">
            <v>27  MEI  2004</v>
          </cell>
          <cell r="AC45" t="str">
            <v xml:space="preserve">PT. Asuransi Umum BUMIPUTERAMUDA 1967 No.1203.15.2004.06.0179, </v>
          </cell>
          <cell r="AD45" t="str">
            <v>2.15.01.3.6.04.11.2</v>
          </cell>
          <cell r="AE45" t="str">
            <v>SAHRUDDIN  MILLE, Amd.</v>
          </cell>
          <cell r="AF45" t="str">
            <v>Tujuh  Ratus  Empat  Puluh  Enam  Ribu  Rupiah.</v>
          </cell>
        </row>
        <row r="46">
          <cell r="C46">
            <v>38</v>
          </cell>
          <cell r="D46" t="str">
            <v>Drs. M. Iqbal Ruray</v>
          </cell>
          <cell r="E46" t="str">
            <v>Direktur   CV.  Nefan  Pratama</v>
          </cell>
          <cell r="F46" t="str">
            <v>8  Tanggal   6   Agustus  1994</v>
          </cell>
          <cell r="G46" t="str">
            <v>Pembangunan Jembatan / Talud / Saluran Ruas Jl. Pulau  Mayau  ( Batang Dua )</v>
          </cell>
          <cell r="H46" t="str">
            <v>2.400   Km</v>
          </cell>
          <cell r="I46" t="str">
            <v>Drs. M. IQBAL  RURAY</v>
          </cell>
          <cell r="J46" t="str">
            <v>DIREKTUR</v>
          </cell>
          <cell r="K46">
            <v>2030527272.7272727</v>
          </cell>
          <cell r="L46">
            <v>203052727.27272728</v>
          </cell>
          <cell r="M46">
            <v>2233580000</v>
          </cell>
          <cell r="N46" t="str">
            <v>620 / 06 / P2JKK / KOTA  TTE / 2003,  TANGGAL,  03  APRIL  2003</v>
          </cell>
          <cell r="O46" t="str">
            <v>Jl.  A.M. Kamaruddin  Ternate</v>
          </cell>
          <cell r="P46" t="str">
            <v>CV.  NEFAN  PRATAMA</v>
          </cell>
          <cell r="Q46" t="str">
            <v>Dua  Milyard  Dua  Ratus Tiga  Puluh Tiga Juta Lima</v>
          </cell>
          <cell r="R46" t="str">
            <v>Kecamatan  Ternate  Pulau</v>
          </cell>
          <cell r="S46" t="str">
            <v>Ratus Delapan Puluh  Ribu  Rupiah</v>
          </cell>
          <cell r="T46" t="str">
            <v>620 / 11 / P2JKK / KOTA  TTE / 2003</v>
          </cell>
          <cell r="U46" t="str">
            <v>620 / 16 / P2JKK / KOTA  TTE / 2003</v>
          </cell>
          <cell r="V46" t="str">
            <v>Pembangunan  Jembatan / Talud / Saluran  Ruas</v>
          </cell>
          <cell r="W46" t="str">
            <v>Jl. Pulau  Mayau  ( Batang  Dua )</v>
          </cell>
          <cell r="X46" t="str">
            <v>Nomor   :  620 / 06 / P2JKK / KOTA  TTE / 2003</v>
          </cell>
          <cell r="Y46" t="str">
            <v>TANGGAL,   03   APRIL  2003</v>
          </cell>
          <cell r="Z46" t="str">
            <v>Alamat  :  Jln.  A.M. Kamaruddin  Ternate</v>
          </cell>
          <cell r="AA46" t="str">
            <v/>
          </cell>
          <cell r="AC46" t="str">
            <v xml:space="preserve">PT. Asuransi Jasa Raharja Putra  No.13.12.04.2003.00006, Kamis 17  April  2003 </v>
          </cell>
          <cell r="AD46" t="str">
            <v xml:space="preserve">  2.15.01.2.4.01.01.2.</v>
          </cell>
          <cell r="AE46" t="str">
            <v>HERMANSYAH  BIAN</v>
          </cell>
          <cell r="AF46" t="str">
            <v>IKRA  HALIL,  ST.</v>
          </cell>
        </row>
        <row r="47">
          <cell r="C47">
            <v>39</v>
          </cell>
          <cell r="D47" t="str">
            <v>Malik Kentji</v>
          </cell>
          <cell r="E47" t="str">
            <v>Direktur CV. LIKMOFA PRATAMA</v>
          </cell>
          <cell r="F47" t="str">
            <v>T.  EDDY  BOHAM,  SH    No.  29   Tanggal   24   Mei   1994</v>
          </cell>
          <cell r="G47" t="str">
            <v>Pemeliharaan Rutin Jalan Paket  V</v>
          </cell>
          <cell r="H47" t="str">
            <v>6.803 Km</v>
          </cell>
          <cell r="I47" t="str">
            <v>MALIK KENTJI</v>
          </cell>
          <cell r="J47" t="str">
            <v>DIREKTUR</v>
          </cell>
          <cell r="K47">
            <v>92142727.272727266</v>
          </cell>
          <cell r="L47">
            <v>9214272.7272727266</v>
          </cell>
          <cell r="M47">
            <v>101357000</v>
          </cell>
          <cell r="N47" t="str">
            <v>Nomor : 620 / 60 / PW-DAK / KOTA  TTE / 2004</v>
          </cell>
          <cell r="O47" t="str">
            <v>Jl. Maliaro Atas Kel. Maliaro - Ternate</v>
          </cell>
          <cell r="P47" t="str">
            <v>CV. LIKMOFA PRATAMA</v>
          </cell>
          <cell r="Q47" t="str">
            <v>(Seratus Satu Juta Tiga Ratus Lima Puluh Tujuh Ribu Rupiah)</v>
          </cell>
          <cell r="R47" t="str">
            <v>Kota Ternate Selatan</v>
          </cell>
          <cell r="S47" t="str">
            <v>Lima Puluh Tujuh Ribu Rupiah</v>
          </cell>
          <cell r="T47" t="str">
            <v>Nomor : 620 / 76 / PW-DAK / KOTA  TTE / 2004</v>
          </cell>
          <cell r="U47" t="str">
            <v>Nomor : 620 / 92 / PW-DAK / KOTA  TTE / 2004</v>
          </cell>
          <cell r="V47" t="str">
            <v>PEMELIHARAAN RUTIN JALAN PAKET V</v>
          </cell>
          <cell r="W47" t="str">
            <v>Nomor : 620 / 60 / PW-DAK / KOTA  TTE / 2004</v>
          </cell>
          <cell r="X47" t="str">
            <v>Nomor : 620 / 60 / PW-DAK / KOTA  TTE / 2004</v>
          </cell>
          <cell r="Y47" t="str">
            <v>TANGGAL,   01  MEI  2004</v>
          </cell>
          <cell r="Z47" t="str">
            <v>Jl. Maliaro Atas Kel. Maliaro - Ternate</v>
          </cell>
          <cell r="AA47" t="str">
            <v>620 / 60 / PW-DAK / KOTA  TTE / 2004</v>
          </cell>
          <cell r="AB47" t="str">
            <v>01  MEI  2004</v>
          </cell>
          <cell r="AC47" t="str">
            <v>Seratus Satu Juta Tiga Ratus Lima Puluh Tujuh Ribu Rupiah</v>
          </cell>
          <cell r="AD47" t="str">
            <v>2.15.01.2.4.01.01.05.2</v>
          </cell>
          <cell r="AE47" t="str">
            <v>RUSDI  MALIK</v>
          </cell>
          <cell r="AF47" t="str">
            <v>Ir. M. DJUFRI  MAS'UD</v>
          </cell>
        </row>
        <row r="48">
          <cell r="C48">
            <v>40</v>
          </cell>
          <cell r="D48" t="str">
            <v>Taufik Rahman</v>
          </cell>
          <cell r="E48" t="str">
            <v>Direktur  CV.  BATU JAJAR</v>
          </cell>
          <cell r="F48" t="str">
            <v>FARUK   ALWY,  SH     No.   12    Tanggal   7   Februari   2001</v>
          </cell>
          <cell r="G48" t="str">
            <v>Pemeliharaan  Rutin  Jalan  Paket   III</v>
          </cell>
          <cell r="H48" t="str">
            <v>6.774  Km</v>
          </cell>
          <cell r="I48" t="str">
            <v>TAUFIK RAHMAN</v>
          </cell>
          <cell r="J48" t="str">
            <v>DIREKTUR</v>
          </cell>
          <cell r="K48">
            <v>91986363.63636364</v>
          </cell>
          <cell r="L48">
            <v>9198636.3636363652</v>
          </cell>
          <cell r="M48">
            <v>101185000</v>
          </cell>
          <cell r="N48" t="str">
            <v>Nomor : 620 / 58 / PW-DAK / KOTA  TTE / 2004</v>
          </cell>
          <cell r="O48" t="str">
            <v>Kel. Kalumpang - Ternate</v>
          </cell>
          <cell r="P48" t="str">
            <v>CV. BATU JAJAR</v>
          </cell>
          <cell r="Q48" t="str">
            <v>Seratus Satu Juta Seratus Delapan Puluh Lima Ribu Rupiah</v>
          </cell>
          <cell r="R48" t="str">
            <v>Kota  Ternate  Utara</v>
          </cell>
          <cell r="T48" t="str">
            <v>Nomor : 620 / 74 / PW-DAK / KOTA  TTE / 2004</v>
          </cell>
          <cell r="U48" t="str">
            <v>Nomor : 620 / 90 / PW-DAK / KOTA  TTE / 2004</v>
          </cell>
          <cell r="V48" t="str">
            <v>Pemeliharaan  Rutin  Jalan  Paket   III</v>
          </cell>
          <cell r="W48" t="str">
            <v>Nomor : 620 / 58 / PW-DAK / KOTA  TTE / 2004</v>
          </cell>
          <cell r="X48" t="str">
            <v>Nomor : 620 / 58 / PW-DAK / KOTA  TTE / 2004</v>
          </cell>
          <cell r="Y48" t="str">
            <v>TANGGAL,   01  MEI  2004</v>
          </cell>
          <cell r="Z48" t="str">
            <v>Kel. Kalumpang - Ternate</v>
          </cell>
          <cell r="AA48" t="str">
            <v>620 / 58 / PW-DAK / KOTA  TTE / 2004</v>
          </cell>
          <cell r="AB48" t="str">
            <v>01  MEI  2004</v>
          </cell>
          <cell r="AC48" t="str">
            <v>Seratus Satu Juta Seratus Delapan Puluh Lima Ribu Rupiah</v>
          </cell>
          <cell r="AD48" t="str">
            <v>( Seratus  Satu  Juta  Seratus  Delapan  Puluh  Lima  Ribu  Rupiah )</v>
          </cell>
          <cell r="AE48" t="str">
            <v>SAFIUN,  Amd.</v>
          </cell>
          <cell r="AF48" t="str">
            <v>Ir. M. DJUFRI  MAS'UD</v>
          </cell>
        </row>
        <row r="49">
          <cell r="C49">
            <v>41</v>
          </cell>
          <cell r="D49" t="str">
            <v>Selvia Ong</v>
          </cell>
          <cell r="E49" t="str">
            <v>Direktris  PT. TRIBUMI ADITUNGGAL</v>
          </cell>
          <cell r="F49" t="str">
            <v>HENGKY ZOUGIERA,   SH    No.   16   Tanggal   1    September    1990</v>
          </cell>
          <cell r="G49" t="str">
            <v>Pengembangan  Kawasan  Pantai  Tapak  I   Plus</v>
          </cell>
          <cell r="H49" t="str">
            <v>0.219 Km</v>
          </cell>
          <cell r="I49" t="str">
            <v>SELVIA ONG</v>
          </cell>
          <cell r="J49" t="str">
            <v>DIREKTRIS</v>
          </cell>
          <cell r="K49">
            <v>2488590909.090909</v>
          </cell>
          <cell r="L49">
            <v>248859090.90909091</v>
          </cell>
          <cell r="M49">
            <v>2737450000</v>
          </cell>
          <cell r="N49" t="str">
            <v>Nomor : 620 / 160 / PW-DAU / KOTA  TTE / 2004</v>
          </cell>
          <cell r="O49" t="str">
            <v>Jl. Pahlawan Revolusi  -  Ternate</v>
          </cell>
          <cell r="P49" t="str">
            <v>PT. TRIBUMI ADITUNGGAL</v>
          </cell>
          <cell r="Q49" t="str">
            <v>(Dua Milyar Tujuh Ratus Tiga Puluh Tujuh Juta Empat Ratus Lima Puluh Ribu Rupiah)</v>
          </cell>
          <cell r="R49" t="str">
            <v>Kota Ternate Utara</v>
          </cell>
          <cell r="S49" t="str">
            <v>( Dua  Milyar  Tujuh  Ratus  Tiga  Puluh  Tujuh  Juta  Empat  -</v>
          </cell>
          <cell r="T49" t="str">
            <v>Nomor : 620 / 161 / PW-DAU / KOTA  TTE / 2004</v>
          </cell>
          <cell r="U49" t="str">
            <v>Nomor : 620 / 162 / PW-DAU / KOTA  TTE / 2004</v>
          </cell>
          <cell r="V49" t="str">
            <v>Pengembangan  Kawasan  Pantai  Tapak  I   Plus</v>
          </cell>
          <cell r="W49" t="str">
            <v>Nomor : 620 / 71 / PW-DAU / KOTA  TTE / 2004</v>
          </cell>
          <cell r="X49" t="str">
            <v>Nomor : 620 / 71 / PW-DAU / KOTA  TTE / 2004</v>
          </cell>
          <cell r="Y49" t="str">
            <v>TANGGAL,   10  MEI  2004</v>
          </cell>
          <cell r="Z49" t="str">
            <v>Jl. Pahlawan Revolusi  -  Ternate</v>
          </cell>
          <cell r="AA49" t="str">
            <v>620 / 13 / PW-DAU / KOTA  TTE / 2004</v>
          </cell>
          <cell r="AB49" t="str">
            <v>26  MEI  2004</v>
          </cell>
          <cell r="AC49" t="str">
            <v xml:space="preserve">PT. Asuransi Umum BUMIPUTERAMUDA 1967 No.1203.15.2004.06.0178, </v>
          </cell>
          <cell r="AD49" t="str">
            <v>2.15.01.3.1.10.01.2</v>
          </cell>
          <cell r="AF49" t="str">
            <v>Empat  Ratus  Lima  Puluh  Ribu  Rupiah.</v>
          </cell>
        </row>
        <row r="50">
          <cell r="C50">
            <v>42</v>
          </cell>
          <cell r="D50" t="str">
            <v>Malik Robo</v>
          </cell>
          <cell r="E50" t="str">
            <v>Direktur CV. PERINDAH LESTARI</v>
          </cell>
          <cell r="F50" t="str">
            <v>FARUK  ALWY,  SH   No.  44   Tanggal   10   Januari   2001</v>
          </cell>
          <cell r="G50" t="str">
            <v>Pemeliharaan  Berkala  Jalan  Paket  V</v>
          </cell>
          <cell r="H50" t="str">
            <v>3.615 Km</v>
          </cell>
          <cell r="I50" t="str">
            <v>MALIK ROBO</v>
          </cell>
          <cell r="J50" t="str">
            <v>DIREKTUR</v>
          </cell>
          <cell r="K50">
            <v>235832727.27272728</v>
          </cell>
          <cell r="L50">
            <v>23583272.72727273</v>
          </cell>
          <cell r="M50">
            <v>259416000</v>
          </cell>
          <cell r="N50" t="str">
            <v>620 / 65 / PW-DAK / KOTA  TTE / 2004,  TANGGAL  12  MEI  2004</v>
          </cell>
          <cell r="O50" t="str">
            <v>Jl. Falajawa II Kayu Merah - Ternate</v>
          </cell>
          <cell r="P50" t="str">
            <v>CV. PERINDAH LESTARI</v>
          </cell>
          <cell r="Q50" t="str">
            <v xml:space="preserve">Dua  Ratus  Lima  Puluh  Sembilan  Juta   Empat  Ratus </v>
          </cell>
          <cell r="R50" t="str">
            <v>Kota Ternate Selatan</v>
          </cell>
          <cell r="S50" t="str">
            <v>Enam  Belas  Ribu  Rupiah</v>
          </cell>
          <cell r="T50" t="str">
            <v>Nomor : 620 / 81 / PW-DAK / KOTA  TTE / 2004</v>
          </cell>
          <cell r="U50" t="str">
            <v>Nomor : 620 / 97 / PW-DAK / KOTA  TTE / 2004</v>
          </cell>
          <cell r="V50" t="str">
            <v>Pemeliharaan  Berkala  Jalan  Paket  V</v>
          </cell>
          <cell r="W50" t="str">
            <v>Nomor : 620 / 65 / PW-DAK / KOTA  TTE / 2004</v>
          </cell>
          <cell r="X50" t="str">
            <v>Nomor : 620 / 65 / PW-DAK / KOTA  TTE / 2004</v>
          </cell>
          <cell r="Y50" t="str">
            <v>TANGGAL,   12  MEI  2004</v>
          </cell>
          <cell r="Z50" t="str">
            <v>Jl. Falajawa II Kayu Merah - Ternate</v>
          </cell>
          <cell r="AA50" t="str">
            <v>620 / 65 / PW-DAK / KOTA  TTE / 2004</v>
          </cell>
          <cell r="AB50" t="str">
            <v>12  MEI  2004</v>
          </cell>
          <cell r="AC50" t="str">
            <v xml:space="preserve">Dua  Ratus  Lima  Puluh  Sembilan  Juta  Empat  Ratus  -  </v>
          </cell>
          <cell r="AD50" t="str">
            <v>2.15.01.2.4.01.01.10.2</v>
          </cell>
          <cell r="AE50" t="str">
            <v>WISNU  WIDODO</v>
          </cell>
          <cell r="AF50" t="str">
            <v>Ir. M. DJUFRI  MAS'UD</v>
          </cell>
        </row>
        <row r="51">
          <cell r="C51">
            <v>43</v>
          </cell>
          <cell r="D51" t="str">
            <v>Iming Ekawati Satya</v>
          </cell>
          <cell r="E51" t="str">
            <v>Direktris  CV.  MAHKOTA</v>
          </cell>
          <cell r="F51" t="str">
            <v>FARUK   ALWY,  SH    No.   22   Tanggal   17   Februari   2003</v>
          </cell>
          <cell r="G51" t="str">
            <v>Pemeliharaan  Rutin  Jalan  Paket  II</v>
          </cell>
          <cell r="H51" t="str">
            <v>14.888 Km</v>
          </cell>
          <cell r="I51" t="str">
            <v>IMING EKAWATI SATYA</v>
          </cell>
          <cell r="J51" t="str">
            <v>DIREKTRIS</v>
          </cell>
          <cell r="K51">
            <v>206657272.72727272</v>
          </cell>
          <cell r="L51">
            <v>20665727.272727273</v>
          </cell>
          <cell r="M51">
            <v>227323000</v>
          </cell>
          <cell r="N51" t="str">
            <v>620 / 57 / PW-DAK / KOTA  TTE / 2004,  TANGGAL  01  MEI  2004</v>
          </cell>
          <cell r="O51" t="str">
            <v>Jl. Pahlawan Revolusi - Ternate</v>
          </cell>
          <cell r="P51" t="str">
            <v>CV. MAHKOTA</v>
          </cell>
          <cell r="Q51" t="str">
            <v>Dua   Ratus   Dua   Puluh   Tujuh   Juta  Tiga  Ratus</v>
          </cell>
          <cell r="R51" t="str">
            <v>Kota  Ternate  Utara</v>
          </cell>
          <cell r="S51" t="str">
            <v>Dua  Puluh  Tiga  Ribu  Rupiah</v>
          </cell>
          <cell r="T51" t="str">
            <v>Nomor : 620 / 73 / PW-DAK / KOTA  TTE / 2004</v>
          </cell>
          <cell r="U51" t="str">
            <v>Nomor : 620 / 89 / PW-DAK / KOTA  TTE / 2004</v>
          </cell>
          <cell r="V51" t="str">
            <v>Pemeliharaan  Rutin  Jalan  Paket  II</v>
          </cell>
          <cell r="W51" t="str">
            <v>Nomor : 620 / 57 / PW-DAK / KOTA  TTE / 2004</v>
          </cell>
          <cell r="X51" t="str">
            <v>Nomor : 620 / 57 / PW-DAK / KOTA  TTE / 2004</v>
          </cell>
          <cell r="Y51" t="str">
            <v>TANGGAL,   01  MEI  2004</v>
          </cell>
          <cell r="Z51" t="str">
            <v>Jl. Pahlawan Revolusi - Ternate</v>
          </cell>
          <cell r="AA51" t="str">
            <v>620 / 57 / PW-DAK / KOTA  TTE / 2004</v>
          </cell>
          <cell r="AB51" t="str">
            <v>01  MEI  2004</v>
          </cell>
          <cell r="AC51" t="str">
            <v>Dua Ratus Dua Puluh Tujuh Juta Tiga Ratus  -</v>
          </cell>
          <cell r="AD51" t="str">
            <v>2.15.01.2.4.01.01.02.2</v>
          </cell>
          <cell r="AE51" t="str">
            <v>SUAIB TEAPON</v>
          </cell>
          <cell r="AF51" t="str">
            <v>Ir. M. DJUFRI  MAS'UD</v>
          </cell>
        </row>
        <row r="52">
          <cell r="C52">
            <v>44</v>
          </cell>
          <cell r="D52" t="str">
            <v>Taufik Rahman</v>
          </cell>
          <cell r="E52" t="str">
            <v>Direktur  CV.  BATU JAJAR</v>
          </cell>
          <cell r="F52" t="str">
            <v>FARUK ALWY, SH  No. 12  Tanggal  7  Februari  2001</v>
          </cell>
          <cell r="G52" t="str">
            <v>Peningkatan  Jalan Tanah  ke  Aspal  Ruas  Jalan  Kalumata - Sasa</v>
          </cell>
          <cell r="H52" t="str">
            <v>603  Km</v>
          </cell>
          <cell r="I52" t="str">
            <v>TAUFIK RAHMAN</v>
          </cell>
          <cell r="J52" t="str">
            <v>DIREKTUR</v>
          </cell>
          <cell r="K52">
            <v>181386363.63636366</v>
          </cell>
          <cell r="L52">
            <v>18138636.363636367</v>
          </cell>
          <cell r="M52">
            <v>199525000</v>
          </cell>
          <cell r="N52" t="str">
            <v>620 / 68 / PW-DAK / KOTA  TTE / 2004, TANGGAL  01  MEI  2004</v>
          </cell>
          <cell r="O52" t="str">
            <v>Kel. Kalumpang - Ternate</v>
          </cell>
          <cell r="P52" t="str">
            <v>CV.  B A T U  J A J A R</v>
          </cell>
          <cell r="Q52" t="str">
            <v xml:space="preserve">Seratus  Sembilan  Puluh  Sembilan  Juta  Lima  Ratus </v>
          </cell>
          <cell r="R52" t="str">
            <v>Kota Ternate Selatan</v>
          </cell>
          <cell r="S52" t="str">
            <v>Dua  Puluh  Lima  Ribu  Rupiah</v>
          </cell>
          <cell r="T52" t="str">
            <v>Nomor : 620 / 84 / PW-DAK / KOTA  TTE / 2004</v>
          </cell>
          <cell r="U52" t="str">
            <v>Nomor : 620 / 100 / PW-DAK / KOTA  TTE / 2004</v>
          </cell>
          <cell r="V52" t="str">
            <v>Peningkatan  Jalan Tanah  ke  Aspal  Ruas  Jalan  Kalumata - Sasa</v>
          </cell>
          <cell r="W52" t="str">
            <v>Nomor : 620 / 68 / PW-DAK / KOTA  TTE / 2004</v>
          </cell>
          <cell r="X52" t="str">
            <v>Nomor : 620 / 68 / PW-DAK / KOTA  TTE / 2004</v>
          </cell>
          <cell r="Y52" t="str">
            <v>TANGGAL,   01  MEI  2004</v>
          </cell>
          <cell r="Z52" t="str">
            <v>Jl. Daniel Bohang Kel. Salero - Ternate</v>
          </cell>
          <cell r="AA52" t="str">
            <v>620 / 68 / PW-DAK / KOTA  TTE / 2004</v>
          </cell>
          <cell r="AB52" t="str">
            <v>01  MEI  2004</v>
          </cell>
          <cell r="AC52" t="str">
            <v>Seratus   Sembilan   Puluh   Sembilan   Juta   Lima  -</v>
          </cell>
          <cell r="AD52" t="str">
            <v>2.15.01.2.4.01.01.13.2</v>
          </cell>
          <cell r="AE52" t="str">
            <v>HAMID  SIBU</v>
          </cell>
          <cell r="AF52" t="str">
            <v>Ir. M. DJUFRI  MAS'UD</v>
          </cell>
        </row>
        <row r="53">
          <cell r="C53">
            <v>45</v>
          </cell>
          <cell r="D53" t="str">
            <v>Hartono  Litan,  SE.</v>
          </cell>
          <cell r="E53" t="str">
            <v>Direktur  PT.  Palapa  Jaya</v>
          </cell>
          <cell r="F53" t="str">
            <v>56  Tanggal  25  Februari  2002</v>
          </cell>
          <cell r="G53" t="str">
            <v>Pembangunan  Jalan  Pulau  Moti</v>
          </cell>
          <cell r="H53" t="str">
            <v>3.600  Km</v>
          </cell>
          <cell r="I53" t="str">
            <v>HARTONO   LITAN,  SE.</v>
          </cell>
          <cell r="J53" t="str">
            <v>DIREKTUR</v>
          </cell>
          <cell r="K53">
            <v>1810128134.1199999</v>
          </cell>
          <cell r="L53">
            <v>181012813.41</v>
          </cell>
          <cell r="M53">
            <v>1990722000</v>
          </cell>
          <cell r="N53" t="str">
            <v>620 / 06a / PW-DAU / KOTA  TTE / 2004,  TANGGAL,  05  FEBRUARI  2004</v>
          </cell>
          <cell r="O53" t="str">
            <v>Jln.  Busoiri  No.  275  Kel.  Gamalama - Ternate</v>
          </cell>
          <cell r="P53" t="str">
            <v>PT.  PALAPA  JAYA</v>
          </cell>
          <cell r="Q53" t="str">
            <v>Satu  Miliard  Sembilan  Ratus  Sembilan  Puluh  Juta</v>
          </cell>
          <cell r="R53" t="str">
            <v>Kecamatan  Pulau  Moti</v>
          </cell>
          <cell r="S53" t="str">
            <v>Tujuh  Ratus  Dua  Puluh  Dua  Ribu  Rupiah</v>
          </cell>
          <cell r="T53" t="str">
            <v>620 / 05 / P2JKK / KOTA  TTE / 2003,  TANGGAL,  22  MARET  2003</v>
          </cell>
          <cell r="U53" t="str">
            <v>620 / 05 / P2JKK / KOTA  TTE / 2003,  TANGGAL,  22  MARET  2003</v>
          </cell>
          <cell r="V53" t="str">
            <v>Pembangunan  Jalan  Pulau  Moti</v>
          </cell>
          <cell r="X53" t="str">
            <v xml:space="preserve">Nomor : 620 / 06a / PW-DAU / KOTA  TTE / 2004,  </v>
          </cell>
          <cell r="Y53" t="str">
            <v>TANGGAL,  05  FEBRUARI  2004</v>
          </cell>
          <cell r="Z53" t="str">
            <v>Alamat   :  Jln.  Busoiri  No.  275  Kel.  Gamalama - Ternate</v>
          </cell>
          <cell r="AC53" t="str">
            <v xml:space="preserve">PT. Bank BNI No. 2003 / TNT / 11 / 1707 / Senin 31 Maret  2003 </v>
          </cell>
          <cell r="AD53" t="str">
            <v xml:space="preserve">  2.15.01.2.4.01.01.2.</v>
          </cell>
          <cell r="AE53" t="str">
            <v>HERMANSYAH  BIAN</v>
          </cell>
          <cell r="AF53" t="str">
            <v>IKRA  HALIL,  ST.</v>
          </cell>
        </row>
        <row r="54">
          <cell r="C54">
            <v>46</v>
          </cell>
        </row>
        <row r="58">
          <cell r="D58" t="str">
            <v>Malik Kentji</v>
          </cell>
          <cell r="E58" t="str">
            <v>Direktur CV. LIKMOFA PRATAMA</v>
          </cell>
          <cell r="F58" t="str">
            <v>T.  EDDY  BOHAM,  SH    No.  29   Tanggal   24   Mei   1994</v>
          </cell>
        </row>
        <row r="62">
          <cell r="C62">
            <v>47</v>
          </cell>
          <cell r="D62" t="str">
            <v>Djufri  Sutrisno, BBA.</v>
          </cell>
          <cell r="E62" t="str">
            <v>Direktur   CV.  Karya  Pribumi</v>
          </cell>
          <cell r="F62" t="str">
            <v>01  Tanggal  3  April  1996</v>
          </cell>
        </row>
        <row r="63">
          <cell r="C63">
            <v>48</v>
          </cell>
          <cell r="D63" t="str">
            <v>Taufik  Al  Ammarie</v>
          </cell>
          <cell r="E63" t="str">
            <v>Direktur   CV.  Dua  Tiga  Empat</v>
          </cell>
          <cell r="F63" t="str">
            <v>17 Tanggal  20 Februari 1999</v>
          </cell>
        </row>
        <row r="64">
          <cell r="C64">
            <v>49</v>
          </cell>
          <cell r="D64" t="str">
            <v>Abdullah  Al  Amarie</v>
          </cell>
          <cell r="E64" t="str">
            <v>Wakil Direktur   CV.  Dua  Tiga  Empat</v>
          </cell>
          <cell r="F64" t="str">
            <v>17 Tanggal  20 Februari 1999</v>
          </cell>
        </row>
        <row r="65">
          <cell r="C65">
            <v>50</v>
          </cell>
          <cell r="D65" t="str">
            <v>Ridwan  Gogos</v>
          </cell>
          <cell r="E65" t="str">
            <v>Direktur  CV.  Anugrah  Utama</v>
          </cell>
          <cell r="F65" t="str">
            <v>63  Tanggal  28 Agustus  2000</v>
          </cell>
        </row>
        <row r="66">
          <cell r="C66">
            <v>51</v>
          </cell>
          <cell r="D66" t="str">
            <v>Fahmi  Azis</v>
          </cell>
          <cell r="E66" t="str">
            <v>Direktur   CV.  Tiga  Serangkai</v>
          </cell>
          <cell r="F66" t="str">
            <v>22  Tanggal 22  Februari 2000</v>
          </cell>
        </row>
        <row r="67">
          <cell r="C67">
            <v>52</v>
          </cell>
          <cell r="D67" t="str">
            <v>Ny. Nursilawati  Ruray</v>
          </cell>
          <cell r="E67" t="str">
            <v>Direktris  CV.  Irama</v>
          </cell>
          <cell r="F67" t="str">
            <v>51 Tanggal 19 Desember 2000</v>
          </cell>
        </row>
        <row r="68">
          <cell r="C68">
            <v>53</v>
          </cell>
        </row>
        <row r="69">
          <cell r="C69">
            <v>54</v>
          </cell>
        </row>
      </sheetData>
      <sheetData sheetId="21"/>
      <sheetData sheetId="22"/>
      <sheetData sheetId="23"/>
      <sheetData sheetId="24"/>
      <sheetData sheetId="25"/>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EDULE"/>
      <sheetName val="REKAP TOTAL"/>
      <sheetName val="REKAP STR"/>
      <sheetName val="BQ-Struktur MB"/>
      <sheetName val="REKAP ARS"/>
      <sheetName val="Rekap A. Emergency"/>
      <sheetName val="A. Emergency"/>
      <sheetName val="Rekap B. Laboratory"/>
      <sheetName val="B. Laboratory"/>
      <sheetName val="Rekap C. Radiology"/>
      <sheetName val="C. Radiology"/>
      <sheetName val="Rekap D. Main Entrance"/>
      <sheetName val="D. Main Entrance"/>
      <sheetName val="Rekap E. Fisiotherapy"/>
      <sheetName val="E. Fisiotherapy"/>
      <sheetName val="Rekap F. Polyclinic"/>
      <sheetName val="F. Polyclinic"/>
      <sheetName val="Rekap G. Operating Room &amp; ICU"/>
      <sheetName val="G. Operating Room &amp; ICU"/>
      <sheetName val="Rekap H. Hemodialisa"/>
      <sheetName val="H. Hemodialisa"/>
      <sheetName val="Rekap I. Medical Record"/>
      <sheetName val="I. Medical Record"/>
      <sheetName val="Rekap J. Obgyn"/>
      <sheetName val="J. Obgyn"/>
      <sheetName val="Rekap K. Commercial Area"/>
      <sheetName val="K. Commercial Area"/>
      <sheetName val="Rekap L. Gen  Administration"/>
      <sheetName val="L. General Administration"/>
      <sheetName val="Rekap M. Auditorium"/>
      <sheetName val="M. Auditorium"/>
      <sheetName val="Rekap N. Pekerjaan Lain2"/>
      <sheetName val="N. Pekerjaan Lain2"/>
      <sheetName val="Str SUP"/>
      <sheetName val="rekap ME"/>
      <sheetName val="RAB MK all MB rofiq"/>
      <sheetName val="ELECTRIC-MB"/>
      <sheetName val="MEKANIKAL MB"/>
      <sheetName val="RAB ELEKTRIKAL rofiq"/>
      <sheetName val="Upah"/>
      <sheetName val="Bahan"/>
      <sheetName val="Alat-P"/>
      <sheetName val="A"/>
      <sheetName val="upahbahan"/>
      <sheetName val="pek baja"/>
      <sheetName val="An. Pek Pasangan"/>
      <sheetName val="An. Pek Beton"/>
      <sheetName val="An. Pek Tanah"/>
      <sheetName val="RAB Arsitektur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refreshError="1"/>
      <sheetData sheetId="43">
        <row r="14">
          <cell r="I14">
            <v>65000</v>
          </cell>
        </row>
      </sheetData>
      <sheetData sheetId="44" refreshError="1"/>
      <sheetData sheetId="45" refreshError="1"/>
      <sheetData sheetId="46" refreshError="1"/>
      <sheetData sheetId="47" refreshError="1"/>
      <sheetData sheetId="48"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data peralatan"/>
      <sheetName val="data personalia"/>
      <sheetName val="pengalaman"/>
      <sheetName val="neraca"/>
      <sheetName val="SKN "/>
      <sheetName val="isian kualifikasi"/>
      <sheetName val="Surat Minat"/>
      <sheetName val="Surat penawaran"/>
      <sheetName val="Div1"/>
      <sheetName val="Div2"/>
      <sheetName val="Div 2"/>
      <sheetName val="Div3"/>
      <sheetName val="Div5"/>
      <sheetName val="Div4"/>
      <sheetName val="Div8b"/>
      <sheetName val="Div 6"/>
      <sheetName val="Div 7"/>
      <sheetName val="Div 8"/>
      <sheetName val="USULAN PSONIL INTI&amp;PERALATAN"/>
      <sheetName val="DAFTAR SEWA ALAT"/>
      <sheetName val="JADUAL"/>
      <sheetName val="KNTRK YG DISELEKSI"/>
      <sheetName val="CVER PENAWARAN"/>
      <sheetName val="DAFTAR LAMPIRAN"/>
      <sheetName val="SKon"/>
      <sheetName val="Kapasitas AMP.S.C"/>
      <sheetName val="cover tempel"/>
    </sheetNames>
    <sheetDataSet>
      <sheetData sheetId="0"/>
      <sheetData sheetId="1"/>
      <sheetData sheetId="2"/>
      <sheetData sheetId="3"/>
      <sheetData sheetId="4"/>
      <sheetData sheetId="5"/>
      <sheetData sheetId="6"/>
      <sheetData sheetId="7"/>
      <sheetData sheetId="8"/>
      <sheetData sheetId="9"/>
      <sheetData sheetId="10">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10.824742268041238</v>
          </cell>
          <cell r="I85">
            <v>6250</v>
          </cell>
          <cell r="K85">
            <v>67654.639175257733</v>
          </cell>
        </row>
        <row r="86">
          <cell r="B86" t="str">
            <v>2.</v>
          </cell>
          <cell r="D86" t="str">
            <v>Tukang</v>
          </cell>
          <cell r="G86" t="str">
            <v>jam</v>
          </cell>
          <cell r="H86">
            <v>2.1649484536082477</v>
          </cell>
          <cell r="I86">
            <v>7750</v>
          </cell>
          <cell r="K86">
            <v>16778.350515463921</v>
          </cell>
        </row>
        <row r="87">
          <cell r="B87" t="str">
            <v>3.</v>
          </cell>
          <cell r="D87" t="str">
            <v>Mandor</v>
          </cell>
          <cell r="G87" t="str">
            <v>jam</v>
          </cell>
          <cell r="H87">
            <v>0.72164948453608257</v>
          </cell>
          <cell r="I87">
            <v>7750</v>
          </cell>
          <cell r="K87">
            <v>5592.7835051546399</v>
          </cell>
        </row>
        <row r="91">
          <cell r="B91" t="str">
            <v>B.</v>
          </cell>
          <cell r="D91" t="str">
            <v>Bahan</v>
          </cell>
        </row>
        <row r="92">
          <cell r="B92" t="str">
            <v>1.</v>
          </cell>
          <cell r="D92" t="str">
            <v>Batu</v>
          </cell>
          <cell r="G92" t="str">
            <v>M3</v>
          </cell>
          <cell r="H92">
            <v>1.1000000000000001</v>
          </cell>
          <cell r="I92">
            <v>64400</v>
          </cell>
          <cell r="K92">
            <v>70840</v>
          </cell>
        </row>
        <row r="93">
          <cell r="B93" t="str">
            <v>2.</v>
          </cell>
          <cell r="D93" t="str">
            <v>Semen (PC)</v>
          </cell>
          <cell r="G93" t="str">
            <v>Kg</v>
          </cell>
          <cell r="H93">
            <v>161</v>
          </cell>
          <cell r="I93">
            <v>725</v>
          </cell>
          <cell r="K93">
            <v>116725</v>
          </cell>
        </row>
        <row r="94">
          <cell r="B94" t="str">
            <v>3.</v>
          </cell>
          <cell r="D94" t="str">
            <v>Pasir</v>
          </cell>
          <cell r="G94" t="str">
            <v>M3</v>
          </cell>
          <cell r="H94">
            <v>0.48287425149700602</v>
          </cell>
          <cell r="I94">
            <v>72600</v>
          </cell>
          <cell r="K94">
            <v>35056.67065868264</v>
          </cell>
        </row>
        <row r="99">
          <cell r="B99" t="str">
            <v>C.</v>
          </cell>
          <cell r="D99" t="str">
            <v>Peralatan</v>
          </cell>
        </row>
        <row r="100">
          <cell r="B100" t="str">
            <v>1.</v>
          </cell>
          <cell r="D100" t="str">
            <v>Alat Bantu</v>
          </cell>
          <cell r="G100" t="str">
            <v>Ls</v>
          </cell>
          <cell r="H100">
            <v>1</v>
          </cell>
          <cell r="I100">
            <v>1000</v>
          </cell>
          <cell r="K100">
            <v>1000</v>
          </cell>
        </row>
        <row r="109">
          <cell r="B109" t="str">
            <v>D.</v>
          </cell>
          <cell r="D109" t="str">
            <v>Jumlah  (A + B + C)</v>
          </cell>
          <cell r="K109">
            <v>313647.44385455892</v>
          </cell>
        </row>
        <row r="110">
          <cell r="B110" t="str">
            <v>E.</v>
          </cell>
          <cell r="D110" t="str">
            <v>Biaya Umum dan Keuntungan</v>
          </cell>
          <cell r="G110">
            <v>10</v>
          </cell>
          <cell r="H110" t="str">
            <v>%  x  D</v>
          </cell>
          <cell r="K110">
            <v>31364.744385455895</v>
          </cell>
        </row>
        <row r="111">
          <cell r="B111" t="str">
            <v>F.</v>
          </cell>
          <cell r="D111" t="str">
            <v>Harga Satuan  = ( D + E )</v>
          </cell>
          <cell r="K111">
            <v>345012.18824001483</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row r="134">
          <cell r="B134" t="str">
            <v>LAMPIRAN 2 PENAWARAN</v>
          </cell>
        </row>
        <row r="135">
          <cell r="B135" t="str">
            <v>ANALISA HARGA SATUAN MATA PEMBAYARAN UTAMA</v>
          </cell>
        </row>
        <row r="137">
          <cell r="B137" t="str">
            <v>NAMA PESERTA LELANG</v>
          </cell>
          <cell r="E137" t="str">
            <v>:</v>
          </cell>
          <cell r="F137" t="e">
            <v>#REF!</v>
          </cell>
        </row>
        <row r="138">
          <cell r="B138" t="str">
            <v>NO. MATA PEMBAYARAN</v>
          </cell>
          <cell r="E138" t="str">
            <v>:</v>
          </cell>
          <cell r="F138" t="e">
            <v>#REF!</v>
          </cell>
        </row>
        <row r="139">
          <cell r="B139" t="str">
            <v>JENIS PEKERJAAN</v>
          </cell>
          <cell r="E139" t="str">
            <v>:</v>
          </cell>
          <cell r="F139" t="e">
            <v>#REF!</v>
          </cell>
        </row>
        <row r="140">
          <cell r="B140" t="str">
            <v>SATUAN PEKERJAAN</v>
          </cell>
          <cell r="E140" t="str">
            <v>:</v>
          </cell>
          <cell r="F140" t="e">
            <v>#REF!</v>
          </cell>
        </row>
        <row r="141">
          <cell r="B141" t="str">
            <v>PERKIRAAN KUANTITAS</v>
          </cell>
          <cell r="E141" t="str">
            <v>:</v>
          </cell>
          <cell r="F141" t="e">
            <v>#REF!</v>
          </cell>
        </row>
        <row r="142">
          <cell r="B142" t="str">
            <v>PEKERJAAN</v>
          </cell>
          <cell r="E142" t="str">
            <v>:</v>
          </cell>
          <cell r="F142" t="e">
            <v>#REF!</v>
          </cell>
        </row>
        <row r="143">
          <cell r="B143" t="str">
            <v>PRODUKSI HARIAN / JAM *)</v>
          </cell>
          <cell r="E143" t="str">
            <v>:</v>
          </cell>
          <cell r="F143" t="str">
            <v>Jam</v>
          </cell>
        </row>
        <row r="145">
          <cell r="B145" t="str">
            <v>No.</v>
          </cell>
          <cell r="C145" t="str">
            <v>Uraian</v>
          </cell>
          <cell r="G145" t="str">
            <v>Satuan</v>
          </cell>
          <cell r="H145" t="str">
            <v>Kuantitas</v>
          </cell>
          <cell r="I145" t="str">
            <v>Biaya Satuan                            (Rp.)</v>
          </cell>
          <cell r="J145" t="str">
            <v>Jumlah                           Rp./Satuan</v>
          </cell>
        </row>
        <row r="150">
          <cell r="B150" t="str">
            <v>A.</v>
          </cell>
          <cell r="D150" t="str">
            <v>Tenaga Kerja</v>
          </cell>
        </row>
        <row r="151">
          <cell r="B151" t="str">
            <v>1.</v>
          </cell>
          <cell r="D151" t="str">
            <v>Pekerja</v>
          </cell>
          <cell r="G151" t="str">
            <v>jam</v>
          </cell>
          <cell r="H151">
            <v>4.0160642570281126</v>
          </cell>
          <cell r="I151">
            <v>6250</v>
          </cell>
          <cell r="K151">
            <v>25100.401606425705</v>
          </cell>
        </row>
        <row r="152">
          <cell r="B152" t="str">
            <v>2.</v>
          </cell>
          <cell r="D152" t="str">
            <v>Tukang Batu</v>
          </cell>
          <cell r="G152" t="str">
            <v>jam</v>
          </cell>
          <cell r="H152">
            <v>1.2048192771084338</v>
          </cell>
          <cell r="I152">
            <v>7750</v>
          </cell>
          <cell r="K152">
            <v>9337.3493975903621</v>
          </cell>
        </row>
        <row r="153">
          <cell r="B153" t="str">
            <v>3.</v>
          </cell>
          <cell r="D153" t="str">
            <v>Mandor</v>
          </cell>
          <cell r="G153" t="str">
            <v>jam</v>
          </cell>
          <cell r="H153">
            <v>0.40160642570281124</v>
          </cell>
          <cell r="I153">
            <v>7750</v>
          </cell>
          <cell r="K153">
            <v>3112.4497991967874</v>
          </cell>
        </row>
        <row r="157">
          <cell r="B157" t="str">
            <v>B.</v>
          </cell>
          <cell r="D157" t="str">
            <v>Bahan</v>
          </cell>
        </row>
        <row r="158">
          <cell r="B158" t="str">
            <v>1.</v>
          </cell>
          <cell r="D158" t="str">
            <v>Batu</v>
          </cell>
          <cell r="G158" t="str">
            <v>M3</v>
          </cell>
          <cell r="H158">
            <v>1.1000000000000001</v>
          </cell>
          <cell r="I158">
            <v>64400</v>
          </cell>
          <cell r="K158">
            <v>70840</v>
          </cell>
        </row>
        <row r="159">
          <cell r="B159" t="str">
            <v>2.</v>
          </cell>
          <cell r="D159" t="str">
            <v>Semen</v>
          </cell>
          <cell r="G159" t="str">
            <v>Kg</v>
          </cell>
          <cell r="H159">
            <v>161</v>
          </cell>
          <cell r="I159">
            <v>725</v>
          </cell>
          <cell r="K159">
            <v>116725</v>
          </cell>
        </row>
        <row r="160">
          <cell r="B160" t="str">
            <v>3.</v>
          </cell>
          <cell r="D160" t="str">
            <v>Pasir</v>
          </cell>
          <cell r="G160" t="str">
            <v>M3</v>
          </cell>
          <cell r="H160">
            <v>0.48287425149700602</v>
          </cell>
          <cell r="I160">
            <v>72600</v>
          </cell>
          <cell r="K160">
            <v>35056.67065868264</v>
          </cell>
        </row>
        <row r="165">
          <cell r="B165" t="str">
            <v>C.</v>
          </cell>
          <cell r="D165" t="str">
            <v>Peralatan</v>
          </cell>
        </row>
        <row r="166">
          <cell r="B166" t="str">
            <v>1.</v>
          </cell>
          <cell r="D166" t="str">
            <v>Concrete Mixer</v>
          </cell>
          <cell r="G166" t="str">
            <v>jam</v>
          </cell>
          <cell r="H166">
            <v>0.40160642570281119</v>
          </cell>
          <cell r="I166">
            <v>37000</v>
          </cell>
          <cell r="K166">
            <v>14859.437751004014</v>
          </cell>
        </row>
        <row r="167">
          <cell r="B167" t="str">
            <v>3.</v>
          </cell>
          <cell r="D167" t="str">
            <v>Alat Bantu</v>
          </cell>
          <cell r="G167" t="str">
            <v>Ls</v>
          </cell>
          <cell r="H167">
            <v>1</v>
          </cell>
          <cell r="I167">
            <v>900</v>
          </cell>
          <cell r="K167">
            <v>900</v>
          </cell>
        </row>
        <row r="175">
          <cell r="B175" t="str">
            <v>D.</v>
          </cell>
          <cell r="D175" t="str">
            <v>Jumlah  (A + B + C)</v>
          </cell>
          <cell r="K175">
            <v>275931.30921289953</v>
          </cell>
        </row>
        <row r="176">
          <cell r="B176" t="str">
            <v>E.</v>
          </cell>
          <cell r="D176" t="str">
            <v>Biaya Umum dan Keuntungan</v>
          </cell>
          <cell r="G176">
            <v>10</v>
          </cell>
          <cell r="H176" t="str">
            <v>%  x  D</v>
          </cell>
          <cell r="K176">
            <v>27593.130921289954</v>
          </cell>
        </row>
        <row r="177">
          <cell r="B177" t="str">
            <v>F.</v>
          </cell>
          <cell r="D177" t="str">
            <v>Harga Satuan  = ( D + E )</v>
          </cell>
          <cell r="K177">
            <v>303524.4401341895</v>
          </cell>
        </row>
        <row r="178">
          <cell r="B178" t="str">
            <v>Catatan :</v>
          </cell>
        </row>
        <row r="179">
          <cell r="B179" t="str">
            <v>1.</v>
          </cell>
          <cell r="C179" t="str">
            <v>Satuan dapat berdasarkan atas jam operasi untuk tenaga kerja dan peralatan, volume dan / atau ukuran berat untuk bahan-bahan.</v>
          </cell>
        </row>
        <row r="180">
          <cell r="B180" t="str">
            <v>2.</v>
          </cell>
          <cell r="C180" t="str">
            <v>Kuantitas satuan adalah kuantitas perkiraan dari setiap komponen untuk menyelesaikan satu satuan pekerjaan dari nomor mata pembayaran Harga Satuan yang disampaikan Peserta Lelang tidak dapat diubah, kecuali persyaratan Ayat 13.4 dari Instruksi Kepada Pese</v>
          </cell>
        </row>
        <row r="183">
          <cell r="B183" t="str">
            <v>3.</v>
          </cell>
          <cell r="C183" t="str">
            <v>Biaya satuan untuk peralatan sudah termasuk bahan bakar, bahan habis terpakai dan operator.</v>
          </cell>
        </row>
        <row r="184">
          <cell r="B184" t="str">
            <v>4.</v>
          </cell>
          <cell r="C184" t="str">
            <v>Biaya satuan sudah termasuk pengeluaran untuk seluruh pajak yang berkaitan (tetapi tidak termasuk PPN yang dibayarkan dari kontrak) dan biaya-biaya lainnya.</v>
          </cell>
        </row>
        <row r="186">
          <cell r="B186" t="str">
            <v>5.</v>
          </cell>
          <cell r="C186" t="str">
            <v>Harga satuan yang diajukan peserta lelang harus mencakup seluruh tambahan tenaga kerja, bahan, peralatan atau kerugian yang mungkin diperlukan untuk menyelesaikan pekerjaan sesuai dengan Spesifikasi dan Gambar.</v>
          </cell>
        </row>
        <row r="190">
          <cell r="J190" t="e">
            <v>#REF!</v>
          </cell>
        </row>
        <row r="192">
          <cell r="J192" t="e">
            <v>#REF!</v>
          </cell>
        </row>
        <row r="198">
          <cell r="J198" t="e">
            <v>#REF!</v>
          </cell>
        </row>
        <row r="199">
          <cell r="J199" t="e">
            <v>#REF!</v>
          </cell>
        </row>
      </sheetData>
      <sheetData sheetId="11"/>
      <sheetData sheetId="12">
        <row r="2">
          <cell r="B2" t="str">
            <v>LAMPIRAN 2 PENAWARAN</v>
          </cell>
        </row>
        <row r="3">
          <cell r="J3" t="str">
            <v xml:space="preserve">Analisa EI-21 </v>
          </cell>
        </row>
        <row r="4">
          <cell r="B4" t="str">
            <v>FORMULIR STANDAR UNTUK</v>
          </cell>
        </row>
        <row r="5">
          <cell r="B5" t="str">
            <v>PEREKAMAN ANALISA MASING-MASING HARGA SATUAN</v>
          </cell>
        </row>
        <row r="6">
          <cell r="B6" t="str">
            <v xml:space="preserve">                                                                                                            </v>
          </cell>
        </row>
        <row r="8">
          <cell r="B8" t="str">
            <v>PESERTA LELANG</v>
          </cell>
          <cell r="E8" t="str">
            <v>CV. SARIWONO</v>
          </cell>
        </row>
        <row r="9">
          <cell r="B9" t="str">
            <v>PROGRAM</v>
          </cell>
          <cell r="E9" t="str">
            <v>: REHABILITASI / PEMELIHARAAN  JALAN DAN JEMBATAN</v>
          </cell>
        </row>
        <row r="10">
          <cell r="B10" t="str">
            <v>No. PAKET KONTRAK</v>
          </cell>
          <cell r="E10" t="str">
            <v>:</v>
          </cell>
        </row>
        <row r="11">
          <cell r="B11" t="str">
            <v>NAMA PAKET</v>
          </cell>
          <cell r="E11" t="str">
            <v>: PEMELIHARAAN BERKALA JALAN MOTONGKAD - MOTONGKAD PANTAI</v>
          </cell>
        </row>
        <row r="12">
          <cell r="B12" t="str">
            <v>PROP / KAB / KODYA</v>
          </cell>
          <cell r="E12" t="str">
            <v>: KABUPATEN BOLAANG MONGONDOW</v>
          </cell>
        </row>
        <row r="13">
          <cell r="B13" t="str">
            <v>ITEM PEMBAYARAN NO.</v>
          </cell>
          <cell r="E13" t="str">
            <v>:  3.1 (1)</v>
          </cell>
          <cell r="H13" t="str">
            <v>PERKIRAAN VOL. PEK.</v>
          </cell>
          <cell r="J13" t="str">
            <v>:</v>
          </cell>
          <cell r="K13">
            <v>12.48</v>
          </cell>
        </row>
        <row r="14">
          <cell r="B14" t="str">
            <v>JENIS PEKERJAAN</v>
          </cell>
          <cell r="E14" t="str">
            <v>:  Galian Biasa</v>
          </cell>
          <cell r="H14" t="str">
            <v>TOTAL HARGA (Rp.)</v>
          </cell>
          <cell r="J14" t="str">
            <v>:</v>
          </cell>
          <cell r="K14">
            <v>735033.49733094592</v>
          </cell>
        </row>
        <row r="15">
          <cell r="B15" t="str">
            <v>SATUAN PEMBAYARAN</v>
          </cell>
          <cell r="E15" t="str">
            <v>:  M3</v>
          </cell>
          <cell r="H15" t="str">
            <v>% THD. BIAYA PROYEK</v>
          </cell>
          <cell r="J15" t="str">
            <v>:</v>
          </cell>
          <cell r="K15">
            <v>0.22272527595282046</v>
          </cell>
        </row>
        <row r="18">
          <cell r="G18" t="str">
            <v>PERKIRAAN</v>
          </cell>
          <cell r="H18" t="str">
            <v>HARGA</v>
          </cell>
          <cell r="I18" t="str">
            <v>JUMLAH</v>
          </cell>
        </row>
        <row r="19">
          <cell r="B19" t="str">
            <v>NO.</v>
          </cell>
          <cell r="D19" t="str">
            <v>KOMPONEN</v>
          </cell>
          <cell r="F19" t="str">
            <v>SATUAN</v>
          </cell>
          <cell r="G19" t="str">
            <v>KUANTITAS</v>
          </cell>
          <cell r="H19" t="str">
            <v>SATUAN</v>
          </cell>
          <cell r="I19" t="str">
            <v>HARGA</v>
          </cell>
        </row>
        <row r="20">
          <cell r="H20" t="str">
            <v>(Rp.)</v>
          </cell>
          <cell r="I20" t="str">
            <v>(Rp.)</v>
          </cell>
        </row>
        <row r="23">
          <cell r="B23" t="str">
            <v>A.</v>
          </cell>
          <cell r="D23" t="str">
            <v>TENAGA</v>
          </cell>
        </row>
        <row r="25">
          <cell r="B25" t="str">
            <v>1.</v>
          </cell>
          <cell r="D25" t="str">
            <v>Pekerja</v>
          </cell>
          <cell r="E25" t="str">
            <v>(L01)</v>
          </cell>
          <cell r="F25" t="str">
            <v>jam</v>
          </cell>
          <cell r="G25">
            <v>0.16385542168674697</v>
          </cell>
          <cell r="H25">
            <v>4571.4285714285716</v>
          </cell>
          <cell r="K25">
            <v>749.05335628227192</v>
          </cell>
        </row>
        <row r="26">
          <cell r="B26" t="str">
            <v>2.</v>
          </cell>
          <cell r="D26" t="str">
            <v>Mandor</v>
          </cell>
          <cell r="E26" t="str">
            <v>(L03)</v>
          </cell>
          <cell r="F26" t="str">
            <v>jam</v>
          </cell>
          <cell r="G26">
            <v>8.1927710843373483E-2</v>
          </cell>
          <cell r="H26">
            <v>7142.8571428571431</v>
          </cell>
          <cell r="K26">
            <v>585.19793459552488</v>
          </cell>
        </row>
        <row r="29">
          <cell r="H29" t="str">
            <v xml:space="preserve">JUMLAH HARGA TENAGA   </v>
          </cell>
          <cell r="K29">
            <v>1334.2512908777967</v>
          </cell>
        </row>
        <row r="31">
          <cell r="B31" t="str">
            <v>B.</v>
          </cell>
          <cell r="D31" t="str">
            <v>BAHAN</v>
          </cell>
        </row>
        <row r="40">
          <cell r="H40" t="str">
            <v xml:space="preserve">JUMLAH HARGA BAHAN   </v>
          </cell>
          <cell r="K40">
            <v>0</v>
          </cell>
        </row>
        <row r="42">
          <cell r="B42" t="str">
            <v>C.</v>
          </cell>
          <cell r="D42" t="str">
            <v>PERALATAN</v>
          </cell>
        </row>
        <row r="44">
          <cell r="B44" t="str">
            <v>1.</v>
          </cell>
          <cell r="D44" t="str">
            <v>Excavator</v>
          </cell>
          <cell r="E44" t="str">
            <v>(E10)</v>
          </cell>
          <cell r="F44" t="str">
            <v>jam</v>
          </cell>
          <cell r="G44">
            <v>8.1927710843373483E-2</v>
          </cell>
          <cell r="H44">
            <v>306550.18488744274</v>
          </cell>
          <cell r="K44">
            <v>25114.954906441089</v>
          </cell>
        </row>
        <row r="45">
          <cell r="B45" t="str">
            <v>2.</v>
          </cell>
          <cell r="D45" t="str">
            <v>Dump Truck</v>
          </cell>
          <cell r="E45" t="str">
            <v>(E08)</v>
          </cell>
          <cell r="F45" t="str">
            <v>jam</v>
          </cell>
          <cell r="G45">
            <v>0.16262640925146366</v>
          </cell>
          <cell r="H45">
            <v>166138.10629462017</v>
          </cell>
          <cell r="K45">
            <v>27018.443666532068</v>
          </cell>
        </row>
        <row r="46">
          <cell r="B46" t="str">
            <v>3.</v>
          </cell>
          <cell r="D46" t="str">
            <v>Alat Bantu</v>
          </cell>
          <cell r="F46" t="str">
            <v>Ls</v>
          </cell>
          <cell r="G46">
            <v>1</v>
          </cell>
          <cell r="H46">
            <v>75</v>
          </cell>
          <cell r="K46">
            <v>75</v>
          </cell>
        </row>
        <row r="51">
          <cell r="H51" t="str">
            <v xml:space="preserve">JUMLAH HARGA PERALATAN   </v>
          </cell>
          <cell r="K51">
            <v>52208.398572973158</v>
          </cell>
        </row>
        <row r="53">
          <cell r="B53" t="str">
            <v>D.</v>
          </cell>
          <cell r="D53" t="str">
            <v>JUMLAH HARGA TENAGA, BAHAN DAN PERALATAN  ( A + B + C )</v>
          </cell>
          <cell r="K53">
            <v>53542.649863850951</v>
          </cell>
        </row>
        <row r="54">
          <cell r="B54" t="str">
            <v>E.</v>
          </cell>
          <cell r="D54" t="str">
            <v>OVERHEAD &amp; PROFIT</v>
          </cell>
          <cell r="F54">
            <v>10</v>
          </cell>
          <cell r="G54" t="str">
            <v>%  x  D</v>
          </cell>
          <cell r="K54">
            <v>5354.2649863850957</v>
          </cell>
        </row>
        <row r="55">
          <cell r="B55" t="str">
            <v>F.</v>
          </cell>
          <cell r="D55" t="str">
            <v>HARGA SATUAN PEKERJAAN  ( D + E )</v>
          </cell>
          <cell r="K55">
            <v>58896.914850236048</v>
          </cell>
        </row>
        <row r="56">
          <cell r="B56" t="str">
            <v>Note: 1</v>
          </cell>
          <cell r="D56" t="str">
            <v>SATUAN dapat berdasarkan atas jam operasi untuk Tenaga Kerja dan Peralatan, volume dan/atau ukuran</v>
          </cell>
        </row>
        <row r="57">
          <cell r="D57" t="str">
            <v>berat untuk bahan-bahan.</v>
          </cell>
        </row>
        <row r="58">
          <cell r="B58">
            <v>2</v>
          </cell>
          <cell r="D58" t="str">
            <v>Kuantitas satuan adalah kuantitas setiap komponen untuk menyelesaikan satu satuan pekerjaan dari nomor</v>
          </cell>
        </row>
        <row r="59">
          <cell r="D59" t="str">
            <v>mata pembayaran.</v>
          </cell>
        </row>
        <row r="60">
          <cell r="B60">
            <v>3</v>
          </cell>
          <cell r="D60" t="str">
            <v>Biaya satuan untuk peralatan sudah termasuk bahan bakar, bahan habis dipakai dan operator.</v>
          </cell>
        </row>
        <row r="61">
          <cell r="B61">
            <v>4</v>
          </cell>
          <cell r="D61" t="str">
            <v>Biaya satuan sudah termasuk pengeluaran untuk seluruh pajak yang berkaitan (tetapi tidak termasuk PPN</v>
          </cell>
        </row>
        <row r="62">
          <cell r="D62" t="str">
            <v>yang dibayar dari kontrak) dan biaya-biaya lainnya.</v>
          </cell>
        </row>
        <row r="63">
          <cell r="H63" t="str">
            <v>Kotamobagu, 9  Juni   2008</v>
          </cell>
        </row>
        <row r="64">
          <cell r="H64" t="str">
            <v>Dibuat Oleh :</v>
          </cell>
        </row>
        <row r="65">
          <cell r="H65" t="str">
            <v>CV. SARIWONO</v>
          </cell>
        </row>
        <row r="71">
          <cell r="H71" t="str">
            <v>FADLI MUNAISECHE</v>
          </cell>
        </row>
        <row r="72">
          <cell r="H72" t="str">
            <v>PIM.TEK</v>
          </cell>
        </row>
        <row r="74">
          <cell r="B74" t="str">
            <v>LAMPIRAN 2 PENAWARAN</v>
          </cell>
        </row>
        <row r="75">
          <cell r="J75" t="str">
            <v>Analisa EI-321</v>
          </cell>
        </row>
        <row r="76">
          <cell r="B76" t="str">
            <v>FORMULIR STANDAR UNTUK</v>
          </cell>
        </row>
        <row r="77">
          <cell r="B77" t="str">
            <v>PEREKAMAN ANALISA MASING-MASING HARGA SATUAN</v>
          </cell>
        </row>
        <row r="78">
          <cell r="B78" t="str">
            <v xml:space="preserve">                                                                                                            </v>
          </cell>
        </row>
        <row r="80">
          <cell r="B80" t="str">
            <v>PESERTA LELANG</v>
          </cell>
          <cell r="E80" t="str">
            <v>CV. SARIWONO</v>
          </cell>
        </row>
        <row r="81">
          <cell r="B81" t="str">
            <v>PROGRAM</v>
          </cell>
          <cell r="E81" t="str">
            <v>: REHABILITASI / PEMELIHARAAN  JALAN DAN JEMBATAN</v>
          </cell>
        </row>
        <row r="82">
          <cell r="B82" t="str">
            <v>No. PAKET KONTRAK</v>
          </cell>
          <cell r="E82" t="str">
            <v>:</v>
          </cell>
        </row>
        <row r="83">
          <cell r="B83" t="str">
            <v>NAMA PAKET</v>
          </cell>
          <cell r="E83" t="str">
            <v>: PEMELIHARAAN BERKALA JALAN MOTONGKAD - MOTONGKAD PANTAI</v>
          </cell>
        </row>
        <row r="84">
          <cell r="B84" t="str">
            <v>PROP / KAB / KODYA</v>
          </cell>
          <cell r="E84" t="str">
            <v>: KABUPATEN BOLAANG MONGONDOW</v>
          </cell>
        </row>
        <row r="85">
          <cell r="B85" t="str">
            <v>ITEM PEMBAYARAN NO.</v>
          </cell>
          <cell r="E85" t="str">
            <v>:  3.2 (1)</v>
          </cell>
          <cell r="H85" t="str">
            <v>PERKIRAAN VOL. PEK.</v>
          </cell>
          <cell r="J85" t="str">
            <v>:</v>
          </cell>
          <cell r="K85">
            <v>0</v>
          </cell>
        </row>
        <row r="86">
          <cell r="B86" t="str">
            <v>JENIS PEKERJAAN</v>
          </cell>
          <cell r="E86" t="str">
            <v>:  Timbunan Biasa</v>
          </cell>
          <cell r="H86" t="str">
            <v>TOTAL HARGA (Rp.)</v>
          </cell>
          <cell r="J86" t="str">
            <v>:</v>
          </cell>
          <cell r="K86">
            <v>0</v>
          </cell>
        </row>
        <row r="87">
          <cell r="B87" t="str">
            <v>SATUAN PEMBAYARAN</v>
          </cell>
          <cell r="E87" t="str">
            <v>:  M3</v>
          </cell>
          <cell r="H87" t="str">
            <v>% THD. BIAYA PROYEK</v>
          </cell>
          <cell r="J87" t="str">
            <v>:</v>
          </cell>
          <cell r="K87">
            <v>0</v>
          </cell>
        </row>
        <row r="90">
          <cell r="G90" t="str">
            <v>PERKIRAAN</v>
          </cell>
          <cell r="H90" t="str">
            <v>HARGA</v>
          </cell>
          <cell r="I90" t="str">
            <v>JUMLAH</v>
          </cell>
        </row>
        <row r="91">
          <cell r="B91" t="str">
            <v>NO.</v>
          </cell>
          <cell r="D91" t="str">
            <v>KOMPONEN</v>
          </cell>
          <cell r="F91" t="str">
            <v>SATUAN</v>
          </cell>
          <cell r="G91" t="str">
            <v>KUANTITAS</v>
          </cell>
          <cell r="H91" t="str">
            <v>SATUAN</v>
          </cell>
          <cell r="I91" t="str">
            <v>HARGA</v>
          </cell>
        </row>
        <row r="92">
          <cell r="H92" t="str">
            <v>(Rp.)</v>
          </cell>
          <cell r="I92" t="str">
            <v>(Rp.)</v>
          </cell>
        </row>
        <row r="95">
          <cell r="B95" t="str">
            <v>A.</v>
          </cell>
          <cell r="D95" t="str">
            <v>TENAGA</v>
          </cell>
        </row>
        <row r="97">
          <cell r="B97" t="str">
            <v>1.</v>
          </cell>
          <cell r="D97" t="str">
            <v>Pekerja</v>
          </cell>
          <cell r="E97" t="str">
            <v>(L01)</v>
          </cell>
          <cell r="F97" t="str">
            <v>Jam</v>
          </cell>
          <cell r="G97">
            <v>4.0904358173434477E-2</v>
          </cell>
          <cell r="H97">
            <v>4571.4285714285716</v>
          </cell>
          <cell r="K97">
            <v>186.99135164998617</v>
          </cell>
        </row>
        <row r="98">
          <cell r="B98" t="str">
            <v>2.</v>
          </cell>
          <cell r="D98" t="str">
            <v>Mandor</v>
          </cell>
          <cell r="E98" t="str">
            <v>(L02)</v>
          </cell>
          <cell r="F98" t="str">
            <v>Jam</v>
          </cell>
          <cell r="G98">
            <v>8.1808716346868961E-3</v>
          </cell>
          <cell r="H98">
            <v>7142.8571428571431</v>
          </cell>
          <cell r="K98">
            <v>58.434797390620687</v>
          </cell>
        </row>
        <row r="101">
          <cell r="F101" t="str">
            <v xml:space="preserve">JUMLAH HARGA TENAGA   </v>
          </cell>
          <cell r="K101">
            <v>245.42614904060684</v>
          </cell>
        </row>
        <row r="103">
          <cell r="B103" t="str">
            <v>B.</v>
          </cell>
          <cell r="D103" t="str">
            <v>BAHAN</v>
          </cell>
        </row>
        <row r="105">
          <cell r="B105" t="str">
            <v>1.</v>
          </cell>
          <cell r="D105" t="str">
            <v>Bahan timbunan (M08)</v>
          </cell>
          <cell r="F105" t="str">
            <v>M3</v>
          </cell>
          <cell r="G105">
            <v>1.1000000000000001</v>
          </cell>
          <cell r="H105">
            <v>50000</v>
          </cell>
          <cell r="K105">
            <v>55000.000000000007</v>
          </cell>
        </row>
        <row r="109">
          <cell r="F109" t="str">
            <v xml:space="preserve">JUMLAH HARGA BAHAN   </v>
          </cell>
          <cell r="K109">
            <v>55000.000000000007</v>
          </cell>
        </row>
        <row r="111">
          <cell r="B111" t="str">
            <v>C.</v>
          </cell>
          <cell r="D111" t="str">
            <v>PERALATAN</v>
          </cell>
        </row>
        <row r="112">
          <cell r="B112" t="str">
            <v>1.</v>
          </cell>
          <cell r="D112" t="str">
            <v>Whell  Loader</v>
          </cell>
          <cell r="E112" t="str">
            <v>(E15)</v>
          </cell>
          <cell r="F112" t="str">
            <v>Jam</v>
          </cell>
          <cell r="G112">
            <v>8.1808716346868961E-3</v>
          </cell>
          <cell r="H112">
            <v>223196.7553975436</v>
          </cell>
          <cell r="K112">
            <v>1825.9440051859137</v>
          </cell>
        </row>
        <row r="113">
          <cell r="B113" t="str">
            <v>2.</v>
          </cell>
          <cell r="D113" t="str">
            <v>Dump Truck</v>
          </cell>
          <cell r="E113" t="str">
            <v>(E08)</v>
          </cell>
          <cell r="F113" t="str">
            <v>Jam</v>
          </cell>
          <cell r="G113">
            <v>7.0209409064830766E-2</v>
          </cell>
          <cell r="H113">
            <v>166138.10629462017</v>
          </cell>
          <cell r="K113">
            <v>11664.458266095322</v>
          </cell>
        </row>
        <row r="114">
          <cell r="B114" t="str">
            <v>3.</v>
          </cell>
          <cell r="D114" t="str">
            <v>Motor Grader</v>
          </cell>
          <cell r="E114" t="str">
            <v>(E13)</v>
          </cell>
          <cell r="F114" t="str">
            <v>Jam</v>
          </cell>
          <cell r="G114">
            <v>3.067826863007586E-3</v>
          </cell>
          <cell r="H114">
            <v>234796.83700337185</v>
          </cell>
          <cell r="K114">
            <v>720.31604390815778</v>
          </cell>
        </row>
        <row r="115">
          <cell r="B115" t="str">
            <v>3.</v>
          </cell>
          <cell r="D115" t="str">
            <v>Vibro Roller</v>
          </cell>
          <cell r="E115" t="str">
            <v>(E19)</v>
          </cell>
          <cell r="F115" t="str">
            <v>Jam</v>
          </cell>
          <cell r="G115">
            <v>4.0160642570281121E-3</v>
          </cell>
          <cell r="H115">
            <v>182111.18051066576</v>
          </cell>
          <cell r="K115">
            <v>731.37020285407925</v>
          </cell>
        </row>
        <row r="116">
          <cell r="B116" t="str">
            <v>4.</v>
          </cell>
          <cell r="D116" t="str">
            <v>Water Tanker</v>
          </cell>
          <cell r="E116" t="str">
            <v>(E23)</v>
          </cell>
          <cell r="F116" t="str">
            <v>Jam</v>
          </cell>
          <cell r="G116">
            <v>7.0281124497991983E-3</v>
          </cell>
          <cell r="H116">
            <v>114746.45168674531</v>
          </cell>
          <cell r="K116">
            <v>806.45096566989685</v>
          </cell>
        </row>
        <row r="117">
          <cell r="B117" t="str">
            <v>5.</v>
          </cell>
          <cell r="D117" t="str">
            <v>Alat  Bantu</v>
          </cell>
          <cell r="F117" t="str">
            <v>Ls</v>
          </cell>
          <cell r="G117">
            <v>1</v>
          </cell>
          <cell r="H117">
            <v>25</v>
          </cell>
          <cell r="K117">
            <v>25</v>
          </cell>
        </row>
        <row r="119">
          <cell r="F119" t="str">
            <v xml:space="preserve">JUMLAH HARGA PERALATAN   </v>
          </cell>
          <cell r="K119">
            <v>15773.539483713372</v>
          </cell>
        </row>
        <row r="121">
          <cell r="B121" t="str">
            <v>D.</v>
          </cell>
          <cell r="D121" t="str">
            <v>JUMLAH HARGA TENAGA, BAHAN DAN PERALATAN  ( A + B + C )</v>
          </cell>
          <cell r="K121">
            <v>71018.965632753985</v>
          </cell>
        </row>
        <row r="122">
          <cell r="B122" t="str">
            <v>E.</v>
          </cell>
          <cell r="D122" t="str">
            <v>OVERHEAD &amp; PROFIT</v>
          </cell>
          <cell r="F122">
            <v>10</v>
          </cell>
          <cell r="G122" t="str">
            <v>%  x  D</v>
          </cell>
          <cell r="K122">
            <v>7101.8965632753989</v>
          </cell>
        </row>
        <row r="123">
          <cell r="B123" t="str">
            <v>F.</v>
          </cell>
          <cell r="D123" t="str">
            <v>HARGA SATUAN PEKERJAAN  ( D + E )</v>
          </cell>
          <cell r="K123">
            <v>78120.862196029382</v>
          </cell>
        </row>
        <row r="124">
          <cell r="B124" t="str">
            <v>Note: 1</v>
          </cell>
          <cell r="D124" t="str">
            <v>SATUAN dapat berdasarkan atas jam operasi untuk Tenaga Kerja dan Peralatan, volume dan/atau ukuran</v>
          </cell>
        </row>
        <row r="125">
          <cell r="D125" t="str">
            <v>berat untuk bahan-bahan.</v>
          </cell>
        </row>
        <row r="126">
          <cell r="B126">
            <v>2</v>
          </cell>
          <cell r="D126" t="str">
            <v>Kuantitas satuan adalah kuantitas setiap komponen untuk menyelesaikan satu satuan pekerjaan dari nomor</v>
          </cell>
        </row>
        <row r="127">
          <cell r="D127" t="str">
            <v>mata pembayaran.</v>
          </cell>
        </row>
        <row r="128">
          <cell r="B128">
            <v>3</v>
          </cell>
          <cell r="D128" t="str">
            <v>Biaya satuan untuk peralatan sudah termasuk bahan bakar, bahan habis dipakai dan operator.</v>
          </cell>
        </row>
        <row r="129">
          <cell r="B129">
            <v>4</v>
          </cell>
          <cell r="D129" t="str">
            <v>Biaya satuan sudah termasuk pengeluaran untuk seluruh pajak yang berkaitan (tetapi tidak termasuk PPN</v>
          </cell>
        </row>
        <row r="130">
          <cell r="D130" t="str">
            <v>yang dibayar dari kontrak) dan biaya-biaya lainnya.</v>
          </cell>
        </row>
        <row r="132">
          <cell r="H132" t="str">
            <v>Kotamobagu, 9  Juni   2008</v>
          </cell>
        </row>
        <row r="133">
          <cell r="H133" t="str">
            <v>Dibuat Oleh :</v>
          </cell>
        </row>
        <row r="134">
          <cell r="H134" t="str">
            <v>CV. SARIWONO</v>
          </cell>
        </row>
        <row r="139">
          <cell r="H139" t="str">
            <v>FADLI MUNAISECHE</v>
          </cell>
        </row>
        <row r="140">
          <cell r="H140" t="str">
            <v>PIM.TEK</v>
          </cell>
        </row>
        <row r="144">
          <cell r="B144" t="str">
            <v>LAMPIRAN 2 PENAWARAN</v>
          </cell>
        </row>
        <row r="145">
          <cell r="J145" t="str">
            <v>Analisa EI-322</v>
          </cell>
        </row>
        <row r="147">
          <cell r="B147" t="str">
            <v>FORMULIR STANDAR UNTUK</v>
          </cell>
        </row>
        <row r="148">
          <cell r="B148" t="str">
            <v>PEREKAMAN ANALISA MASING-MASING HARGA SATUAN</v>
          </cell>
        </row>
        <row r="149">
          <cell r="B149" t="str">
            <v xml:space="preserve">                                                                                                            </v>
          </cell>
        </row>
        <row r="151">
          <cell r="B151" t="str">
            <v>PESERTA LELANG</v>
          </cell>
          <cell r="E151" t="str">
            <v>CV. SARIWONO</v>
          </cell>
        </row>
        <row r="152">
          <cell r="B152" t="str">
            <v>PROGRAM</v>
          </cell>
          <cell r="E152" t="str">
            <v>: REHABILITASI / PEMELIHARAAN  JALAN DAN JEMBATAN</v>
          </cell>
        </row>
        <row r="153">
          <cell r="B153" t="str">
            <v>No. PAKET KONTRAK</v>
          </cell>
          <cell r="E153" t="str">
            <v>:</v>
          </cell>
        </row>
        <row r="154">
          <cell r="B154" t="str">
            <v>NAMA PAKET</v>
          </cell>
          <cell r="E154" t="str">
            <v>: PEMELIHARAAN BERKALA JALAN MOTONGKAD - MOTONGKAD PANTAI</v>
          </cell>
        </row>
        <row r="155">
          <cell r="B155" t="str">
            <v>PROP / KAB / KODYA</v>
          </cell>
          <cell r="E155" t="str">
            <v>: KABUPATEN BOLAANG MONGONDOW</v>
          </cell>
        </row>
        <row r="156">
          <cell r="B156" t="str">
            <v>ITEM PEMBAYARAN NO.</v>
          </cell>
          <cell r="E156" t="str">
            <v>:  3.2 (2)</v>
          </cell>
          <cell r="H156" t="str">
            <v>PERKIRAAN VOL. PEK.</v>
          </cell>
          <cell r="J156" t="str">
            <v>:</v>
          </cell>
          <cell r="K156">
            <v>1.8</v>
          </cell>
        </row>
        <row r="157">
          <cell r="B157" t="str">
            <v>JENIS PEKERJAAN</v>
          </cell>
          <cell r="E157" t="str">
            <v>:  Timbunan Pilihan</v>
          </cell>
          <cell r="H157" t="str">
            <v>TOTAL HARGA (Rp.)</v>
          </cell>
          <cell r="J157" t="str">
            <v>:</v>
          </cell>
          <cell r="K157">
            <v>172317.48172316133</v>
          </cell>
        </row>
        <row r="158">
          <cell r="B158" t="str">
            <v>SATUAN PEMBAYARAN</v>
          </cell>
          <cell r="E158" t="str">
            <v>:  M3</v>
          </cell>
          <cell r="H158" t="str">
            <v>% THD. BIAYA PROYEK</v>
          </cell>
          <cell r="J158" t="str">
            <v>:</v>
          </cell>
          <cell r="K158">
            <v>5.2214570910917288E-2</v>
          </cell>
        </row>
        <row r="161">
          <cell r="G161" t="str">
            <v>PERKIRAAN</v>
          </cell>
          <cell r="H161" t="str">
            <v>HARGA</v>
          </cell>
          <cell r="I161" t="str">
            <v>JUMLAH</v>
          </cell>
        </row>
        <row r="162">
          <cell r="B162" t="str">
            <v>NO.</v>
          </cell>
          <cell r="D162" t="str">
            <v>KOMPONEN</v>
          </cell>
          <cell r="F162" t="str">
            <v>SATUAN</v>
          </cell>
          <cell r="G162" t="str">
            <v>KUANTITAS</v>
          </cell>
          <cell r="H162" t="str">
            <v>SATUAN</v>
          </cell>
          <cell r="I162" t="str">
            <v>HARGA</v>
          </cell>
        </row>
        <row r="163">
          <cell r="H163" t="str">
            <v>(Rp.)</v>
          </cell>
          <cell r="I163" t="str">
            <v>(Rp.)</v>
          </cell>
        </row>
        <row r="166">
          <cell r="B166" t="str">
            <v>A.</v>
          </cell>
          <cell r="D166" t="str">
            <v>TENAGA</v>
          </cell>
        </row>
        <row r="168">
          <cell r="B168" t="str">
            <v>1.</v>
          </cell>
          <cell r="D168" t="str">
            <v>Pekerja</v>
          </cell>
          <cell r="E168" t="str">
            <v>(L01)</v>
          </cell>
          <cell r="F168" t="str">
            <v>Jam</v>
          </cell>
          <cell r="G168">
            <v>5.7831325301204821E-2</v>
          </cell>
          <cell r="H168">
            <v>4571.4285714285716</v>
          </cell>
          <cell r="K168">
            <v>264.37177280550776</v>
          </cell>
        </row>
        <row r="169">
          <cell r="B169" t="str">
            <v>2.</v>
          </cell>
          <cell r="D169" t="str">
            <v>Mandor</v>
          </cell>
          <cell r="E169" t="str">
            <v>(L03)</v>
          </cell>
          <cell r="F169" t="str">
            <v>Jam</v>
          </cell>
          <cell r="G169">
            <v>9.6385542168674707E-3</v>
          </cell>
          <cell r="H169">
            <v>7142.8571428571431</v>
          </cell>
          <cell r="K169">
            <v>68.846815834767654</v>
          </cell>
        </row>
        <row r="172">
          <cell r="F172" t="str">
            <v xml:space="preserve">JUMLAH HARGA TENAGA   </v>
          </cell>
          <cell r="K172">
            <v>333.21858864027541</v>
          </cell>
        </row>
        <row r="174">
          <cell r="B174" t="str">
            <v>B.</v>
          </cell>
          <cell r="D174" t="str">
            <v>BAHAN</v>
          </cell>
        </row>
        <row r="176">
          <cell r="B176" t="str">
            <v>1.</v>
          </cell>
          <cell r="D176" t="str">
            <v>Bahan pilihan   (M09)</v>
          </cell>
          <cell r="F176" t="str">
            <v>M3</v>
          </cell>
          <cell r="G176">
            <v>1.2</v>
          </cell>
          <cell r="H176">
            <v>55000</v>
          </cell>
          <cell r="K176">
            <v>66000</v>
          </cell>
        </row>
        <row r="179">
          <cell r="F179" t="str">
            <v xml:space="preserve">JUMLAH HARGA BAHAN   </v>
          </cell>
          <cell r="K179">
            <v>66000</v>
          </cell>
        </row>
        <row r="181">
          <cell r="B181" t="str">
            <v>C.</v>
          </cell>
          <cell r="D181" t="str">
            <v>PERALATAN</v>
          </cell>
        </row>
        <row r="182">
          <cell r="B182" t="str">
            <v>1.</v>
          </cell>
          <cell r="D182" t="str">
            <v>Wheel  Loader</v>
          </cell>
          <cell r="E182" t="str">
            <v>(E15)</v>
          </cell>
          <cell r="F182" t="str">
            <v>Jam</v>
          </cell>
          <cell r="G182">
            <v>9.6385542168674707E-3</v>
          </cell>
          <cell r="H182">
            <v>223196.7553975436</v>
          </cell>
          <cell r="K182">
            <v>2151.2940279281311</v>
          </cell>
        </row>
        <row r="183">
          <cell r="B183" t="str">
            <v>2.</v>
          </cell>
          <cell r="D183" t="str">
            <v>Dump Truck</v>
          </cell>
          <cell r="E183" t="str">
            <v>(E08)</v>
          </cell>
          <cell r="F183" t="str">
            <v>Jam</v>
          </cell>
          <cell r="G183">
            <v>7.6592082616179016E-2</v>
          </cell>
          <cell r="H183">
            <v>166138.10629462017</v>
          </cell>
          <cell r="K183">
            <v>12724.863563013079</v>
          </cell>
        </row>
        <row r="184">
          <cell r="B184" t="str">
            <v>3.</v>
          </cell>
          <cell r="D184" t="str">
            <v>Motor Grader</v>
          </cell>
          <cell r="E184" t="str">
            <v>(E13)</v>
          </cell>
          <cell r="F184" t="str">
            <v>Jam</v>
          </cell>
          <cell r="G184">
            <v>8.7851405622489977E-3</v>
          </cell>
          <cell r="H184">
            <v>234796.83700337185</v>
          </cell>
          <cell r="K184">
            <v>2062.7232166460885</v>
          </cell>
        </row>
        <row r="185">
          <cell r="B185" t="str">
            <v>3.</v>
          </cell>
          <cell r="D185" t="str">
            <v>Vibro Roller</v>
          </cell>
          <cell r="E185" t="str">
            <v>(E19)</v>
          </cell>
          <cell r="F185" t="str">
            <v>Jam</v>
          </cell>
          <cell r="G185">
            <v>1.6064257028112448E-2</v>
          </cell>
          <cell r="H185">
            <v>182111.18051066576</v>
          </cell>
          <cell r="K185">
            <v>2925.480811416317</v>
          </cell>
        </row>
        <row r="186">
          <cell r="B186" t="str">
            <v>4.</v>
          </cell>
          <cell r="D186" t="str">
            <v>Water Tanker</v>
          </cell>
          <cell r="E186" t="str">
            <v>(E23)</v>
          </cell>
          <cell r="F186" t="str">
            <v>Jam</v>
          </cell>
          <cell r="G186">
            <v>7.0281124497991983E-3</v>
          </cell>
          <cell r="H186">
            <v>114746.45168674531</v>
          </cell>
          <cell r="K186">
            <v>806.45096566989685</v>
          </cell>
        </row>
        <row r="187">
          <cell r="B187" t="str">
            <v>5.</v>
          </cell>
          <cell r="D187" t="str">
            <v>Alat  Bantu</v>
          </cell>
          <cell r="F187" t="str">
            <v>Ls</v>
          </cell>
          <cell r="G187">
            <v>1</v>
          </cell>
          <cell r="H187">
            <v>25</v>
          </cell>
          <cell r="K187">
            <v>25</v>
          </cell>
        </row>
        <row r="189">
          <cell r="F189" t="str">
            <v xml:space="preserve">JUMLAH HARGA PERALATAN   </v>
          </cell>
          <cell r="K189">
            <v>20695.812584673513</v>
          </cell>
        </row>
        <row r="191">
          <cell r="B191" t="str">
            <v>D.</v>
          </cell>
          <cell r="D191" t="str">
            <v>JUMLAH HARGA TENAGA, BAHAN DAN PERALATAN  ( A + B + C )</v>
          </cell>
          <cell r="K191">
            <v>87029.031173313793</v>
          </cell>
        </row>
        <row r="192">
          <cell r="B192" t="str">
            <v>E.</v>
          </cell>
          <cell r="D192" t="str">
            <v>OVERHEAD &amp; PROFIT</v>
          </cell>
          <cell r="F192">
            <v>10</v>
          </cell>
          <cell r="G192" t="str">
            <v>%  x  D</v>
          </cell>
          <cell r="K192">
            <v>8702.9031173313797</v>
          </cell>
        </row>
        <row r="193">
          <cell r="B193" t="str">
            <v>F.</v>
          </cell>
          <cell r="D193" t="str">
            <v>HARGA SATUAN PEKERJAAN  ( D + E )</v>
          </cell>
          <cell r="K193">
            <v>95731.934290645178</v>
          </cell>
        </row>
        <row r="194">
          <cell r="B194" t="str">
            <v>Note: 1</v>
          </cell>
          <cell r="D194" t="str">
            <v>SATUAN dapat berdasarkan atas jam operasi untuk Tenaga Kerja dan Peralatan, volume dan/atau ukuran</v>
          </cell>
        </row>
        <row r="195">
          <cell r="D195" t="str">
            <v>berat untuk bahan-bahan.</v>
          </cell>
        </row>
        <row r="196">
          <cell r="B196">
            <v>2</v>
          </cell>
          <cell r="D196" t="str">
            <v>Kuantitas satuan adalah kuantitas setiap komponen untuk menyelesaikan satu satuan pekerjaan dari nomor</v>
          </cell>
        </row>
        <row r="197">
          <cell r="D197" t="str">
            <v>mata pembayaran.</v>
          </cell>
        </row>
        <row r="198">
          <cell r="B198">
            <v>3</v>
          </cell>
          <cell r="D198" t="str">
            <v>Biaya satuan untuk peralatan sudah termasuk bahan bakar, bahan habis dipakai dan operator.</v>
          </cell>
        </row>
        <row r="199">
          <cell r="B199">
            <v>4</v>
          </cell>
          <cell r="D199" t="str">
            <v>Biaya satuan sudah termasuk pengeluaran untuk seluruh pajak yang berkaitan (tetapi tidak termasuk PPN</v>
          </cell>
        </row>
        <row r="200">
          <cell r="D200" t="str">
            <v>yang dibayar dari kontrak) dan biaya-biaya lainnya.</v>
          </cell>
        </row>
        <row r="202">
          <cell r="H202" t="str">
            <v>Kotamobagu, 9  Juni   2008</v>
          </cell>
        </row>
        <row r="203">
          <cell r="H203" t="str">
            <v>Dibuat Oleh :</v>
          </cell>
        </row>
        <row r="204">
          <cell r="H204" t="str">
            <v>CV. SARIWONO</v>
          </cell>
        </row>
        <row r="210">
          <cell r="H210" t="str">
            <v>FADLI MUNAISECHE</v>
          </cell>
        </row>
        <row r="211">
          <cell r="H211" t="str">
            <v>PIM.TEK</v>
          </cell>
        </row>
        <row r="215">
          <cell r="B215" t="str">
            <v>LAMPIRAN 2 PENAWARAN</v>
          </cell>
        </row>
        <row r="216">
          <cell r="J216" t="str">
            <v>Analisa EI-33</v>
          </cell>
        </row>
        <row r="218">
          <cell r="B218" t="str">
            <v>FORMULIR STANDAR UNTUK</v>
          </cell>
        </row>
        <row r="219">
          <cell r="B219" t="str">
            <v>PEREKAMAN ANALISA MASING-MASING HARGA SATUAN</v>
          </cell>
        </row>
        <row r="220">
          <cell r="B220" t="str">
            <v xml:space="preserve">                                                                                                            </v>
          </cell>
        </row>
        <row r="222">
          <cell r="B222" t="str">
            <v>PESERTA LELANG</v>
          </cell>
          <cell r="E222" t="str">
            <v>CV. SARIWONO</v>
          </cell>
        </row>
        <row r="223">
          <cell r="B223" t="str">
            <v>PROGRAM</v>
          </cell>
          <cell r="E223" t="str">
            <v>: REHABILITASI / PEMELIHARAAN  JALAN DAN JEMBATAN</v>
          </cell>
        </row>
        <row r="224">
          <cell r="B224" t="str">
            <v>No. PAKET KONTRAK</v>
          </cell>
          <cell r="E224" t="str">
            <v>:</v>
          </cell>
        </row>
        <row r="225">
          <cell r="B225" t="str">
            <v>NAMA PAKET</v>
          </cell>
          <cell r="E225" t="str">
            <v>: PEMELIHARAAN BERKALA JALAN MOTONGKAD - MOTONGKAD PANTAI</v>
          </cell>
        </row>
        <row r="226">
          <cell r="B226" t="str">
            <v>PROP / KAB / KODYA</v>
          </cell>
          <cell r="E226" t="str">
            <v>: KABUPATEN BOLAANG MONGONDOW</v>
          </cell>
        </row>
        <row r="227">
          <cell r="B227" t="str">
            <v>ITEM PEMBAYARAN NO.</v>
          </cell>
          <cell r="E227" t="str">
            <v>:  3.3</v>
          </cell>
          <cell r="H227" t="str">
            <v>PERKIRAAN VOL. PEK.</v>
          </cell>
          <cell r="J227" t="str">
            <v>:</v>
          </cell>
          <cell r="K227">
            <v>1800</v>
          </cell>
        </row>
        <row r="228">
          <cell r="B228" t="str">
            <v>JENIS PEKERJAAN</v>
          </cell>
          <cell r="E228" t="str">
            <v>:  Penyiapan Badan Jalan</v>
          </cell>
          <cell r="H228" t="str">
            <v>TOTAL HARGA (Rp.)</v>
          </cell>
          <cell r="J228" t="str">
            <v>:</v>
          </cell>
          <cell r="K228">
            <v>3749035.8849273236</v>
          </cell>
        </row>
        <row r="229">
          <cell r="B229" t="str">
            <v>SATUAN PEMBAYARAN</v>
          </cell>
          <cell r="E229" t="str">
            <v>:  M2</v>
          </cell>
          <cell r="H229" t="str">
            <v>% THD. BIAYA PROYEK</v>
          </cell>
          <cell r="J229" t="str">
            <v>:</v>
          </cell>
          <cell r="K229">
            <v>1.1360095220959801</v>
          </cell>
        </row>
        <row r="232">
          <cell r="G232" t="str">
            <v>PERKIRAAN</v>
          </cell>
          <cell r="H232" t="str">
            <v>HARGA</v>
          </cell>
          <cell r="I232" t="str">
            <v>JUMLAH</v>
          </cell>
        </row>
        <row r="233">
          <cell r="B233" t="str">
            <v>NO.</v>
          </cell>
          <cell r="D233" t="str">
            <v>KOMPONEN</v>
          </cell>
          <cell r="F233" t="str">
            <v>SATUAN</v>
          </cell>
          <cell r="G233" t="str">
            <v>KUANTITAS</v>
          </cell>
          <cell r="H233" t="str">
            <v>SATUAN</v>
          </cell>
          <cell r="I233" t="str">
            <v>HARGA</v>
          </cell>
        </row>
        <row r="234">
          <cell r="H234" t="str">
            <v>(Rp.)</v>
          </cell>
          <cell r="I234" t="str">
            <v>(Rp.)</v>
          </cell>
        </row>
        <row r="237">
          <cell r="B237" t="str">
            <v>A.</v>
          </cell>
          <cell r="D237" t="str">
            <v>TENAGA</v>
          </cell>
        </row>
        <row r="239">
          <cell r="B239" t="str">
            <v>1.</v>
          </cell>
          <cell r="D239" t="str">
            <v>Pekerja</v>
          </cell>
          <cell r="E239" t="str">
            <v>(L01)</v>
          </cell>
          <cell r="F239" t="str">
            <v>jam</v>
          </cell>
          <cell r="G239">
            <v>6.4257028112449802E-3</v>
          </cell>
          <cell r="H239">
            <v>4571.4285714285716</v>
          </cell>
          <cell r="K239">
            <v>29.374641422834195</v>
          </cell>
        </row>
        <row r="240">
          <cell r="B240" t="str">
            <v>2.</v>
          </cell>
          <cell r="D240" t="str">
            <v>Mandor</v>
          </cell>
          <cell r="E240" t="str">
            <v>(L02)</v>
          </cell>
          <cell r="F240" t="str">
            <v>jam</v>
          </cell>
          <cell r="G240">
            <v>1.606425702811245E-3</v>
          </cell>
          <cell r="H240">
            <v>7142.8571428571431</v>
          </cell>
          <cell r="K240">
            <v>11.474469305794608</v>
          </cell>
        </row>
        <row r="243">
          <cell r="F243" t="str">
            <v xml:space="preserve">JUMLAH HARGA TENAGA   </v>
          </cell>
          <cell r="K243">
            <v>40.849110728628801</v>
          </cell>
        </row>
        <row r="245">
          <cell r="B245" t="str">
            <v>B.</v>
          </cell>
          <cell r="D245" t="str">
            <v>BAHAN</v>
          </cell>
        </row>
        <row r="248">
          <cell r="D248" t="str">
            <v xml:space="preserve">JUMLAH HARGA BAHAN   </v>
          </cell>
          <cell r="K248">
            <v>0</v>
          </cell>
        </row>
        <row r="250">
          <cell r="B250" t="str">
            <v>C.</v>
          </cell>
          <cell r="D250" t="str">
            <v>PERALATAN</v>
          </cell>
        </row>
        <row r="251">
          <cell r="B251" t="str">
            <v>1.</v>
          </cell>
          <cell r="D251" t="str">
            <v>Motor Grader</v>
          </cell>
          <cell r="E251" t="str">
            <v>(E13)</v>
          </cell>
          <cell r="F251" t="str">
            <v>jam</v>
          </cell>
          <cell r="G251">
            <v>8.5341365461847393E-4</v>
          </cell>
          <cell r="H251">
            <v>234796.83700337185</v>
          </cell>
          <cell r="K251">
            <v>200.37882675990571</v>
          </cell>
        </row>
        <row r="252">
          <cell r="B252" t="str">
            <v>2.</v>
          </cell>
          <cell r="D252" t="str">
            <v>Vibro Roller</v>
          </cell>
          <cell r="E252" t="str">
            <v>(E19)</v>
          </cell>
          <cell r="F252" t="str">
            <v>jam</v>
          </cell>
          <cell r="G252">
            <v>1.606425702811245E-3</v>
          </cell>
          <cell r="H252">
            <v>182111.18051066576</v>
          </cell>
          <cell r="K252">
            <v>292.54808114163177</v>
          </cell>
        </row>
        <row r="253">
          <cell r="B253" t="str">
            <v>3.</v>
          </cell>
          <cell r="D253" t="str">
            <v>Water Tanker</v>
          </cell>
          <cell r="E253" t="str">
            <v>(E23)</v>
          </cell>
          <cell r="F253" t="str">
            <v>jam</v>
          </cell>
          <cell r="G253">
            <v>1.0542168674698796E-2</v>
          </cell>
          <cell r="H253">
            <v>114746.45168674531</v>
          </cell>
          <cell r="K253">
            <v>1209.6764485048452</v>
          </cell>
        </row>
        <row r="254">
          <cell r="B254" t="str">
            <v>4.</v>
          </cell>
          <cell r="D254" t="str">
            <v>Alat  Bantu</v>
          </cell>
          <cell r="F254" t="str">
            <v>Ls</v>
          </cell>
          <cell r="G254">
            <v>1</v>
          </cell>
          <cell r="H254">
            <v>150</v>
          </cell>
          <cell r="K254">
            <v>150</v>
          </cell>
        </row>
        <row r="257">
          <cell r="C257" t="str">
            <v xml:space="preserve">JUMLAH HARGA PERALATAN   </v>
          </cell>
          <cell r="K257">
            <v>1852.6033564063828</v>
          </cell>
        </row>
        <row r="259">
          <cell r="B259" t="str">
            <v>D.</v>
          </cell>
          <cell r="D259" t="str">
            <v>JUMLAH HARGA TENAGA, BAHAN DAN PERALATAN  ( A + B + C )</v>
          </cell>
          <cell r="K259">
            <v>1893.4524671350116</v>
          </cell>
        </row>
        <row r="260">
          <cell r="B260" t="str">
            <v>E.</v>
          </cell>
          <cell r="D260" t="str">
            <v>OVERHEAD &amp; PROFIT</v>
          </cell>
          <cell r="F260">
            <v>10</v>
          </cell>
          <cell r="G260" t="str">
            <v>%  x  D</v>
          </cell>
          <cell r="K260">
            <v>189.34524671350118</v>
          </cell>
        </row>
        <row r="261">
          <cell r="B261" t="str">
            <v>F.</v>
          </cell>
          <cell r="D261" t="str">
            <v>HARGA SATUAN PEKERJAAN  ( D + E )</v>
          </cell>
          <cell r="K261">
            <v>2082.797713848513</v>
          </cell>
        </row>
        <row r="262">
          <cell r="B262" t="str">
            <v>Note: 1</v>
          </cell>
          <cell r="D262" t="str">
            <v>SATUAN dapat berdasarkan atas jam operasi untuk Tenaga Kerja dan Peralatan, volume dan/atau ukuran</v>
          </cell>
        </row>
        <row r="263">
          <cell r="D263" t="str">
            <v>berat untuk bahan-bahan.</v>
          </cell>
        </row>
        <row r="264">
          <cell r="B264">
            <v>2</v>
          </cell>
          <cell r="D264" t="str">
            <v>Kuantitas satuan adalah kuantitas setiap komponen untuk menyelesaikan satu satuan pekerjaan dari nomor</v>
          </cell>
        </row>
        <row r="265">
          <cell r="D265" t="str">
            <v>mata pembayaran.</v>
          </cell>
        </row>
        <row r="266">
          <cell r="B266">
            <v>3</v>
          </cell>
          <cell r="D266" t="str">
            <v>Biaya satuan untuk peralatan sudah termasuk bahan bakar, bahan habis dipakai dan operator.</v>
          </cell>
        </row>
        <row r="267">
          <cell r="B267">
            <v>4</v>
          </cell>
          <cell r="D267" t="str">
            <v>Biaya satuan sudah termasuk pengeluaran untuk seluruh pajak yang berkaitan (tetapi tidak termasuk PPN</v>
          </cell>
        </row>
      </sheetData>
      <sheetData sheetId="13"/>
      <sheetData sheetId="14">
        <row r="2">
          <cell r="B2" t="str">
            <v>LAMPIRAN 2 PENAWARAN</v>
          </cell>
        </row>
        <row r="3">
          <cell r="B3" t="str">
            <v>ANALISA HARGA SATUAN MATA PEMBAYARAN UTAMA</v>
          </cell>
        </row>
        <row r="5">
          <cell r="B5" t="str">
            <v>NAMA PESERTA LELANG</v>
          </cell>
          <cell r="E5" t="str">
            <v>:</v>
          </cell>
          <cell r="F5" t="e">
            <v>#REF!</v>
          </cell>
        </row>
        <row r="6">
          <cell r="B6" t="str">
            <v>NO. MATA PEMBAYARAN</v>
          </cell>
          <cell r="E6" t="str">
            <v>:</v>
          </cell>
          <cell r="F6" t="e">
            <v>#REF!</v>
          </cell>
        </row>
        <row r="7">
          <cell r="B7" t="str">
            <v>JENIS PEKERJAAN</v>
          </cell>
          <cell r="E7" t="str">
            <v>:</v>
          </cell>
          <cell r="F7" t="e">
            <v>#REF!</v>
          </cell>
        </row>
        <row r="8">
          <cell r="B8" t="str">
            <v>SATUAN PEKERJAAN</v>
          </cell>
          <cell r="E8" t="str">
            <v>:</v>
          </cell>
          <cell r="F8" t="e">
            <v>#REF!</v>
          </cell>
        </row>
        <row r="9">
          <cell r="B9" t="str">
            <v>PERKIRAAN KUANTITAS</v>
          </cell>
          <cell r="E9" t="str">
            <v>:</v>
          </cell>
          <cell r="F9" t="e">
            <v>#REF!</v>
          </cell>
        </row>
        <row r="10">
          <cell r="B10" t="str">
            <v>PEKERJAAN</v>
          </cell>
          <cell r="E10" t="str">
            <v>:</v>
          </cell>
          <cell r="F10" t="e">
            <v>#REF!</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Rp./Satuan</v>
          </cell>
        </row>
        <row r="18">
          <cell r="B18" t="str">
            <v>A.</v>
          </cell>
          <cell r="D18" t="str">
            <v>Tenaga Kerja</v>
          </cell>
        </row>
        <row r="19">
          <cell r="B19" t="str">
            <v>1.</v>
          </cell>
          <cell r="D19" t="str">
            <v>Pekerja</v>
          </cell>
          <cell r="G19" t="str">
            <v>Jam</v>
          </cell>
          <cell r="H19">
            <v>0.24988844265952695</v>
          </cell>
          <cell r="I19">
            <v>6250</v>
          </cell>
          <cell r="K19">
            <v>1561.8027666220435</v>
          </cell>
        </row>
        <row r="20">
          <cell r="B20" t="str">
            <v>2.</v>
          </cell>
          <cell r="D20" t="str">
            <v>Mandor</v>
          </cell>
          <cell r="G20" t="str">
            <v>Jam</v>
          </cell>
          <cell r="H20">
            <v>3.5698348951360995E-2</v>
          </cell>
          <cell r="I20">
            <v>7750</v>
          </cell>
          <cell r="K20">
            <v>276.6622043730477</v>
          </cell>
        </row>
        <row r="25">
          <cell r="B25" t="str">
            <v>B.</v>
          </cell>
          <cell r="D25" t="str">
            <v>Bahan</v>
          </cell>
        </row>
        <row r="26">
          <cell r="B26" t="str">
            <v>1.</v>
          </cell>
          <cell r="D26" t="str">
            <v>Agregat Kasar</v>
          </cell>
          <cell r="G26" t="str">
            <v>M3</v>
          </cell>
          <cell r="H26">
            <v>0.66</v>
          </cell>
          <cell r="I26">
            <v>114824.47504302926</v>
          </cell>
          <cell r="K26">
            <v>75784.153528399314</v>
          </cell>
        </row>
        <row r="27">
          <cell r="B27" t="str">
            <v>2.</v>
          </cell>
          <cell r="D27" t="str">
            <v>Agregat Halus</v>
          </cell>
          <cell r="G27" t="str">
            <v>M3</v>
          </cell>
          <cell r="H27">
            <v>0.54</v>
          </cell>
          <cell r="I27">
            <v>129137.91336775673</v>
          </cell>
          <cell r="K27">
            <v>69734.473218588639</v>
          </cell>
        </row>
        <row r="33">
          <cell r="B33" t="str">
            <v>C.</v>
          </cell>
          <cell r="D33" t="str">
            <v>Peralatan</v>
          </cell>
        </row>
        <row r="34">
          <cell r="B34" t="str">
            <v>1</v>
          </cell>
          <cell r="D34" t="str">
            <v>Wheel Loader</v>
          </cell>
          <cell r="G34" t="str">
            <v>Jam</v>
          </cell>
          <cell r="H34">
            <v>3.5698348951360995E-2</v>
          </cell>
          <cell r="I34">
            <v>273100</v>
          </cell>
          <cell r="K34">
            <v>9749.2190986166879</v>
          </cell>
        </row>
        <row r="35">
          <cell r="B35" t="str">
            <v>2</v>
          </cell>
          <cell r="D35" t="str">
            <v>Dump Truck</v>
          </cell>
          <cell r="G35" t="str">
            <v>Jam</v>
          </cell>
          <cell r="H35">
            <v>0.17614910781008913</v>
          </cell>
          <cell r="I35">
            <v>204300</v>
          </cell>
          <cell r="K35">
            <v>35987.262725601213</v>
          </cell>
        </row>
        <row r="36">
          <cell r="B36" t="str">
            <v>3</v>
          </cell>
          <cell r="D36" t="str">
            <v>Motor Grader</v>
          </cell>
          <cell r="G36" t="str">
            <v>Jam</v>
          </cell>
          <cell r="H36">
            <v>1.1713520749665328E-2</v>
          </cell>
          <cell r="I36">
            <v>279200</v>
          </cell>
          <cell r="K36">
            <v>3270.4149933065596</v>
          </cell>
        </row>
        <row r="37">
          <cell r="B37" t="str">
            <v>4</v>
          </cell>
          <cell r="D37" t="str">
            <v>Tandem Roller</v>
          </cell>
          <cell r="G37" t="str">
            <v>Jam</v>
          </cell>
          <cell r="H37">
            <v>1.7849174475680501E-2</v>
          </cell>
          <cell r="I37">
            <v>162900</v>
          </cell>
          <cell r="K37">
            <v>2907.6305220883537</v>
          </cell>
        </row>
        <row r="38">
          <cell r="B38" t="str">
            <v>5</v>
          </cell>
          <cell r="D38" t="str">
            <v>Water Tanker</v>
          </cell>
          <cell r="G38" t="str">
            <v>Jam</v>
          </cell>
          <cell r="H38">
            <v>2.1084337349397592E-2</v>
          </cell>
          <cell r="I38">
            <v>124700</v>
          </cell>
          <cell r="K38">
            <v>2629.2168674698796</v>
          </cell>
        </row>
        <row r="39">
          <cell r="B39" t="str">
            <v>6</v>
          </cell>
          <cell r="D39" t="str">
            <v>Alat Bantu</v>
          </cell>
          <cell r="G39" t="str">
            <v>Ls</v>
          </cell>
          <cell r="H39">
            <v>1</v>
          </cell>
          <cell r="I39">
            <v>75</v>
          </cell>
          <cell r="K39">
            <v>75</v>
          </cell>
        </row>
        <row r="43">
          <cell r="B43" t="str">
            <v>D.</v>
          </cell>
          <cell r="D43" t="str">
            <v>Jumlah  (A + B + C)</v>
          </cell>
          <cell r="K43">
            <v>201975.83592506574</v>
          </cell>
        </row>
        <row r="44">
          <cell r="B44" t="str">
            <v>E.</v>
          </cell>
          <cell r="D44" t="str">
            <v>Biaya Umum dan Keuntungan</v>
          </cell>
          <cell r="G44">
            <v>10</v>
          </cell>
          <cell r="H44" t="str">
            <v>%  x  D</v>
          </cell>
          <cell r="K44">
            <v>20197.583592506577</v>
          </cell>
        </row>
        <row r="45">
          <cell r="B45" t="str">
            <v>F.</v>
          </cell>
          <cell r="D45" t="str">
            <v>Harga Satuan  = ( D + E )</v>
          </cell>
          <cell r="K45">
            <v>222173.41951757233</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e">
            <v>#REF!</v>
          </cell>
        </row>
        <row r="60">
          <cell r="J60" t="e">
            <v>#REF!</v>
          </cell>
        </row>
        <row r="66">
          <cell r="J66" t="e">
            <v>#REF!</v>
          </cell>
        </row>
        <row r="67">
          <cell r="J67" t="e">
            <v>#REF!</v>
          </cell>
        </row>
        <row r="68">
          <cell r="B68" t="str">
            <v>LAMPIRAN 2 PENAWARAN</v>
          </cell>
        </row>
        <row r="69">
          <cell r="B69" t="str">
            <v>ANALISA HARGA SATUAN MATA PEMBAYARAN UTAMA</v>
          </cell>
        </row>
        <row r="71">
          <cell r="B71" t="str">
            <v>NAMA PESERTA LELANG</v>
          </cell>
          <cell r="E71" t="str">
            <v>:</v>
          </cell>
          <cell r="F71" t="e">
            <v>#REF!</v>
          </cell>
        </row>
        <row r="72">
          <cell r="B72" t="str">
            <v>NO. MATA PEMBAYARAN</v>
          </cell>
          <cell r="E72" t="str">
            <v>:</v>
          </cell>
          <cell r="F72" t="e">
            <v>#REF!</v>
          </cell>
        </row>
        <row r="73">
          <cell r="B73" t="str">
            <v>JENIS PEKERJAAN</v>
          </cell>
          <cell r="E73" t="str">
            <v>:</v>
          </cell>
          <cell r="F73" t="e">
            <v>#REF!</v>
          </cell>
        </row>
        <row r="74">
          <cell r="B74" t="str">
            <v>SATUAN PEKERJAAN</v>
          </cell>
          <cell r="E74" t="str">
            <v>:</v>
          </cell>
          <cell r="F74" t="e">
            <v>#REF!</v>
          </cell>
        </row>
        <row r="75">
          <cell r="B75" t="str">
            <v>PERKIRAAN KUANTITAS</v>
          </cell>
          <cell r="E75" t="str">
            <v>:</v>
          </cell>
          <cell r="F75" t="e">
            <v>#REF!</v>
          </cell>
        </row>
        <row r="76">
          <cell r="B76" t="str">
            <v>PEKERJAAN</v>
          </cell>
          <cell r="E76" t="str">
            <v>:</v>
          </cell>
          <cell r="F76" t="e">
            <v>#REF!</v>
          </cell>
        </row>
        <row r="77">
          <cell r="B77" t="str">
            <v>PRODUKSI HARIAN / JAM *)</v>
          </cell>
          <cell r="E77" t="str">
            <v>:</v>
          </cell>
          <cell r="F77" t="str">
            <v>Jam</v>
          </cell>
        </row>
        <row r="79">
          <cell r="B79" t="str">
            <v>No.</v>
          </cell>
          <cell r="C79" t="str">
            <v>Uraian</v>
          </cell>
          <cell r="G79" t="str">
            <v>Satuan</v>
          </cell>
          <cell r="H79" t="str">
            <v>Kuantitas</v>
          </cell>
          <cell r="I79" t="str">
            <v>Biaya Satuan                            (Rp.)</v>
          </cell>
          <cell r="J79" t="str">
            <v>Jumlah                           Rp./Satuan</v>
          </cell>
        </row>
        <row r="84">
          <cell r="B84" t="str">
            <v>A.</v>
          </cell>
          <cell r="D84" t="str">
            <v>Tenaga Kerja</v>
          </cell>
        </row>
        <row r="85">
          <cell r="B85" t="str">
            <v>1.</v>
          </cell>
          <cell r="D85" t="str">
            <v>Pekerja</v>
          </cell>
          <cell r="G85" t="str">
            <v>Jam</v>
          </cell>
          <cell r="H85">
            <v>0.31236055332440876</v>
          </cell>
          <cell r="I85">
            <v>6250</v>
          </cell>
          <cell r="K85">
            <v>1952.2534582775547</v>
          </cell>
        </row>
        <row r="86">
          <cell r="B86" t="str">
            <v>2.</v>
          </cell>
          <cell r="D86" t="str">
            <v>Mandor</v>
          </cell>
          <cell r="G86" t="str">
            <v>Jam</v>
          </cell>
          <cell r="H86">
            <v>4.4622936189201247E-2</v>
          </cell>
          <cell r="I86">
            <v>7750</v>
          </cell>
          <cell r="K86">
            <v>345.82775546630967</v>
          </cell>
        </row>
        <row r="91">
          <cell r="B91" t="str">
            <v>B.</v>
          </cell>
          <cell r="D91" t="str">
            <v>Bahan</v>
          </cell>
        </row>
        <row r="92">
          <cell r="B92" t="str">
            <v>1.</v>
          </cell>
          <cell r="D92" t="str">
            <v>Agregat Kasar</v>
          </cell>
          <cell r="G92" t="str">
            <v>M3</v>
          </cell>
          <cell r="H92">
            <v>0.42</v>
          </cell>
          <cell r="I92">
            <v>114824.47504302926</v>
          </cell>
          <cell r="K92">
            <v>48226.27951807229</v>
          </cell>
        </row>
        <row r="93">
          <cell r="B93" t="str">
            <v>2.</v>
          </cell>
          <cell r="D93" t="str">
            <v>Agregat Halus</v>
          </cell>
          <cell r="G93" t="str">
            <v>M3</v>
          </cell>
          <cell r="H93">
            <v>0.24</v>
          </cell>
          <cell r="I93">
            <v>129137.91336775673</v>
          </cell>
          <cell r="K93">
            <v>30993.099208261614</v>
          </cell>
        </row>
        <row r="94">
          <cell r="B94" t="str">
            <v>3.</v>
          </cell>
          <cell r="D94" t="str">
            <v>Sirtu</v>
          </cell>
          <cell r="G94" t="str">
            <v>M3</v>
          </cell>
          <cell r="H94">
            <v>0.54</v>
          </cell>
          <cell r="I94">
            <v>60900</v>
          </cell>
          <cell r="K94">
            <v>32886</v>
          </cell>
        </row>
        <row r="99">
          <cell r="B99" t="str">
            <v>C.</v>
          </cell>
          <cell r="D99" t="str">
            <v>Peralatan</v>
          </cell>
        </row>
        <row r="100">
          <cell r="B100" t="str">
            <v>1</v>
          </cell>
          <cell r="D100" t="str">
            <v>Wheel Loader</v>
          </cell>
          <cell r="G100" t="str">
            <v>Jam</v>
          </cell>
          <cell r="H100">
            <v>4.4622936189201247E-2</v>
          </cell>
          <cell r="I100">
            <v>273100</v>
          </cell>
          <cell r="K100">
            <v>12186.52387327086</v>
          </cell>
        </row>
        <row r="101">
          <cell r="B101" t="str">
            <v>2</v>
          </cell>
          <cell r="D101" t="str">
            <v>Dump Truck</v>
          </cell>
          <cell r="G101" t="str">
            <v>Jam</v>
          </cell>
          <cell r="H101">
            <v>0.24128048337930044</v>
          </cell>
          <cell r="I101">
            <v>204300</v>
          </cell>
          <cell r="K101">
            <v>49293.602754391082</v>
          </cell>
        </row>
        <row r="102">
          <cell r="B102" t="str">
            <v>3</v>
          </cell>
          <cell r="D102" t="str">
            <v>Motor Grader</v>
          </cell>
          <cell r="G102" t="str">
            <v>Jam</v>
          </cell>
          <cell r="H102">
            <v>1.7570281124497995E-2</v>
          </cell>
          <cell r="I102">
            <v>279200</v>
          </cell>
          <cell r="K102">
            <v>4905.6224899598401</v>
          </cell>
        </row>
        <row r="103">
          <cell r="B103" t="str">
            <v>4</v>
          </cell>
          <cell r="D103" t="str">
            <v>Tandem Roller</v>
          </cell>
          <cell r="G103" t="str">
            <v>Jam</v>
          </cell>
          <cell r="H103">
            <v>2.677376171352075E-2</v>
          </cell>
          <cell r="I103">
            <v>162900</v>
          </cell>
          <cell r="K103">
            <v>4361.4457831325299</v>
          </cell>
        </row>
        <row r="104">
          <cell r="B104" t="str">
            <v>5</v>
          </cell>
          <cell r="D104" t="str">
            <v>Water Tanker</v>
          </cell>
          <cell r="G104" t="str">
            <v>Jam</v>
          </cell>
          <cell r="H104">
            <v>3.0120481927710847E-2</v>
          </cell>
          <cell r="I104">
            <v>124700</v>
          </cell>
          <cell r="K104">
            <v>3756.0240963855426</v>
          </cell>
        </row>
        <row r="105">
          <cell r="B105" t="str">
            <v>6</v>
          </cell>
          <cell r="D105" t="str">
            <v>Alat Bantu</v>
          </cell>
          <cell r="G105" t="str">
            <v>Ls</v>
          </cell>
          <cell r="H105">
            <v>1</v>
          </cell>
          <cell r="I105">
            <v>500</v>
          </cell>
          <cell r="K105">
            <v>500</v>
          </cell>
        </row>
        <row r="109">
          <cell r="B109" t="str">
            <v>D.</v>
          </cell>
          <cell r="D109" t="str">
            <v>Jumlah  (A + B + C)</v>
          </cell>
          <cell r="K109">
            <v>189406.67893721766</v>
          </cell>
        </row>
        <row r="110">
          <cell r="B110" t="str">
            <v>E.</v>
          </cell>
          <cell r="D110" t="str">
            <v>Biaya Umum dan Keuntungan</v>
          </cell>
          <cell r="G110">
            <v>10</v>
          </cell>
          <cell r="H110" t="str">
            <v>%  x  D</v>
          </cell>
          <cell r="K110">
            <v>18940.667893721766</v>
          </cell>
        </row>
        <row r="111">
          <cell r="B111" t="str">
            <v>F.</v>
          </cell>
          <cell r="D111" t="str">
            <v>Harga Satuan  = ( D + E )</v>
          </cell>
          <cell r="K111">
            <v>208347.34683093941</v>
          </cell>
        </row>
        <row r="112">
          <cell r="B112" t="str">
            <v>Catatan :</v>
          </cell>
        </row>
        <row r="113">
          <cell r="B113" t="str">
            <v>1.</v>
          </cell>
          <cell r="C113" t="str">
            <v>Satuan dapat berdasarkan atas jam operasi untuk tenaga kerja dan peralatan, volume dan / atau ukuran berat untuk bahan-bahan.</v>
          </cell>
        </row>
        <row r="114">
          <cell r="B114" t="str">
            <v>2.</v>
          </cell>
          <cell r="C114" t="str">
            <v>Kuantitas satuan adalah kuantitas perkiraan dari setiap komponen untuk menyelesaikan satu satuan pekerjaan dari nomor mata pembayaran Harga Satuan yang disampaikan Peserta Lelang tidak dapat diubah, kecuali persyaratan Ayat 13.4 dari Instruksi Kepada Pese</v>
          </cell>
        </row>
        <row r="117">
          <cell r="B117" t="str">
            <v>3.</v>
          </cell>
          <cell r="C117" t="str">
            <v>Biaya satuan untuk peralatan sudah termasuk bahan bakar, bahan habis terpakai dan operator.</v>
          </cell>
        </row>
        <row r="118">
          <cell r="B118" t="str">
            <v>4.</v>
          </cell>
          <cell r="C118" t="str">
            <v>Biaya satuan sudah termasuk pengeluaran untuk seluruh pajak yang berkaitan (tetapi tidak termasuk PPN yang dibayarkan dari kontrak) dan biaya-biaya lainnya.</v>
          </cell>
        </row>
        <row r="120">
          <cell r="B120" t="str">
            <v>5.</v>
          </cell>
          <cell r="C120" t="str">
            <v>Harga satuan yang diajukan peserta lelang harus mencakup seluruh tambahan tenaga kerja, bahan, peralatan atau kerugian yang mungkin diperlukan untuk menyelesaikan pekerjaan sesuai dengan Spesifikasi dan Gambar.</v>
          </cell>
        </row>
        <row r="124">
          <cell r="J124" t="e">
            <v>#REF!</v>
          </cell>
        </row>
        <row r="126">
          <cell r="J126" t="e">
            <v>#REF!</v>
          </cell>
        </row>
        <row r="132">
          <cell r="J132" t="e">
            <v>#REF!</v>
          </cell>
        </row>
        <row r="133">
          <cell r="J133" t="e">
            <v>#REF!</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Div1"/>
      <sheetName val="Div2"/>
      <sheetName val="Div 2"/>
      <sheetName val="Div3"/>
      <sheetName val="Div5"/>
      <sheetName val="Div4"/>
      <sheetName val="Div8b"/>
      <sheetName val="Div 6"/>
      <sheetName val="Div 7"/>
      <sheetName val="Div 8"/>
      <sheetName val="Jadwal"/>
      <sheetName val="Utama"/>
      <sheetName val="Lamp8"/>
      <sheetName val="Lamp"/>
      <sheetName val="SKon"/>
      <sheetName val="Kapasitas AMP.S.C"/>
      <sheetName val="Staf"/>
      <sheetName val="Al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RG SAT MASTER"/>
      <sheetName val="ANALISA PEKERJAAN 04"/>
      <sheetName val="REKHIRII"/>
      <sheetName val="HIRI"/>
      <sheetName val="DAU"/>
      <sheetName val="DAU (24 02 05)"/>
      <sheetName val="REKAP"/>
      <sheetName val="KODE ANALISA"/>
    </sheetNames>
    <sheetDataSet>
      <sheetData sheetId="0"/>
      <sheetData sheetId="1" refreshError="1">
        <row r="62">
          <cell r="P62">
            <v>150883.125</v>
          </cell>
        </row>
        <row r="254">
          <cell r="P254">
            <v>1698558.5185185187</v>
          </cell>
        </row>
        <row r="318">
          <cell r="P318">
            <v>10121.25</v>
          </cell>
        </row>
        <row r="382">
          <cell r="P382">
            <v>43640</v>
          </cell>
        </row>
        <row r="510">
          <cell r="P510">
            <v>38142.892857142855</v>
          </cell>
        </row>
        <row r="574">
          <cell r="P574">
            <v>21906.481481481482</v>
          </cell>
        </row>
        <row r="767">
          <cell r="P767">
            <v>130546.5</v>
          </cell>
        </row>
        <row r="832">
          <cell r="P832">
            <v>306834</v>
          </cell>
        </row>
        <row r="897">
          <cell r="P897">
            <v>22269.42</v>
          </cell>
        </row>
        <row r="1153">
          <cell r="P1153">
            <v>570622.22222222225</v>
          </cell>
        </row>
        <row r="1280">
          <cell r="P1280">
            <v>66369.777777777781</v>
          </cell>
        </row>
        <row r="1408">
          <cell r="P1408">
            <v>25408.533333333333</v>
          </cell>
        </row>
        <row r="1472">
          <cell r="P1472">
            <v>484690</v>
          </cell>
        </row>
        <row r="1600">
          <cell r="P1600">
            <v>5903.5</v>
          </cell>
        </row>
        <row r="1728">
          <cell r="P1728">
            <v>21593.75</v>
          </cell>
        </row>
        <row r="1856">
          <cell r="P1856">
            <v>620.71875</v>
          </cell>
        </row>
        <row r="1984">
          <cell r="P1984">
            <v>4784.5</v>
          </cell>
        </row>
        <row r="2112">
          <cell r="P2112">
            <v>2226387.222222222</v>
          </cell>
        </row>
        <row r="2176">
          <cell r="P2176">
            <v>5319642.416666667</v>
          </cell>
        </row>
        <row r="2368">
          <cell r="P2368">
            <v>124740</v>
          </cell>
        </row>
        <row r="2496">
          <cell r="P2496">
            <v>489841.66666666669</v>
          </cell>
        </row>
        <row r="2752">
          <cell r="P2752">
            <v>25917</v>
          </cell>
        </row>
        <row r="2815">
          <cell r="P2815">
            <v>73486.666666666672</v>
          </cell>
        </row>
        <row r="3003">
          <cell r="P3003">
            <v>174225</v>
          </cell>
        </row>
        <row r="3566">
          <cell r="P3566">
            <v>24352.5</v>
          </cell>
        </row>
        <row r="3628">
          <cell r="P3628">
            <v>624570.01111111103</v>
          </cell>
        </row>
        <row r="3690">
          <cell r="P3690">
            <v>78623.100000000006</v>
          </cell>
        </row>
        <row r="3754">
          <cell r="P3754">
            <v>114907.2</v>
          </cell>
        </row>
      </sheetData>
      <sheetData sheetId="2"/>
      <sheetData sheetId="3"/>
      <sheetData sheetId="4"/>
      <sheetData sheetId="5"/>
      <sheetData sheetId="6"/>
      <sheetData sheetId="7"/>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pen"/>
      <sheetName val="rekap"/>
      <sheetName val="rab"/>
      <sheetName val="quarry1"/>
      <sheetName val="mobilisas"/>
      <sheetName val="Moblisasi"/>
      <sheetName val="sat-dsr bhn"/>
      <sheetName val="upah"/>
      <sheetName val="bahan"/>
      <sheetName val="SAT ALAT"/>
      <sheetName val="an alat"/>
      <sheetName val="an produk bhn"/>
      <sheetName val="anls hrg sat"/>
      <sheetName val="URAIAN AN"/>
      <sheetName val="AN HRG SAT 2"/>
      <sheetName val="URAIAN AN 2"/>
      <sheetName val="METODE"/>
      <sheetName val="Sheet5"/>
      <sheetName val="Sheet3"/>
      <sheetName val="Sheet2"/>
      <sheetName val="urai div8"/>
      <sheetName val="urai div9"/>
      <sheetName val="urai div10"/>
      <sheetName val="divisi 10 pemel"/>
      <sheetName val="Sheet4"/>
      <sheetName val="anlisa a"/>
      <sheetName val="DFTR BY "/>
      <sheetName val="anls by sewa"/>
      <sheetName val="uraian analisa alt"/>
      <sheetName val="hit kap alt utm"/>
      <sheetName val="rab pemel"/>
      <sheetName val="Sheet1"/>
      <sheetName val="ANALISA TEKNIS"/>
      <sheetName val="SCEDDULE"/>
      <sheetName val="ALAT"/>
      <sheetName val="SON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row r="103">
          <cell r="BE103">
            <v>1679414850</v>
          </cell>
        </row>
        <row r="707">
          <cell r="BE707">
            <v>199500000</v>
          </cell>
        </row>
      </sheetData>
      <sheetData sheetId="29"/>
      <sheetData sheetId="30"/>
      <sheetData sheetId="31"/>
      <sheetData sheetId="32" refreshError="1"/>
      <sheetData sheetId="33"/>
      <sheetData sheetId="34"/>
      <sheetData sheetId="35"/>
      <sheetData sheetId="36"/>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row r="30">
          <cell r="F30" t="str">
            <v>Manado, 28 Desember 1998</v>
          </cell>
        </row>
        <row r="31">
          <cell r="F31" t="str">
            <v>CV.  MERCURY</v>
          </cell>
        </row>
        <row r="32">
          <cell r="J32" t="str">
            <v>PROYEK</v>
          </cell>
          <cell r="K32" t="str">
            <v>:</v>
          </cell>
          <cell r="L32" t="str">
            <v>PENINGKATAN PRASARANA JALAN PROPINSI CABANG DINAS PU KOTAMOBAGU</v>
          </cell>
        </row>
        <row r="33">
          <cell r="L33" t="str">
            <v>DI KABUPATEN BOLAANG MONGONDOW WILAYAH  III</v>
          </cell>
        </row>
        <row r="34">
          <cell r="J34" t="str">
            <v>PAKET</v>
          </cell>
          <cell r="K34" t="str">
            <v>:</v>
          </cell>
          <cell r="L34" t="str">
            <v>KEMA - BELANG - MOLOBOG (SEKSI VIII), TARGET 2,50 KM</v>
          </cell>
        </row>
        <row r="35">
          <cell r="F35" t="str">
            <v>BERTY  MARAMIS</v>
          </cell>
          <cell r="J35" t="str">
            <v>PROPINSI</v>
          </cell>
          <cell r="K35" t="str">
            <v>:</v>
          </cell>
          <cell r="L35" t="str">
            <v>SULAWESI UTARA</v>
          </cell>
        </row>
        <row r="36">
          <cell r="F36" t="str">
            <v>Direktur</v>
          </cell>
          <cell r="J36" t="str">
            <v>MATA</v>
          </cell>
          <cell r="M36" t="str">
            <v>SA</v>
          </cell>
          <cell r="N36" t="str">
            <v>PERKIRAAN</v>
          </cell>
          <cell r="O36" t="str">
            <v>HARGA</v>
          </cell>
          <cell r="P36" t="str">
            <v>HARGA</v>
          </cell>
        </row>
        <row r="37">
          <cell r="J37" t="str">
            <v>PEMBA</v>
          </cell>
          <cell r="L37" t="str">
            <v>URAIAN</v>
          </cell>
          <cell r="M37" t="str">
            <v>TU</v>
          </cell>
          <cell r="N37" t="str">
            <v>KUANTITAS</v>
          </cell>
          <cell r="O37" t="str">
            <v>SATUAN</v>
          </cell>
          <cell r="P37" t="str">
            <v>PEKERJAAN</v>
          </cell>
        </row>
        <row r="38">
          <cell r="J38" t="str">
            <v>YARAN</v>
          </cell>
          <cell r="M38" t="str">
            <v>AN</v>
          </cell>
          <cell r="O38" t="str">
            <v>( Rp.)</v>
          </cell>
          <cell r="P38" t="str">
            <v>( Rp.)</v>
          </cell>
        </row>
        <row r="39">
          <cell r="J39" t="str">
            <v>a</v>
          </cell>
          <cell r="L39" t="str">
            <v>b</v>
          </cell>
          <cell r="M39" t="str">
            <v>c</v>
          </cell>
          <cell r="N39" t="str">
            <v>d</v>
          </cell>
          <cell r="O39" t="str">
            <v>e</v>
          </cell>
          <cell r="P39" t="str">
            <v>f=(d x e)</v>
          </cell>
        </row>
        <row r="41">
          <cell r="J41" t="str">
            <v>BAB. I</v>
          </cell>
          <cell r="L41" t="str">
            <v>U M U M</v>
          </cell>
        </row>
        <row r="43">
          <cell r="J43" t="str">
            <v>1.2</v>
          </cell>
          <cell r="L43" t="str">
            <v>Mobilisasi</v>
          </cell>
          <cell r="M43" t="str">
            <v>Ls</v>
          </cell>
          <cell r="N43">
            <v>1</v>
          </cell>
          <cell r="O43">
            <v>15850000</v>
          </cell>
          <cell r="P43">
            <v>15850000</v>
          </cell>
        </row>
        <row r="45">
          <cell r="L45" t="str">
            <v>Jumlah Harga Pekerjaan Bab 1  (Dipindahkan ke Rekapitulasi Biaya)</v>
          </cell>
          <cell r="P45">
            <v>15850000</v>
          </cell>
        </row>
        <row r="47">
          <cell r="J47" t="str">
            <v>BAB. II</v>
          </cell>
          <cell r="L47" t="str">
            <v>DRAINASE</v>
          </cell>
        </row>
        <row r="49">
          <cell r="J49" t="str">
            <v>2.1</v>
          </cell>
          <cell r="L49" t="str">
            <v>Pekerjaan Galian Untuk Selokan</v>
          </cell>
          <cell r="M49" t="str">
            <v>M3</v>
          </cell>
          <cell r="N49">
            <v>859.5</v>
          </cell>
          <cell r="O49">
            <v>8507.82</v>
          </cell>
          <cell r="P49">
            <v>7312471.29</v>
          </cell>
        </row>
        <row r="50">
          <cell r="L50" t="str">
            <v>Drainase Dan Saluran Air</v>
          </cell>
        </row>
        <row r="51">
          <cell r="J51" t="str">
            <v>2.2</v>
          </cell>
          <cell r="L51" t="str">
            <v>Pekerjaan Pasangan Batu</v>
          </cell>
          <cell r="M51" t="str">
            <v>M3</v>
          </cell>
          <cell r="N51">
            <v>113.3</v>
          </cell>
          <cell r="O51">
            <v>187521.95</v>
          </cell>
          <cell r="P51">
            <v>21246236.940000001</v>
          </cell>
        </row>
        <row r="52">
          <cell r="L52" t="str">
            <v>Dengan Mortar</v>
          </cell>
        </row>
        <row r="53">
          <cell r="J53" t="str">
            <v>2.3 (1)</v>
          </cell>
          <cell r="L53" t="str">
            <v>Gorong2 Pipa Beton Bertulang</v>
          </cell>
          <cell r="M53" t="str">
            <v>M1</v>
          </cell>
          <cell r="N53" t="str">
            <v>-</v>
          </cell>
          <cell r="P53">
            <v>0</v>
          </cell>
        </row>
        <row r="54">
          <cell r="L54" t="str">
            <v>Ø Dalam &lt; 45 cm</v>
          </cell>
        </row>
        <row r="55">
          <cell r="J55" t="str">
            <v>2.3 (2)</v>
          </cell>
          <cell r="L55" t="str">
            <v>Pipa Gorong2 Beton Bertulang</v>
          </cell>
          <cell r="M55" t="str">
            <v>M1</v>
          </cell>
          <cell r="N55" t="str">
            <v>-</v>
          </cell>
          <cell r="P55">
            <v>0</v>
          </cell>
        </row>
        <row r="56">
          <cell r="L56" t="str">
            <v>Ø Dalam 45 - 75 cm</v>
          </cell>
        </row>
        <row r="57">
          <cell r="J57" t="str">
            <v>2.3 (3)</v>
          </cell>
          <cell r="L57" t="str">
            <v>Pipa Gorong2 Beton Bertulang</v>
          </cell>
          <cell r="M57" t="str">
            <v>M1</v>
          </cell>
          <cell r="N57">
            <v>3</v>
          </cell>
          <cell r="O57">
            <v>426350.6</v>
          </cell>
          <cell r="P57">
            <v>1279051.8</v>
          </cell>
        </row>
        <row r="58">
          <cell r="L58" t="str">
            <v>Ø Dalam 75 - 120 cm</v>
          </cell>
        </row>
        <row r="59">
          <cell r="J59" t="str">
            <v>2.3 (4)</v>
          </cell>
          <cell r="L59" t="str">
            <v>Gorong-gorong Pipa Baja</v>
          </cell>
          <cell r="M59" t="str">
            <v>Ton</v>
          </cell>
          <cell r="N59" t="str">
            <v>-</v>
          </cell>
          <cell r="P59">
            <v>0</v>
          </cell>
        </row>
        <row r="60">
          <cell r="L60" t="str">
            <v>Bergelombang</v>
          </cell>
        </row>
        <row r="61">
          <cell r="J61" t="str">
            <v>2.4 (1)</v>
          </cell>
          <cell r="L61" t="str">
            <v>Urugan Berongga Atau Material Filler</v>
          </cell>
          <cell r="M61" t="str">
            <v>M3</v>
          </cell>
          <cell r="N61" t="str">
            <v>-</v>
          </cell>
          <cell r="P61">
            <v>0</v>
          </cell>
        </row>
        <row r="62">
          <cell r="J62" t="str">
            <v>2.4 (2)</v>
          </cell>
          <cell r="L62" t="str">
            <v>Anyaman Filter Plastik Untuk Pek.</v>
          </cell>
          <cell r="M62" t="str">
            <v>M2</v>
          </cell>
          <cell r="N62" t="str">
            <v>-</v>
          </cell>
          <cell r="P62">
            <v>0</v>
          </cell>
        </row>
        <row r="63">
          <cell r="L63" t="str">
            <v>Drainase Di Bawah Permukaan</v>
          </cell>
        </row>
        <row r="64">
          <cell r="J64" t="str">
            <v>2.4 (3)</v>
          </cell>
          <cell r="L64" t="str">
            <v>Pipa Untuk Pekerjaan Drainase</v>
          </cell>
          <cell r="M64" t="str">
            <v>M1</v>
          </cell>
          <cell r="N64" t="str">
            <v>-</v>
          </cell>
          <cell r="P64">
            <v>0</v>
          </cell>
        </row>
        <row r="65">
          <cell r="L65" t="str">
            <v>Di Bawah Permukaan</v>
          </cell>
        </row>
        <row r="67">
          <cell r="L67" t="str">
            <v>Jumlah Harga Pekerjaan Bab 2  (Dipindahkan ke Rekapitulasi Biaya)</v>
          </cell>
          <cell r="P67">
            <v>29837760.030000001</v>
          </cell>
        </row>
        <row r="69">
          <cell r="J69" t="str">
            <v>PROYEK</v>
          </cell>
          <cell r="K69" t="str">
            <v>:</v>
          </cell>
          <cell r="L69" t="str">
            <v>PENINGKATAN PRASARANA JALAN PROPINSI CABANG DINAS PU KOTAMOBAGU</v>
          </cell>
        </row>
        <row r="70">
          <cell r="L70" t="str">
            <v>DI KABUPATEN BOLAANG MONGONDOW WILAYAH  III</v>
          </cell>
        </row>
        <row r="71">
          <cell r="J71" t="str">
            <v>PAKET</v>
          </cell>
          <cell r="K71" t="str">
            <v>:</v>
          </cell>
          <cell r="L71" t="str">
            <v>KEMA - BELANG - MOLOBOG (SEKSI VIII), TARGET 2,50 KM</v>
          </cell>
        </row>
        <row r="72">
          <cell r="J72" t="str">
            <v>PROPINSI</v>
          </cell>
          <cell r="K72" t="str">
            <v>:</v>
          </cell>
          <cell r="L72" t="str">
            <v>SULAWESI UTARA</v>
          </cell>
        </row>
        <row r="73">
          <cell r="J73" t="str">
            <v>MATA</v>
          </cell>
          <cell r="M73" t="str">
            <v>SA</v>
          </cell>
          <cell r="N73" t="str">
            <v>PERKIRAAN</v>
          </cell>
          <cell r="O73" t="str">
            <v>HARGA</v>
          </cell>
          <cell r="P73" t="str">
            <v>HARGA</v>
          </cell>
        </row>
        <row r="74">
          <cell r="J74" t="str">
            <v>PEMBA</v>
          </cell>
          <cell r="L74" t="str">
            <v>URAIAN</v>
          </cell>
          <cell r="M74" t="str">
            <v>TU</v>
          </cell>
          <cell r="N74" t="str">
            <v>KUANTITAS</v>
          </cell>
          <cell r="O74" t="str">
            <v>SATUAN</v>
          </cell>
          <cell r="P74" t="str">
            <v>PEKERJAAN</v>
          </cell>
        </row>
        <row r="75">
          <cell r="J75" t="str">
            <v>YARAN</v>
          </cell>
          <cell r="M75" t="str">
            <v>AN</v>
          </cell>
          <cell r="O75" t="str">
            <v>( Rp.)</v>
          </cell>
          <cell r="P75" t="str">
            <v>( Rp.)</v>
          </cell>
        </row>
        <row r="76">
          <cell r="J76" t="str">
            <v>a</v>
          </cell>
          <cell r="L76" t="str">
            <v>b</v>
          </cell>
          <cell r="M76" t="str">
            <v>c</v>
          </cell>
          <cell r="N76" t="str">
            <v>d</v>
          </cell>
          <cell r="O76" t="str">
            <v>e</v>
          </cell>
          <cell r="P76" t="str">
            <v>f=(d x e)</v>
          </cell>
        </row>
        <row r="78">
          <cell r="J78" t="str">
            <v>BAB. III</v>
          </cell>
          <cell r="L78" t="str">
            <v>PEKERJAAN TANAH</v>
          </cell>
        </row>
        <row r="80">
          <cell r="J80" t="str">
            <v>3.1 (1)</v>
          </cell>
          <cell r="L80" t="str">
            <v>Galian Biasa</v>
          </cell>
          <cell r="M80" t="str">
            <v>M3</v>
          </cell>
          <cell r="N80">
            <v>9250</v>
          </cell>
          <cell r="O80">
            <v>8507.82</v>
          </cell>
          <cell r="P80">
            <v>78697335</v>
          </cell>
        </row>
        <row r="81">
          <cell r="J81" t="str">
            <v>3.1 (2)</v>
          </cell>
          <cell r="L81" t="str">
            <v>Galian Padas/Batuan</v>
          </cell>
          <cell r="M81" t="str">
            <v>M3</v>
          </cell>
          <cell r="N81">
            <v>1950</v>
          </cell>
          <cell r="O81">
            <v>25439.21</v>
          </cell>
          <cell r="P81">
            <v>49606459.5</v>
          </cell>
        </row>
        <row r="82">
          <cell r="J82" t="str">
            <v>3.2 (1)</v>
          </cell>
          <cell r="L82" t="str">
            <v>Urugan Biasa</v>
          </cell>
          <cell r="M82" t="str">
            <v>M3</v>
          </cell>
          <cell r="N82">
            <v>950</v>
          </cell>
          <cell r="O82">
            <v>15248.77</v>
          </cell>
          <cell r="P82">
            <v>14486331.5</v>
          </cell>
        </row>
        <row r="83">
          <cell r="J83" t="str">
            <v>3.2 (2)</v>
          </cell>
          <cell r="L83" t="str">
            <v>Urugan Pilihan</v>
          </cell>
          <cell r="M83" t="str">
            <v>M3</v>
          </cell>
          <cell r="P83">
            <v>0</v>
          </cell>
        </row>
        <row r="84">
          <cell r="J84" t="str">
            <v>3.3</v>
          </cell>
          <cell r="L84" t="str">
            <v>Penyiapan Badan Jalan</v>
          </cell>
          <cell r="M84" t="str">
            <v>M2</v>
          </cell>
          <cell r="P84">
            <v>0</v>
          </cell>
        </row>
        <row r="86">
          <cell r="L86" t="str">
            <v>Jumlah Harga Pekerjaan Bab 3  (Dipindahkan ke Rekapitulasi Biaya)</v>
          </cell>
          <cell r="P86">
            <v>142790126</v>
          </cell>
        </row>
        <row r="88">
          <cell r="J88" t="str">
            <v>BAB. IV</v>
          </cell>
          <cell r="L88" t="str">
            <v>PELEBARAN PERKERASAN</v>
          </cell>
        </row>
        <row r="89">
          <cell r="L89" t="str">
            <v>DAN BAHU JALAN</v>
          </cell>
        </row>
        <row r="91">
          <cell r="J91" t="str">
            <v>4.1 (1)</v>
          </cell>
          <cell r="L91" t="str">
            <v>Lapis Pondasi Agregat Kelas A</v>
          </cell>
          <cell r="M91" t="str">
            <v>M3</v>
          </cell>
          <cell r="N91" t="str">
            <v>-</v>
          </cell>
          <cell r="P91">
            <v>0</v>
          </cell>
        </row>
        <row r="92">
          <cell r="J92" t="str">
            <v>4.1 (2)</v>
          </cell>
          <cell r="L92" t="str">
            <v>Lapis Pondasi Agregat Kelas B</v>
          </cell>
          <cell r="M92" t="str">
            <v>M3</v>
          </cell>
          <cell r="N92">
            <v>750</v>
          </cell>
          <cell r="O92">
            <v>51506.9</v>
          </cell>
          <cell r="P92">
            <v>38630175</v>
          </cell>
        </row>
        <row r="93">
          <cell r="J93" t="str">
            <v>4.2 (1)</v>
          </cell>
          <cell r="L93" t="str">
            <v>Semen Untuk Pondasi Tanah Semen</v>
          </cell>
          <cell r="M93" t="str">
            <v>Ton</v>
          </cell>
          <cell r="N93" t="str">
            <v>-</v>
          </cell>
          <cell r="P93">
            <v>0</v>
          </cell>
        </row>
        <row r="94">
          <cell r="J94" t="str">
            <v>4.2 (2)</v>
          </cell>
          <cell r="L94" t="str">
            <v>Lapis Pondasi Tanah Semen</v>
          </cell>
          <cell r="M94" t="str">
            <v>M3</v>
          </cell>
          <cell r="N94" t="str">
            <v>-</v>
          </cell>
          <cell r="P94">
            <v>0</v>
          </cell>
        </row>
        <row r="95">
          <cell r="J95" t="str">
            <v>4.3 (1)</v>
          </cell>
          <cell r="L95" t="str">
            <v>Agregat Penutup Burtu</v>
          </cell>
          <cell r="M95" t="str">
            <v>M2</v>
          </cell>
          <cell r="N95" t="str">
            <v>-</v>
          </cell>
          <cell r="P95">
            <v>0</v>
          </cell>
        </row>
        <row r="96">
          <cell r="J96" t="str">
            <v>4.3 (2)</v>
          </cell>
          <cell r="L96" t="str">
            <v>Material Aspal Untuk Pekerjaan</v>
          </cell>
          <cell r="M96" t="str">
            <v>Liter</v>
          </cell>
          <cell r="N96" t="str">
            <v>-</v>
          </cell>
          <cell r="P96">
            <v>0</v>
          </cell>
        </row>
        <row r="97">
          <cell r="L97" t="str">
            <v>Pelaburan</v>
          </cell>
        </row>
        <row r="98">
          <cell r="J98" t="str">
            <v>4.3 (3)</v>
          </cell>
          <cell r="L98" t="str">
            <v>Lapis Resap Pengikat</v>
          </cell>
          <cell r="M98" t="str">
            <v>Liter</v>
          </cell>
          <cell r="N98" t="str">
            <v>-</v>
          </cell>
          <cell r="P98">
            <v>0</v>
          </cell>
        </row>
        <row r="100">
          <cell r="L100" t="str">
            <v>Jumlah Harga Pekerjaan Bab 4  (Dipindahkan ke Rekapitulasi Biaya)</v>
          </cell>
          <cell r="P100">
            <v>38630175</v>
          </cell>
        </row>
        <row r="102">
          <cell r="J102" t="str">
            <v>BAB. V</v>
          </cell>
          <cell r="L102" t="str">
            <v>PERKERASAN BERBUTIR</v>
          </cell>
        </row>
        <row r="104">
          <cell r="J104" t="str">
            <v>5.1 (1)</v>
          </cell>
          <cell r="L104" t="str">
            <v>Lapis Pondasi Agregat Kelas A</v>
          </cell>
          <cell r="M104" t="str">
            <v>M3</v>
          </cell>
          <cell r="N104">
            <v>1350</v>
          </cell>
          <cell r="O104">
            <v>64762.57</v>
          </cell>
          <cell r="P104">
            <v>87429469.5</v>
          </cell>
        </row>
        <row r="105">
          <cell r="J105" t="str">
            <v>5.1 (2)</v>
          </cell>
          <cell r="L105" t="str">
            <v>Lapis Pondasi Agregat Kelas B</v>
          </cell>
          <cell r="M105" t="str">
            <v>M3</v>
          </cell>
          <cell r="N105">
            <v>950</v>
          </cell>
          <cell r="O105">
            <v>51506.9</v>
          </cell>
          <cell r="P105">
            <v>48931555</v>
          </cell>
        </row>
        <row r="106">
          <cell r="J106" t="str">
            <v>5.2 (1)</v>
          </cell>
          <cell r="L106" t="str">
            <v>Lapis Pondasi Jalan Kelas C1</v>
          </cell>
          <cell r="M106" t="str">
            <v>M3</v>
          </cell>
          <cell r="N106" t="str">
            <v>-</v>
          </cell>
          <cell r="P106">
            <v>0</v>
          </cell>
        </row>
        <row r="107">
          <cell r="J107" t="str">
            <v>5.2 (2)</v>
          </cell>
          <cell r="L107" t="str">
            <v>Lapis Pondasi Jalan Kelas C2</v>
          </cell>
          <cell r="M107" t="str">
            <v>M3</v>
          </cell>
          <cell r="N107" t="str">
            <v>-</v>
          </cell>
          <cell r="P107">
            <v>0</v>
          </cell>
        </row>
        <row r="108">
          <cell r="J108" t="str">
            <v>5.4 (1)</v>
          </cell>
          <cell r="L108" t="str">
            <v>Semen Untuk Pondasi Tanah Semen</v>
          </cell>
          <cell r="M108" t="str">
            <v>Ton</v>
          </cell>
          <cell r="N108" t="str">
            <v>-</v>
          </cell>
          <cell r="P108">
            <v>0</v>
          </cell>
        </row>
        <row r="109">
          <cell r="J109" t="str">
            <v>5.4 (2)</v>
          </cell>
          <cell r="L109" t="str">
            <v>Lapis Pondasi Tanah Semen</v>
          </cell>
          <cell r="M109" t="str">
            <v>M3</v>
          </cell>
          <cell r="N109" t="str">
            <v>-</v>
          </cell>
          <cell r="P109">
            <v>0</v>
          </cell>
        </row>
        <row r="110">
          <cell r="J110" t="str">
            <v>5.4 (3)</v>
          </cell>
          <cell r="L110" t="str">
            <v>Beton Tumbuk</v>
          </cell>
          <cell r="M110" t="str">
            <v>M3</v>
          </cell>
          <cell r="N110" t="str">
            <v>-</v>
          </cell>
          <cell r="P110">
            <v>0</v>
          </cell>
        </row>
        <row r="112">
          <cell r="L112" t="str">
            <v>Jumlah Harga Pekerjaan Bab 5  (Dipindahkan ke Rekapitulasi Biaya)</v>
          </cell>
          <cell r="P112">
            <v>136361024.5</v>
          </cell>
        </row>
        <row r="114">
          <cell r="J114" t="str">
            <v>PROYEK</v>
          </cell>
          <cell r="K114" t="str">
            <v>:</v>
          </cell>
          <cell r="L114" t="str">
            <v>PENINGKATAN PRASARANA JALAN PROPINSI CABANG DINAS PU KOTAMOBAGU</v>
          </cell>
        </row>
        <row r="115">
          <cell r="L115" t="str">
            <v>DI KABUPATEN BOLAANG MONGONDOW WILAYAH  III</v>
          </cell>
        </row>
        <row r="116">
          <cell r="J116" t="str">
            <v>PAKET</v>
          </cell>
          <cell r="K116" t="str">
            <v>:</v>
          </cell>
          <cell r="L116" t="str">
            <v>KEMA - BELANG - MOLOBOG (SEKSI VIII), TARGET 2,50 KM</v>
          </cell>
        </row>
        <row r="117">
          <cell r="J117" t="str">
            <v>PROPINSI</v>
          </cell>
          <cell r="K117" t="str">
            <v>:</v>
          </cell>
          <cell r="L117" t="str">
            <v>SULAWESI UTARA</v>
          </cell>
        </row>
        <row r="118">
          <cell r="J118" t="str">
            <v>MATA</v>
          </cell>
          <cell r="M118" t="str">
            <v>SA</v>
          </cell>
          <cell r="N118" t="str">
            <v>PERKIRAAN</v>
          </cell>
          <cell r="O118" t="str">
            <v>HARGA</v>
          </cell>
          <cell r="P118" t="str">
            <v>HARGA</v>
          </cell>
        </row>
        <row r="119">
          <cell r="J119" t="str">
            <v>PEMBA</v>
          </cell>
          <cell r="L119" t="str">
            <v>URAIAN</v>
          </cell>
          <cell r="M119" t="str">
            <v>TU</v>
          </cell>
          <cell r="N119" t="str">
            <v>KUANTITAS</v>
          </cell>
          <cell r="O119" t="str">
            <v>SATUAN</v>
          </cell>
          <cell r="P119" t="str">
            <v>PEKERJAAN</v>
          </cell>
        </row>
        <row r="120">
          <cell r="J120" t="str">
            <v>YARAN</v>
          </cell>
          <cell r="M120" t="str">
            <v>AN</v>
          </cell>
          <cell r="O120" t="str">
            <v>( Rp.)</v>
          </cell>
          <cell r="P120" t="str">
            <v>( Rp.)</v>
          </cell>
        </row>
        <row r="121">
          <cell r="J121" t="str">
            <v>a</v>
          </cell>
          <cell r="L121" t="str">
            <v>b</v>
          </cell>
          <cell r="M121" t="str">
            <v>c</v>
          </cell>
          <cell r="N121" t="str">
            <v>d</v>
          </cell>
          <cell r="O121" t="str">
            <v>e</v>
          </cell>
          <cell r="P121" t="str">
            <v>f=(d x e)</v>
          </cell>
        </row>
        <row r="123">
          <cell r="J123" t="str">
            <v>BAB. VI</v>
          </cell>
          <cell r="L123" t="str">
            <v>PERKERASAN ASPAL</v>
          </cell>
        </row>
        <row r="125">
          <cell r="J125" t="str">
            <v>6.1(1)</v>
          </cell>
          <cell r="L125" t="str">
            <v>Lapis Resap Pengikat</v>
          </cell>
          <cell r="M125" t="str">
            <v>Liter</v>
          </cell>
          <cell r="N125">
            <v>9000</v>
          </cell>
          <cell r="O125">
            <v>2340.9539999999997</v>
          </cell>
          <cell r="P125">
            <v>21068586</v>
          </cell>
        </row>
        <row r="126">
          <cell r="J126" t="str">
            <v>6.1(2)</v>
          </cell>
          <cell r="L126" t="str">
            <v>Lapis Perekat</v>
          </cell>
          <cell r="M126" t="str">
            <v>Liter</v>
          </cell>
          <cell r="P126">
            <v>0</v>
          </cell>
        </row>
        <row r="127">
          <cell r="J127" t="str">
            <v>6.2(1)</v>
          </cell>
          <cell r="L127" t="str">
            <v>Agregat Penutup Burtu</v>
          </cell>
          <cell r="M127" t="str">
            <v>M2</v>
          </cell>
          <cell r="N127" t="str">
            <v>-</v>
          </cell>
          <cell r="P127">
            <v>0</v>
          </cell>
        </row>
        <row r="128">
          <cell r="J128" t="str">
            <v>6.2(2)</v>
          </cell>
          <cell r="L128" t="str">
            <v>Agregat Penutup Burda</v>
          </cell>
          <cell r="M128" t="str">
            <v>M2</v>
          </cell>
          <cell r="N128" t="str">
            <v>-</v>
          </cell>
          <cell r="P128">
            <v>0</v>
          </cell>
        </row>
        <row r="129">
          <cell r="J129" t="str">
            <v>6.2(3)</v>
          </cell>
          <cell r="L129" t="str">
            <v>Material Aspal Untuk Pekerjaan</v>
          </cell>
          <cell r="M129" t="str">
            <v>Liter</v>
          </cell>
          <cell r="N129" t="str">
            <v>-</v>
          </cell>
          <cell r="P129">
            <v>0</v>
          </cell>
        </row>
        <row r="130">
          <cell r="L130" t="str">
            <v>Pelaburan</v>
          </cell>
        </row>
        <row r="131">
          <cell r="J131" t="str">
            <v>6.3(3)</v>
          </cell>
          <cell r="L131" t="str">
            <v>Lapis Permukaan Lataston (HRS)</v>
          </cell>
          <cell r="M131" t="str">
            <v>M2</v>
          </cell>
          <cell r="N131" t="str">
            <v>-</v>
          </cell>
          <cell r="P131">
            <v>0</v>
          </cell>
        </row>
        <row r="132">
          <cell r="J132" t="str">
            <v>6.3(4)</v>
          </cell>
          <cell r="L132" t="str">
            <v>Lapis Permukaan Laston (AC) t=4cm</v>
          </cell>
          <cell r="M132" t="str">
            <v>M2</v>
          </cell>
          <cell r="P132">
            <v>0</v>
          </cell>
        </row>
        <row r="133">
          <cell r="J133" t="str">
            <v>6.3(5)</v>
          </cell>
          <cell r="L133" t="str">
            <v>Asphalt Treated Base (ATB)</v>
          </cell>
          <cell r="M133" t="str">
            <v>M3</v>
          </cell>
          <cell r="P133">
            <v>0</v>
          </cell>
        </row>
        <row r="134">
          <cell r="J134" t="str">
            <v>6.3(5) a</v>
          </cell>
          <cell r="L134" t="str">
            <v>Asphalt Treated Base Levelling (ATBL)</v>
          </cell>
          <cell r="M134" t="str">
            <v>Ton</v>
          </cell>
          <cell r="N134" t="str">
            <v>-</v>
          </cell>
          <cell r="P134">
            <v>0</v>
          </cell>
        </row>
        <row r="135">
          <cell r="J135" t="str">
            <v>6.4(1)</v>
          </cell>
          <cell r="L135" t="str">
            <v>Lasbutag    t = 3 cm</v>
          </cell>
          <cell r="M135" t="str">
            <v>M2</v>
          </cell>
          <cell r="P135">
            <v>0</v>
          </cell>
        </row>
        <row r="136">
          <cell r="J136" t="str">
            <v>6.6</v>
          </cell>
          <cell r="L136" t="str">
            <v>Lapis Penetrasi Macadam</v>
          </cell>
          <cell r="M136" t="str">
            <v>M2</v>
          </cell>
          <cell r="N136">
            <v>11250</v>
          </cell>
          <cell r="O136">
            <v>14897.19</v>
          </cell>
          <cell r="P136">
            <v>167593387.5</v>
          </cell>
        </row>
        <row r="138">
          <cell r="L138" t="str">
            <v>Jumlah Harga Pekerjaan Bab 6  (Dipindahkan ke Rekapitulasi Biaya)</v>
          </cell>
          <cell r="P138">
            <v>188661973.5</v>
          </cell>
        </row>
        <row r="140">
          <cell r="J140" t="str">
            <v>BAB. VII</v>
          </cell>
          <cell r="L140" t="str">
            <v>STRUKTUR</v>
          </cell>
        </row>
        <row r="142">
          <cell r="J142" t="str">
            <v>7.1 (1)</v>
          </cell>
          <cell r="L142" t="str">
            <v>Beton Untuk Struktur   K - 275</v>
          </cell>
          <cell r="M142" t="str">
            <v>M3</v>
          </cell>
          <cell r="P142">
            <v>0</v>
          </cell>
        </row>
        <row r="143">
          <cell r="J143" t="str">
            <v>7.1 (2)</v>
          </cell>
          <cell r="L143" t="str">
            <v>Beton Tak Bertulang</v>
          </cell>
          <cell r="M143" t="str">
            <v>M3</v>
          </cell>
          <cell r="P143">
            <v>0</v>
          </cell>
        </row>
        <row r="144">
          <cell r="J144" t="str">
            <v>7.2</v>
          </cell>
          <cell r="L144" t="str">
            <v>Baja Tulangan</v>
          </cell>
          <cell r="M144" t="str">
            <v>Kg</v>
          </cell>
          <cell r="P144">
            <v>0</v>
          </cell>
        </row>
        <row r="145">
          <cell r="J145" t="str">
            <v>7.4</v>
          </cell>
          <cell r="L145" t="str">
            <v>Pasangan Batu dg adukan</v>
          </cell>
          <cell r="M145" t="str">
            <v>M3</v>
          </cell>
          <cell r="N145">
            <v>45</v>
          </cell>
          <cell r="O145">
            <v>169831.75</v>
          </cell>
          <cell r="P145">
            <v>7642428.75</v>
          </cell>
        </row>
        <row r="146">
          <cell r="J146" t="str">
            <v>7.5 (1)</v>
          </cell>
          <cell r="L146" t="str">
            <v>Pasangan Batu Kosong diisi adukan</v>
          </cell>
          <cell r="M146" t="str">
            <v>M3</v>
          </cell>
        </row>
        <row r="147">
          <cell r="J147" t="str">
            <v>7.5 (2a)</v>
          </cell>
          <cell r="L147" t="str">
            <v>Timbunan Batu &gt; 1.000 Kg</v>
          </cell>
          <cell r="M147" t="str">
            <v>M3</v>
          </cell>
          <cell r="N147" t="str">
            <v>-</v>
          </cell>
          <cell r="P147">
            <v>0</v>
          </cell>
        </row>
        <row r="148">
          <cell r="J148" t="str">
            <v>7.5 (2b)</v>
          </cell>
          <cell r="L148" t="str">
            <v>Timbunan Batu &gt; 250 - 300 Kg</v>
          </cell>
          <cell r="M148" t="str">
            <v>M3</v>
          </cell>
          <cell r="N148" t="str">
            <v>-</v>
          </cell>
          <cell r="P148">
            <v>0</v>
          </cell>
        </row>
        <row r="149">
          <cell r="J149" t="str">
            <v>7.5 (2c)</v>
          </cell>
          <cell r="L149" t="str">
            <v>Timbunan Batu &gt; 40 - 250 Kg</v>
          </cell>
          <cell r="M149" t="str">
            <v>M3</v>
          </cell>
          <cell r="N149" t="str">
            <v>-</v>
          </cell>
          <cell r="P149">
            <v>0</v>
          </cell>
        </row>
        <row r="150">
          <cell r="J150" t="str">
            <v>7.5 (2d)</v>
          </cell>
          <cell r="L150" t="str">
            <v>Timbunan Batu &gt; 15 - 40 Kg</v>
          </cell>
          <cell r="M150" t="str">
            <v>M3</v>
          </cell>
          <cell r="N150" t="str">
            <v>-</v>
          </cell>
          <cell r="P150">
            <v>0</v>
          </cell>
        </row>
        <row r="151">
          <cell r="J151" t="str">
            <v>7.5 (4)</v>
          </cell>
          <cell r="L151" t="str">
            <v>Geotekstil Untuk Perkuatan Tanah</v>
          </cell>
          <cell r="M151" t="str">
            <v>M2</v>
          </cell>
          <cell r="N151" t="str">
            <v>-</v>
          </cell>
          <cell r="P151">
            <v>0</v>
          </cell>
        </row>
        <row r="152">
          <cell r="J152" t="str">
            <v>7.6</v>
          </cell>
          <cell r="L152" t="str">
            <v>B r o n j o n g</v>
          </cell>
          <cell r="M152" t="str">
            <v>M3</v>
          </cell>
          <cell r="P152">
            <v>0</v>
          </cell>
        </row>
        <row r="154">
          <cell r="L154" t="str">
            <v>Jumlah Harga Pekerjaan Bab 7  (Dipindahkan ke Rekapitulasi Biaya)</v>
          </cell>
          <cell r="P154">
            <v>7642428.75</v>
          </cell>
        </row>
        <row r="156">
          <cell r="J156" t="str">
            <v>PROYEK</v>
          </cell>
          <cell r="K156" t="str">
            <v>:</v>
          </cell>
          <cell r="L156" t="str">
            <v>PENINGKATAN PRASARANA JALAN PROPINSI CABANG DINAS PU KOTAMOBAGU</v>
          </cell>
        </row>
        <row r="157">
          <cell r="L157" t="str">
            <v>DI KABUPATEN BOLAANG MONGONDOW WILAYAH  III</v>
          </cell>
        </row>
        <row r="158">
          <cell r="J158" t="str">
            <v>PAKET</v>
          </cell>
          <cell r="K158" t="str">
            <v>:</v>
          </cell>
          <cell r="L158" t="str">
            <v>KEMA - BELANG - MOLOBOG (SEKSI VIII), TARGET 2,50 KM</v>
          </cell>
        </row>
        <row r="159">
          <cell r="J159" t="str">
            <v>PROPINSI</v>
          </cell>
          <cell r="K159" t="str">
            <v>:</v>
          </cell>
          <cell r="L159" t="str">
            <v>SULAWESI UTARA</v>
          </cell>
        </row>
        <row r="160">
          <cell r="J160" t="str">
            <v>MATA</v>
          </cell>
          <cell r="M160" t="str">
            <v>SA</v>
          </cell>
          <cell r="N160" t="str">
            <v>PERKIRAAN</v>
          </cell>
          <cell r="O160" t="str">
            <v>HARGA</v>
          </cell>
          <cell r="P160" t="str">
            <v>HARGA</v>
          </cell>
        </row>
        <row r="161">
          <cell r="J161" t="str">
            <v>PEMBA</v>
          </cell>
          <cell r="L161" t="str">
            <v>URAIAN</v>
          </cell>
          <cell r="M161" t="str">
            <v>TU</v>
          </cell>
          <cell r="N161" t="str">
            <v>KUANTITAS</v>
          </cell>
          <cell r="O161" t="str">
            <v>SATUAN</v>
          </cell>
          <cell r="P161" t="str">
            <v>PEKERJAAN</v>
          </cell>
        </row>
        <row r="162">
          <cell r="J162" t="str">
            <v>YARAN</v>
          </cell>
          <cell r="M162" t="str">
            <v>AN</v>
          </cell>
          <cell r="O162" t="str">
            <v>( Rp.)</v>
          </cell>
          <cell r="P162" t="str">
            <v>( Rp.)</v>
          </cell>
        </row>
        <row r="163">
          <cell r="J163" t="str">
            <v>a</v>
          </cell>
          <cell r="L163" t="str">
            <v>b</v>
          </cell>
          <cell r="M163" t="str">
            <v>c</v>
          </cell>
          <cell r="N163" t="str">
            <v>d</v>
          </cell>
          <cell r="O163" t="str">
            <v>e</v>
          </cell>
          <cell r="P163" t="str">
            <v>f=(d x e)</v>
          </cell>
        </row>
        <row r="165">
          <cell r="J165" t="str">
            <v>BAB. VIII</v>
          </cell>
          <cell r="L165" t="str">
            <v>PENGEMBALIAN KONDISI</v>
          </cell>
        </row>
        <row r="166">
          <cell r="L166" t="str">
            <v>DAN PEKERJAAN MINOR</v>
          </cell>
        </row>
        <row r="168">
          <cell r="J168" t="str">
            <v>8.1 (1)</v>
          </cell>
          <cell r="L168" t="str">
            <v>Lapis Pondasi Agregat Kelas A</v>
          </cell>
          <cell r="M168" t="str">
            <v>M3</v>
          </cell>
          <cell r="N168" t="str">
            <v>-</v>
          </cell>
          <cell r="P168">
            <v>0</v>
          </cell>
        </row>
        <row r="169">
          <cell r="L169" t="str">
            <v>Untuk Pekerjaan Minor</v>
          </cell>
        </row>
        <row r="170">
          <cell r="J170" t="str">
            <v>8.1 (2)</v>
          </cell>
          <cell r="L170" t="str">
            <v>Lapis Pondasi Agregat Kelas B</v>
          </cell>
          <cell r="M170" t="str">
            <v>M3</v>
          </cell>
          <cell r="P170">
            <v>0</v>
          </cell>
        </row>
        <row r="171">
          <cell r="L171" t="str">
            <v>Untuk Pekerjaan Minor</v>
          </cell>
        </row>
        <row r="172">
          <cell r="J172" t="str">
            <v>8.1 (3)</v>
          </cell>
          <cell r="L172" t="str">
            <v>Agregat Untuk Lapis Pondasi Jalan</v>
          </cell>
          <cell r="M172" t="str">
            <v>M3</v>
          </cell>
          <cell r="N172" t="str">
            <v>-</v>
          </cell>
          <cell r="P172">
            <v>0</v>
          </cell>
        </row>
        <row r="173">
          <cell r="L173" t="str">
            <v>Tanpa Penutup Untuk Pek. Minor</v>
          </cell>
        </row>
        <row r="174">
          <cell r="J174" t="str">
            <v>8.1 (4)</v>
          </cell>
          <cell r="L174" t="str">
            <v>Waterbound Macadam</v>
          </cell>
          <cell r="M174" t="str">
            <v>M3</v>
          </cell>
          <cell r="N174" t="str">
            <v>-</v>
          </cell>
          <cell r="P174">
            <v>0</v>
          </cell>
        </row>
        <row r="175">
          <cell r="L175" t="str">
            <v>Untuk Pekerjaan Minor</v>
          </cell>
        </row>
        <row r="176">
          <cell r="J176" t="str">
            <v>8.1 (5)</v>
          </cell>
          <cell r="L176" t="str">
            <v>Campuran Aspal Panas</v>
          </cell>
          <cell r="M176" t="str">
            <v>M3</v>
          </cell>
          <cell r="N176" t="str">
            <v>-</v>
          </cell>
          <cell r="P176">
            <v>0</v>
          </cell>
        </row>
        <row r="177">
          <cell r="L177" t="str">
            <v>Untuk Pekerjaan Minor</v>
          </cell>
        </row>
        <row r="178">
          <cell r="J178" t="str">
            <v>8.1 (6)</v>
          </cell>
          <cell r="L178" t="str">
            <v>Lasbutag atau Latasbusir</v>
          </cell>
          <cell r="M178" t="str">
            <v>M3</v>
          </cell>
          <cell r="N178" t="str">
            <v>-</v>
          </cell>
          <cell r="P178">
            <v>0</v>
          </cell>
        </row>
        <row r="179">
          <cell r="L179" t="str">
            <v>Untuk Pekerjaan Minor</v>
          </cell>
        </row>
        <row r="180">
          <cell r="J180" t="str">
            <v>8.1 (7)</v>
          </cell>
          <cell r="L180" t="str">
            <v>Penetrasi Macadam</v>
          </cell>
          <cell r="M180" t="str">
            <v>M3</v>
          </cell>
          <cell r="N180" t="str">
            <v>-</v>
          </cell>
          <cell r="P180">
            <v>0</v>
          </cell>
        </row>
        <row r="181">
          <cell r="L181" t="str">
            <v>Untuk Pekerjaan Minor</v>
          </cell>
        </row>
        <row r="182">
          <cell r="J182" t="str">
            <v>8.1 (8)</v>
          </cell>
          <cell r="L182" t="str">
            <v>Campuran Aspal Dingin</v>
          </cell>
          <cell r="M182" t="str">
            <v>M3</v>
          </cell>
          <cell r="N182" t="str">
            <v>-</v>
          </cell>
          <cell r="P182">
            <v>0</v>
          </cell>
        </row>
        <row r="183">
          <cell r="L183" t="str">
            <v>Untuk Pekerjaan Minor</v>
          </cell>
        </row>
        <row r="184">
          <cell r="J184" t="str">
            <v>8.1 (9)</v>
          </cell>
          <cell r="L184" t="str">
            <v>Bitumen Untuk Pengisian</v>
          </cell>
          <cell r="M184" t="str">
            <v>Liter</v>
          </cell>
          <cell r="N184" t="str">
            <v>-</v>
          </cell>
          <cell r="P184">
            <v>0</v>
          </cell>
        </row>
        <row r="185">
          <cell r="L185" t="str">
            <v>Retak-retak</v>
          </cell>
        </row>
        <row r="186">
          <cell r="J186" t="str">
            <v>8.2</v>
          </cell>
          <cell r="L186" t="str">
            <v>Galian Untuk Bahu Jalan dan</v>
          </cell>
          <cell r="M186" t="str">
            <v>M3</v>
          </cell>
          <cell r="N186" t="str">
            <v>-</v>
          </cell>
          <cell r="P186">
            <v>0</v>
          </cell>
        </row>
        <row r="187">
          <cell r="L187" t="str">
            <v>Pekerjaan Minor Lainnya.</v>
          </cell>
        </row>
        <row r="188">
          <cell r="J188" t="str">
            <v>8.3</v>
          </cell>
          <cell r="L188" t="str">
            <v>Stabilisasi Dengan Tanaman</v>
          </cell>
          <cell r="M188" t="str">
            <v>M2</v>
          </cell>
          <cell r="N188" t="str">
            <v>-</v>
          </cell>
          <cell r="P188">
            <v>0</v>
          </cell>
        </row>
        <row r="189">
          <cell r="J189" t="str">
            <v>8.4 (1)</v>
          </cell>
          <cell r="L189" t="str">
            <v>Marka Jalan</v>
          </cell>
          <cell r="M189" t="str">
            <v>M2</v>
          </cell>
          <cell r="N189" t="str">
            <v>-</v>
          </cell>
          <cell r="P189">
            <v>0</v>
          </cell>
        </row>
        <row r="190">
          <cell r="J190" t="str">
            <v>8.4 (2)</v>
          </cell>
          <cell r="L190" t="str">
            <v>Rambu Jalan</v>
          </cell>
          <cell r="M190" t="str">
            <v>Buah</v>
          </cell>
          <cell r="N190" t="str">
            <v>-</v>
          </cell>
          <cell r="P190">
            <v>0</v>
          </cell>
        </row>
        <row r="191">
          <cell r="J191" t="str">
            <v>8.4 (3)</v>
          </cell>
          <cell r="L191" t="str">
            <v>Patok Pengarah</v>
          </cell>
          <cell r="M191" t="str">
            <v>Buah</v>
          </cell>
          <cell r="N191" t="str">
            <v>-</v>
          </cell>
        </row>
        <row r="192">
          <cell r="J192" t="str">
            <v>8.4 (4)</v>
          </cell>
          <cell r="L192" t="str">
            <v>Patok Kilometer</v>
          </cell>
          <cell r="M192" t="str">
            <v>Buah</v>
          </cell>
          <cell r="N192" t="str">
            <v>-</v>
          </cell>
          <cell r="P192">
            <v>0</v>
          </cell>
        </row>
        <row r="193">
          <cell r="J193" t="str">
            <v>8.4 (5)</v>
          </cell>
          <cell r="L193" t="str">
            <v>Rel Pengaman</v>
          </cell>
          <cell r="M193" t="str">
            <v>M1</v>
          </cell>
          <cell r="N193" t="str">
            <v>-</v>
          </cell>
          <cell r="P193">
            <v>0</v>
          </cell>
        </row>
        <row r="194">
          <cell r="J194" t="str">
            <v>8.5 (1)</v>
          </cell>
          <cell r="L194" t="str">
            <v>Pengembalian Kondisi Lantai</v>
          </cell>
          <cell r="M194" t="str">
            <v>M2</v>
          </cell>
          <cell r="N194" t="str">
            <v>-</v>
          </cell>
          <cell r="P194">
            <v>0</v>
          </cell>
        </row>
        <row r="195">
          <cell r="L195" t="str">
            <v>Jembatan Beton</v>
          </cell>
        </row>
        <row r="196">
          <cell r="J196" t="str">
            <v>8.5 (2)</v>
          </cell>
          <cell r="L196" t="str">
            <v>Pengembalian Kondisi Lantai</v>
          </cell>
          <cell r="M196" t="str">
            <v>M2</v>
          </cell>
          <cell r="N196" t="str">
            <v>-</v>
          </cell>
          <cell r="P196">
            <v>0</v>
          </cell>
        </row>
        <row r="197">
          <cell r="L197" t="str">
            <v>Jembatan Kayu</v>
          </cell>
        </row>
        <row r="198">
          <cell r="J198" t="str">
            <v>8.5 (3)</v>
          </cell>
          <cell r="L198" t="str">
            <v>Pengecatan Jembatan Struktur</v>
          </cell>
          <cell r="M198" t="str">
            <v>M2</v>
          </cell>
          <cell r="N198" t="str">
            <v>-</v>
          </cell>
          <cell r="P198">
            <v>0</v>
          </cell>
        </row>
        <row r="199">
          <cell r="L199" t="str">
            <v>Baja</v>
          </cell>
        </row>
        <row r="201">
          <cell r="L201" t="str">
            <v>Jumlah Harga Pekerjaan Bab 8  (Dipindahkan ke Rekapitulasi Biaya)</v>
          </cell>
          <cell r="P201">
            <v>0</v>
          </cell>
        </row>
        <row r="203">
          <cell r="J203" t="str">
            <v>PROYEK</v>
          </cell>
          <cell r="K203" t="str">
            <v>:</v>
          </cell>
          <cell r="L203" t="str">
            <v>PENINGKATAN PRASARANA JALAN PROPINSI CABANG DINAS PU KOTAMOBAGU</v>
          </cell>
        </row>
        <row r="204">
          <cell r="L204" t="str">
            <v>DI KABUPATEN BOLAANG MONGONDOW WILAYAH  III</v>
          </cell>
        </row>
        <row r="205">
          <cell r="J205" t="str">
            <v>PAKET</v>
          </cell>
          <cell r="K205" t="str">
            <v>:</v>
          </cell>
          <cell r="L205" t="str">
            <v>KEMA - BELANG - MOLOBOG (SEKSI VIII), TARGET 2,50 KM</v>
          </cell>
        </row>
        <row r="206">
          <cell r="J206" t="str">
            <v>PROPINSI</v>
          </cell>
          <cell r="K206" t="str">
            <v>:</v>
          </cell>
          <cell r="L206" t="str">
            <v>SULAWESI UTARA</v>
          </cell>
        </row>
        <row r="207">
          <cell r="J207" t="str">
            <v>MATA</v>
          </cell>
          <cell r="M207" t="str">
            <v>SA</v>
          </cell>
          <cell r="N207" t="str">
            <v>PERKIRAAN</v>
          </cell>
          <cell r="O207" t="str">
            <v>HARGA</v>
          </cell>
          <cell r="P207" t="str">
            <v>HARGA</v>
          </cell>
        </row>
        <row r="208">
          <cell r="J208" t="str">
            <v>PEMBA</v>
          </cell>
          <cell r="L208" t="str">
            <v>URAIAN</v>
          </cell>
          <cell r="M208" t="str">
            <v>TU</v>
          </cell>
          <cell r="N208" t="str">
            <v>KUANTITAS</v>
          </cell>
          <cell r="O208" t="str">
            <v>SATUAN</v>
          </cell>
          <cell r="P208" t="str">
            <v>PEKERJAAN</v>
          </cell>
        </row>
        <row r="209">
          <cell r="J209" t="str">
            <v>YARAN</v>
          </cell>
          <cell r="M209" t="str">
            <v>AN</v>
          </cell>
          <cell r="O209" t="str">
            <v>( Rp.)</v>
          </cell>
          <cell r="P209" t="str">
            <v>( Rp.)</v>
          </cell>
        </row>
        <row r="210">
          <cell r="J210" t="str">
            <v>a</v>
          </cell>
          <cell r="L210" t="str">
            <v>b</v>
          </cell>
          <cell r="M210" t="str">
            <v>c</v>
          </cell>
          <cell r="N210" t="str">
            <v>d</v>
          </cell>
          <cell r="O210" t="str">
            <v>e</v>
          </cell>
          <cell r="P210" t="str">
            <v>f=(d x e)</v>
          </cell>
        </row>
        <row r="212">
          <cell r="J212" t="str">
            <v>BAB. IX</v>
          </cell>
          <cell r="L212" t="str">
            <v>PEKERJAAN HARIAN</v>
          </cell>
        </row>
        <row r="214">
          <cell r="J214" t="str">
            <v>9.1</v>
          </cell>
          <cell r="L214" t="str">
            <v>Mandor</v>
          </cell>
          <cell r="M214" t="str">
            <v>Jam</v>
          </cell>
          <cell r="N214" t="str">
            <v>-</v>
          </cell>
          <cell r="P214">
            <v>0</v>
          </cell>
        </row>
        <row r="215">
          <cell r="J215" t="str">
            <v>9.2</v>
          </cell>
          <cell r="L215" t="str">
            <v>Pekerja</v>
          </cell>
          <cell r="M215" t="str">
            <v>Jam</v>
          </cell>
          <cell r="N215" t="str">
            <v>-</v>
          </cell>
          <cell r="P215">
            <v>0</v>
          </cell>
        </row>
        <row r="216">
          <cell r="J216" t="str">
            <v>9.3</v>
          </cell>
          <cell r="L216" t="str">
            <v>Tukang Kayu, Tukang Batu, dll.</v>
          </cell>
          <cell r="M216" t="str">
            <v>Jam</v>
          </cell>
          <cell r="N216" t="str">
            <v>-</v>
          </cell>
          <cell r="P216">
            <v>0</v>
          </cell>
        </row>
        <row r="217">
          <cell r="J217" t="str">
            <v>9.4</v>
          </cell>
          <cell r="L217" t="str">
            <v>Dump Truck 3-4 m3</v>
          </cell>
          <cell r="M217" t="str">
            <v>Jam</v>
          </cell>
          <cell r="N217" t="str">
            <v>-</v>
          </cell>
          <cell r="P217">
            <v>0</v>
          </cell>
        </row>
        <row r="218">
          <cell r="J218" t="str">
            <v>9.5</v>
          </cell>
          <cell r="L218" t="str">
            <v>Truk Dengan Bak Terbuka 3-4 m3</v>
          </cell>
          <cell r="M218" t="str">
            <v>Jam</v>
          </cell>
          <cell r="N218" t="str">
            <v>-</v>
          </cell>
          <cell r="P218">
            <v>0</v>
          </cell>
        </row>
        <row r="219">
          <cell r="J219" t="str">
            <v>9.6</v>
          </cell>
          <cell r="L219" t="str">
            <v>Water Tanker 300-4500 liter</v>
          </cell>
          <cell r="M219" t="str">
            <v>Jam</v>
          </cell>
          <cell r="N219" t="str">
            <v>-</v>
          </cell>
          <cell r="P219">
            <v>0</v>
          </cell>
        </row>
        <row r="220">
          <cell r="J220" t="str">
            <v>9.7</v>
          </cell>
          <cell r="L220" t="str">
            <v>BuldOzer 100-150 Hp</v>
          </cell>
          <cell r="M220" t="str">
            <v>Jam</v>
          </cell>
          <cell r="N220" t="str">
            <v>-</v>
          </cell>
          <cell r="P220">
            <v>0</v>
          </cell>
        </row>
        <row r="221">
          <cell r="J221" t="str">
            <v>9.8</v>
          </cell>
          <cell r="L221" t="str">
            <v>Motor Grader 75 - 100 Hp</v>
          </cell>
          <cell r="M221" t="str">
            <v>Jam</v>
          </cell>
          <cell r="N221" t="str">
            <v>-</v>
          </cell>
          <cell r="P221">
            <v>0</v>
          </cell>
        </row>
        <row r="222">
          <cell r="J222" t="str">
            <v>9.9</v>
          </cell>
          <cell r="L222" t="str">
            <v>Wheel Loader 1.0 - 1.6 m3</v>
          </cell>
          <cell r="M222" t="str">
            <v>Jam</v>
          </cell>
          <cell r="N222" t="str">
            <v>-</v>
          </cell>
          <cell r="P222">
            <v>0</v>
          </cell>
        </row>
        <row r="223">
          <cell r="J223" t="str">
            <v>9.10</v>
          </cell>
          <cell r="L223" t="str">
            <v>Track Loader 75-100 Hp</v>
          </cell>
          <cell r="M223" t="str">
            <v>Jam</v>
          </cell>
          <cell r="N223" t="str">
            <v>-</v>
          </cell>
          <cell r="P223">
            <v>0</v>
          </cell>
        </row>
        <row r="224">
          <cell r="J224" t="str">
            <v>9.11</v>
          </cell>
          <cell r="L224" t="str">
            <v>Excavator 80-140 Hp</v>
          </cell>
          <cell r="M224" t="str">
            <v>Jam</v>
          </cell>
          <cell r="N224" t="str">
            <v>-</v>
          </cell>
          <cell r="P224">
            <v>0</v>
          </cell>
        </row>
        <row r="225">
          <cell r="J225" t="str">
            <v>9.12</v>
          </cell>
          <cell r="L225" t="str">
            <v>Crane 10-15 Ton</v>
          </cell>
          <cell r="M225" t="str">
            <v>Jam</v>
          </cell>
          <cell r="N225" t="str">
            <v>-</v>
          </cell>
          <cell r="P225">
            <v>0</v>
          </cell>
        </row>
        <row r="226">
          <cell r="J226" t="str">
            <v>9.13</v>
          </cell>
          <cell r="L226" t="str">
            <v>Mesin Gilas Roda Besi 6-9 ton</v>
          </cell>
          <cell r="M226" t="str">
            <v>Jam</v>
          </cell>
          <cell r="N226" t="str">
            <v>-</v>
          </cell>
          <cell r="P226">
            <v>0</v>
          </cell>
        </row>
        <row r="227">
          <cell r="J227" t="str">
            <v>9.14</v>
          </cell>
          <cell r="L227" t="str">
            <v>Mesin Gilas Penggetar 5-8 ton</v>
          </cell>
          <cell r="M227" t="str">
            <v>Jam</v>
          </cell>
          <cell r="N227" t="str">
            <v>-</v>
          </cell>
          <cell r="P227">
            <v>0</v>
          </cell>
        </row>
        <row r="228">
          <cell r="J228" t="str">
            <v>9.15</v>
          </cell>
          <cell r="L228" t="str">
            <v>Pemadat Dgn. Penggetar 1.5-3 Hp</v>
          </cell>
          <cell r="M228" t="str">
            <v>Jam</v>
          </cell>
          <cell r="N228" t="str">
            <v>-</v>
          </cell>
          <cell r="P228">
            <v>0</v>
          </cell>
        </row>
        <row r="229">
          <cell r="J229" t="str">
            <v>9.16</v>
          </cell>
          <cell r="L229" t="str">
            <v>Mesin Gilas Roda Karet 8-10 ton</v>
          </cell>
          <cell r="M229" t="str">
            <v>Jam</v>
          </cell>
          <cell r="N229" t="str">
            <v>-</v>
          </cell>
          <cell r="P229">
            <v>0</v>
          </cell>
        </row>
        <row r="230">
          <cell r="J230" t="str">
            <v>9.17</v>
          </cell>
          <cell r="L230" t="str">
            <v>Kompresor 4000-1500 l/m</v>
          </cell>
          <cell r="M230" t="str">
            <v>Jam</v>
          </cell>
          <cell r="N230" t="str">
            <v>-</v>
          </cell>
          <cell r="P230">
            <v>0</v>
          </cell>
        </row>
        <row r="231">
          <cell r="J231" t="str">
            <v>9.18</v>
          </cell>
          <cell r="L231" t="str">
            <v>Mesin Pengaduk Beton 0.3-0.6 m3</v>
          </cell>
          <cell r="M231" t="str">
            <v>Jam</v>
          </cell>
          <cell r="N231" t="str">
            <v>-</v>
          </cell>
          <cell r="P231">
            <v>0</v>
          </cell>
        </row>
        <row r="232">
          <cell r="J232" t="str">
            <v>9.19</v>
          </cell>
          <cell r="L232" t="str">
            <v>Pompa Air 70-100 mm</v>
          </cell>
          <cell r="M232" t="str">
            <v>Jam</v>
          </cell>
          <cell r="N232" t="str">
            <v>-</v>
          </cell>
          <cell r="P232">
            <v>0</v>
          </cell>
        </row>
        <row r="233">
          <cell r="J233" t="str">
            <v>9.20</v>
          </cell>
          <cell r="L233" t="str">
            <v>Benkelman Beam Test</v>
          </cell>
          <cell r="M233" t="str">
            <v>Titik</v>
          </cell>
          <cell r="N233" t="str">
            <v>-</v>
          </cell>
          <cell r="P233">
            <v>0</v>
          </cell>
        </row>
        <row r="234">
          <cell r="J234" t="str">
            <v>9.21</v>
          </cell>
          <cell r="L234" t="str">
            <v>DCP Test</v>
          </cell>
          <cell r="M234" t="str">
            <v>Titik</v>
          </cell>
          <cell r="N234" t="str">
            <v>-</v>
          </cell>
          <cell r="P234">
            <v>0</v>
          </cell>
        </row>
        <row r="236">
          <cell r="L236" t="str">
            <v>Jumlah Harga Pekerjaan Bab 9  (Dipindahkan ke Rekapitulasi Biaya)</v>
          </cell>
          <cell r="P236">
            <v>0</v>
          </cell>
        </row>
        <row r="238">
          <cell r="J238" t="str">
            <v>PROYEK</v>
          </cell>
          <cell r="K238" t="str">
            <v>:</v>
          </cell>
          <cell r="L238" t="str">
            <v>PENINGKATAN PRASARANA JALAN PROPINSI CABANG DINAS PU KOTAMOBAGU</v>
          </cell>
        </row>
        <row r="239">
          <cell r="L239" t="str">
            <v>DI KABUPATEN BOLAANG MONGONDOW WILAYAH  III</v>
          </cell>
        </row>
        <row r="240">
          <cell r="J240" t="str">
            <v>PAKET</v>
          </cell>
          <cell r="K240" t="str">
            <v>:</v>
          </cell>
          <cell r="L240" t="str">
            <v>KEMA - BELANG - MOLOBOG (SEKSI VIII), TARGET 2,50 KM</v>
          </cell>
        </row>
        <row r="241">
          <cell r="J241" t="str">
            <v>PROPINSI</v>
          </cell>
          <cell r="K241" t="str">
            <v>:</v>
          </cell>
          <cell r="L241" t="str">
            <v>SULAWESI UTARA</v>
          </cell>
        </row>
        <row r="242">
          <cell r="J242" t="str">
            <v>MATA</v>
          </cell>
          <cell r="M242" t="str">
            <v>SA</v>
          </cell>
          <cell r="N242" t="str">
            <v>PERKIRAAN</v>
          </cell>
          <cell r="O242" t="str">
            <v>HARGA</v>
          </cell>
          <cell r="P242" t="str">
            <v>HARGA</v>
          </cell>
        </row>
        <row r="243">
          <cell r="J243" t="str">
            <v>PEMBA</v>
          </cell>
          <cell r="L243" t="str">
            <v>URAIAN</v>
          </cell>
          <cell r="M243" t="str">
            <v>TU</v>
          </cell>
          <cell r="N243" t="str">
            <v>KUANTITAS</v>
          </cell>
          <cell r="O243" t="str">
            <v>SATUAN</v>
          </cell>
          <cell r="P243" t="str">
            <v>PEKERJAAN</v>
          </cell>
        </row>
        <row r="244">
          <cell r="J244" t="str">
            <v>YARAN</v>
          </cell>
          <cell r="M244" t="str">
            <v>AN</v>
          </cell>
          <cell r="O244" t="str">
            <v>( Rp.)</v>
          </cell>
          <cell r="P244" t="str">
            <v>( Rp.)</v>
          </cell>
        </row>
        <row r="245">
          <cell r="J245" t="str">
            <v>a</v>
          </cell>
          <cell r="L245" t="str">
            <v>b</v>
          </cell>
          <cell r="M245" t="str">
            <v>c</v>
          </cell>
          <cell r="N245" t="str">
            <v>d</v>
          </cell>
          <cell r="O245" t="str">
            <v>e</v>
          </cell>
          <cell r="P245" t="str">
            <v>f=(d x e)</v>
          </cell>
        </row>
        <row r="247">
          <cell r="J247" t="str">
            <v>BAB. X</v>
          </cell>
          <cell r="L247" t="str">
            <v>PEKERJAAN PEMELIHARAAN</v>
          </cell>
        </row>
        <row r="248">
          <cell r="L248" t="str">
            <v>RUTIN</v>
          </cell>
        </row>
        <row r="250">
          <cell r="J250" t="str">
            <v>10.1(1)</v>
          </cell>
          <cell r="L250" t="str">
            <v>Pemeliharaan Rutin Perkerasan</v>
          </cell>
          <cell r="M250" t="str">
            <v>Km</v>
          </cell>
        </row>
        <row r="252">
          <cell r="J252" t="str">
            <v>10.1(2)</v>
          </cell>
          <cell r="L252" t="str">
            <v>Pemeliharaan Rutin Bahu Jalan</v>
          </cell>
          <cell r="M252" t="str">
            <v>Km</v>
          </cell>
        </row>
        <row r="254">
          <cell r="J254" t="str">
            <v>10.1(3)</v>
          </cell>
          <cell r="L254" t="str">
            <v>Pemeliharaan Rutin Selokan,</v>
          </cell>
          <cell r="M254" t="str">
            <v>Km</v>
          </cell>
        </row>
        <row r="255">
          <cell r="L255" t="str">
            <v>Saluran Air, Pemotongan Dan</v>
          </cell>
        </row>
        <row r="256">
          <cell r="L256" t="str">
            <v>Urugan</v>
          </cell>
        </row>
        <row r="258">
          <cell r="J258" t="str">
            <v>10.1(5)</v>
          </cell>
          <cell r="L258" t="str">
            <v>Pemeliharaan Rutin Jembatan</v>
          </cell>
          <cell r="M258" t="str">
            <v>Bh</v>
          </cell>
        </row>
        <row r="262">
          <cell r="L262" t="str">
            <v>Jumlah Harga Pekerjaan Bab 10  (Dipindahkan ke Rekapitulasi Biaya)</v>
          </cell>
          <cell r="P26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a teknik"/>
      <sheetName val="lti-gelagar kayu"/>
      <sheetName val="b-strktur-k-350"/>
      <sheetName val="cat-besi"/>
      <sheetName val="tmbrisan"/>
      <sheetName val="urg-pasir"/>
      <sheetName val="BRONJONG"/>
      <sheetName val="SIARAN"/>
      <sheetName val="PLESTERAN"/>
      <sheetName val="PAS-B-Parit"/>
      <sheetName val="TIANG PENGAMAN"/>
      <sheetName val="SAND SHEET"/>
      <sheetName val="PERANCAH"/>
      <sheetName val="PENGECETAN"/>
      <sheetName val="Rawat-JBT"/>
      <sheetName val="PAS.BATU"/>
      <sheetName val="BETON-K225"/>
      <sheetName val="BETON K-175"/>
      <sheetName val="BETON K-125"/>
      <sheetName val="TULANGAN"/>
      <sheetName val="BEGISTING"/>
      <sheetName val="lapen-3"/>
      <sheetName val="lapen-krl"/>
      <sheetName val="PACTHING"/>
      <sheetName val="LPA-KLAS B"/>
      <sheetName val="BURAS"/>
      <sheetName val="LPA KLAS A"/>
      <sheetName val="PARIT-A"/>
      <sheetName val="PARIT-samping"/>
      <sheetName val="MEMOTONG BAHU"/>
      <sheetName val="SUB-GRADE"/>
      <sheetName val="TIMBUNAN"/>
      <sheetName val="PADAT-GRG"/>
      <sheetName val="GAL.KONST"/>
      <sheetName val="PAS.BATU PARIT"/>
      <sheetName val="PARIT GAL.TNH (M)"/>
      <sheetName val="K-018"/>
      <sheetName val="K-017"/>
      <sheetName val="K-016"/>
      <sheetName val="K-013"/>
      <sheetName val="K-012"/>
      <sheetName val="h-tenaga"/>
      <sheetName val="h-alat"/>
      <sheetName val="h-bhn"/>
      <sheetName val="anl.harga"/>
      <sheetName val="BAHU"/>
      <sheetName val="DAMIJA"/>
      <sheetName val="GALIAN"/>
      <sheetName val="PARIT GAL.TNH"/>
      <sheetName val="LPB KLAS C"/>
      <sheetName val="lapen-5"/>
      <sheetName val="skema-tenaga"/>
      <sheetName val="skema-bahan"/>
      <sheetName val="LS-PERSIAPAN"/>
      <sheetName val="UKUR"/>
      <sheetName val="RAB GRG2"/>
      <sheetName val="s-jadi (2)"/>
      <sheetName val="RAB (4)"/>
      <sheetName val="RAB (JEMBATAN 11 mtr)"/>
      <sheetName val="RAB"/>
      <sheetName val="RAB (JEMBATAN 6 mtr)"/>
      <sheetName val="REKAPITULASI"/>
      <sheetName val="anl.alat"/>
      <sheetName val="s-jadi"/>
      <sheetName val="SKEMA KERJA"/>
      <sheetName val="Sheet1"/>
      <sheetName val="sampul"/>
    </sheetNames>
    <sheetDataSet>
      <sheetData sheetId="0" refreshError="1"/>
      <sheetData sheetId="1" refreshError="1">
        <row r="56">
          <cell r="K56">
            <v>91862.5</v>
          </cell>
        </row>
      </sheetData>
      <sheetData sheetId="2" refreshError="1"/>
      <sheetData sheetId="3" refreshError="1">
        <row r="56">
          <cell r="K56">
            <v>24365</v>
          </cell>
        </row>
      </sheetData>
      <sheetData sheetId="4" refreshError="1">
        <row r="56">
          <cell r="K56">
            <v>368625</v>
          </cell>
        </row>
      </sheetData>
      <sheetData sheetId="5" refreshError="1">
        <row r="56">
          <cell r="K56">
            <v>93697.5</v>
          </cell>
        </row>
      </sheetData>
      <sheetData sheetId="6" refreshError="1">
        <row r="56">
          <cell r="K56">
            <v>644460</v>
          </cell>
        </row>
      </sheetData>
      <sheetData sheetId="7" refreshError="1">
        <row r="57">
          <cell r="K57">
            <v>26061.75</v>
          </cell>
        </row>
      </sheetData>
      <sheetData sheetId="8" refreshError="1">
        <row r="57">
          <cell r="K57">
            <v>29513.752288000003</v>
          </cell>
        </row>
      </sheetData>
      <sheetData sheetId="9" refreshError="1">
        <row r="58">
          <cell r="K58">
            <v>629028.38615384616</v>
          </cell>
        </row>
      </sheetData>
      <sheetData sheetId="10" refreshError="1">
        <row r="57">
          <cell r="K57">
            <v>245612.88484185186</v>
          </cell>
        </row>
      </sheetData>
      <sheetData sheetId="11" refreshError="1">
        <row r="57">
          <cell r="K57">
            <v>29882.4326</v>
          </cell>
        </row>
      </sheetData>
      <sheetData sheetId="12" refreshError="1">
        <row r="56">
          <cell r="K56">
            <v>375276.25</v>
          </cell>
        </row>
      </sheetData>
      <sheetData sheetId="13" refreshError="1">
        <row r="59">
          <cell r="K59">
            <v>24665</v>
          </cell>
        </row>
      </sheetData>
      <sheetData sheetId="14" refreshError="1">
        <row r="57">
          <cell r="K57">
            <v>33068.840543999999</v>
          </cell>
        </row>
      </sheetData>
      <sheetData sheetId="15" refreshError="1"/>
      <sheetData sheetId="16" refreshError="1">
        <row r="57">
          <cell r="K57">
            <v>909238.94419393945</v>
          </cell>
        </row>
      </sheetData>
      <sheetData sheetId="17" refreshError="1"/>
      <sheetData sheetId="18" refreshError="1"/>
      <sheetData sheetId="19" refreshError="1">
        <row r="56">
          <cell r="K56">
            <v>44223.958333333336</v>
          </cell>
        </row>
      </sheetData>
      <sheetData sheetId="20" refreshError="1">
        <row r="56">
          <cell r="K56">
            <v>43854.166666666664</v>
          </cell>
        </row>
      </sheetData>
      <sheetData sheetId="21" refreshError="1">
        <row r="60">
          <cell r="K60">
            <v>77269.488042857149</v>
          </cell>
        </row>
      </sheetData>
      <sheetData sheetId="22" refreshError="1">
        <row r="60">
          <cell r="K60">
            <v>91033.327328571439</v>
          </cell>
        </row>
      </sheetData>
      <sheetData sheetId="23" refreshError="1">
        <row r="58">
          <cell r="K58">
            <v>10092.846267619048</v>
          </cell>
        </row>
      </sheetData>
      <sheetData sheetId="24" refreshError="1">
        <row r="55">
          <cell r="K55">
            <v>268821.17471111112</v>
          </cell>
        </row>
      </sheetData>
      <sheetData sheetId="25" refreshError="1">
        <row r="57">
          <cell r="K57">
            <v>22764.517200000002</v>
          </cell>
        </row>
      </sheetData>
      <sheetData sheetId="26" refreshError="1">
        <row r="56">
          <cell r="K56">
            <v>141670.44127083334</v>
          </cell>
        </row>
      </sheetData>
      <sheetData sheetId="27" refreshError="1">
        <row r="56">
          <cell r="K56">
            <v>3312.3402500000002</v>
          </cell>
        </row>
      </sheetData>
      <sheetData sheetId="28" refreshError="1">
        <row r="54">
          <cell r="K54">
            <v>5841.4760800000004</v>
          </cell>
        </row>
      </sheetData>
      <sheetData sheetId="29" refreshError="1"/>
      <sheetData sheetId="30" refreshError="1">
        <row r="56">
          <cell r="K56">
            <v>561.428225</v>
          </cell>
        </row>
      </sheetData>
      <sheetData sheetId="31" refreshError="1">
        <row r="56">
          <cell r="K56">
            <v>81580.206433333326</v>
          </cell>
        </row>
      </sheetData>
      <sheetData sheetId="32" refreshError="1">
        <row r="53">
          <cell r="K53">
            <v>245167.75200000001</v>
          </cell>
        </row>
      </sheetData>
      <sheetData sheetId="33" refreshError="1">
        <row r="53">
          <cell r="K53">
            <v>53000</v>
          </cell>
        </row>
      </sheetData>
      <sheetData sheetId="34" refreshError="1"/>
      <sheetData sheetId="35" refreshError="1"/>
      <sheetData sheetId="36" refreshError="1">
        <row r="57">
          <cell r="K57">
            <v>244196.671</v>
          </cell>
        </row>
      </sheetData>
      <sheetData sheetId="37" refreshError="1">
        <row r="59">
          <cell r="K59">
            <v>196022.71266666666</v>
          </cell>
        </row>
      </sheetData>
      <sheetData sheetId="38" refreshError="1">
        <row r="53">
          <cell r="K53">
            <v>184958.62983333334</v>
          </cell>
        </row>
      </sheetData>
      <sheetData sheetId="39" refreshError="1">
        <row r="49">
          <cell r="K49">
            <v>65771.635800000004</v>
          </cell>
        </row>
      </sheetData>
      <sheetData sheetId="40" refreshError="1">
        <row r="49">
          <cell r="K49">
            <v>85126.68475</v>
          </cell>
        </row>
      </sheetData>
      <sheetData sheetId="41" refreshError="1">
        <row r="12">
          <cell r="H12">
            <v>35000</v>
          </cell>
        </row>
        <row r="16">
          <cell r="H16">
            <v>35000</v>
          </cell>
        </row>
        <row r="17">
          <cell r="H17">
            <v>30000</v>
          </cell>
        </row>
        <row r="18">
          <cell r="H18">
            <v>50000</v>
          </cell>
        </row>
        <row r="19">
          <cell r="H19">
            <v>35000</v>
          </cell>
        </row>
        <row r="20">
          <cell r="H20">
            <v>30000</v>
          </cell>
        </row>
        <row r="21">
          <cell r="H21">
            <v>35000</v>
          </cell>
        </row>
        <row r="22">
          <cell r="H22">
            <v>32500</v>
          </cell>
        </row>
        <row r="23">
          <cell r="H23">
            <v>30000</v>
          </cell>
        </row>
        <row r="24">
          <cell r="H24">
            <v>50000</v>
          </cell>
        </row>
      </sheetData>
      <sheetData sheetId="42" refreshError="1">
        <row r="10">
          <cell r="H10">
            <v>345216.4</v>
          </cell>
        </row>
        <row r="11">
          <cell r="H11">
            <v>295016.27999999997</v>
          </cell>
        </row>
        <row r="12">
          <cell r="H12">
            <v>373424.24</v>
          </cell>
        </row>
        <row r="13">
          <cell r="H13">
            <v>245319.58000000002</v>
          </cell>
        </row>
        <row r="14">
          <cell r="H14">
            <v>243377.6</v>
          </cell>
        </row>
        <row r="16">
          <cell r="H16">
            <v>132892</v>
          </cell>
        </row>
        <row r="17">
          <cell r="H17">
            <v>99466.3</v>
          </cell>
        </row>
        <row r="18">
          <cell r="H18">
            <v>144055.9</v>
          </cell>
        </row>
        <row r="19">
          <cell r="H19">
            <v>34446.36</v>
          </cell>
        </row>
        <row r="21">
          <cell r="H21">
            <v>221294.38</v>
          </cell>
        </row>
        <row r="22">
          <cell r="H22">
            <v>83663.92</v>
          </cell>
        </row>
        <row r="23">
          <cell r="H23">
            <v>155547.54800000001</v>
          </cell>
        </row>
        <row r="24">
          <cell r="H24">
            <v>162017.86800000002</v>
          </cell>
        </row>
        <row r="25">
          <cell r="H25">
            <v>160723.804</v>
          </cell>
        </row>
        <row r="26">
          <cell r="H26">
            <v>165900.06</v>
          </cell>
        </row>
        <row r="28">
          <cell r="H28">
            <v>26846.3776</v>
          </cell>
        </row>
        <row r="29">
          <cell r="H29">
            <v>10531.36</v>
          </cell>
        </row>
        <row r="30">
          <cell r="H30">
            <v>14590.856</v>
          </cell>
        </row>
        <row r="31">
          <cell r="H31">
            <v>24953.279999999999</v>
          </cell>
        </row>
        <row r="32">
          <cell r="H32">
            <v>11012.6144</v>
          </cell>
        </row>
      </sheetData>
      <sheetData sheetId="43" refreshError="1">
        <row r="10">
          <cell r="H10">
            <v>15937.5</v>
          </cell>
        </row>
        <row r="11">
          <cell r="H11">
            <v>15937.5</v>
          </cell>
        </row>
        <row r="12">
          <cell r="H12">
            <v>150000</v>
          </cell>
        </row>
        <row r="13">
          <cell r="H13">
            <v>168750</v>
          </cell>
        </row>
        <row r="14">
          <cell r="H14">
            <v>168750</v>
          </cell>
        </row>
        <row r="15">
          <cell r="H15">
            <v>221437.5</v>
          </cell>
        </row>
        <row r="18">
          <cell r="H18">
            <v>187500</v>
          </cell>
        </row>
        <row r="19">
          <cell r="H19">
            <v>210000</v>
          </cell>
        </row>
        <row r="21">
          <cell r="H21">
            <v>127500</v>
          </cell>
        </row>
        <row r="23">
          <cell r="H23">
            <v>37500</v>
          </cell>
        </row>
        <row r="24">
          <cell r="H24">
            <v>15450</v>
          </cell>
        </row>
        <row r="25">
          <cell r="H25">
            <v>2700</v>
          </cell>
        </row>
        <row r="30">
          <cell r="H30">
            <v>13500</v>
          </cell>
        </row>
        <row r="32">
          <cell r="H32">
            <v>1350000</v>
          </cell>
        </row>
        <row r="33">
          <cell r="H33">
            <v>5500</v>
          </cell>
        </row>
        <row r="34">
          <cell r="H34">
            <v>5625</v>
          </cell>
        </row>
        <row r="35">
          <cell r="H35">
            <v>18750</v>
          </cell>
        </row>
        <row r="37">
          <cell r="H37">
            <v>45000</v>
          </cell>
        </row>
        <row r="38">
          <cell r="H38">
            <v>1350000</v>
          </cell>
        </row>
        <row r="39">
          <cell r="H39">
            <v>27600</v>
          </cell>
        </row>
        <row r="40">
          <cell r="H40">
            <v>22500</v>
          </cell>
        </row>
        <row r="42">
          <cell r="H42">
            <v>1875000</v>
          </cell>
        </row>
        <row r="43">
          <cell r="H43">
            <v>1875000</v>
          </cell>
        </row>
      </sheetData>
      <sheetData sheetId="44" refreshError="1"/>
      <sheetData sheetId="45" refreshError="1"/>
      <sheetData sheetId="46" refreshError="1">
        <row r="53">
          <cell r="K53">
            <v>812.95083333333332</v>
          </cell>
        </row>
      </sheetData>
      <sheetData sheetId="47" refreshError="1">
        <row r="56">
          <cell r="K56">
            <v>41753.8125</v>
          </cell>
        </row>
      </sheetData>
      <sheetData sheetId="48" refreshError="1">
        <row r="57">
          <cell r="K57">
            <v>20829.84045</v>
          </cell>
        </row>
      </sheetData>
      <sheetData sheetId="49" refreshError="1">
        <row r="56">
          <cell r="K56">
            <v>141764.33166666667</v>
          </cell>
        </row>
      </sheetData>
      <sheetData sheetId="50" refreshError="1">
        <row r="60">
          <cell r="K60">
            <v>91905.202328571439</v>
          </cell>
        </row>
      </sheetData>
      <sheetData sheetId="51" refreshError="1"/>
      <sheetData sheetId="52" refreshError="1"/>
      <sheetData sheetId="53" refreshError="1"/>
      <sheetData sheetId="54" refreshError="1"/>
      <sheetData sheetId="55" refreshError="1"/>
      <sheetData sheetId="56" refreshError="1">
        <row r="114">
          <cell r="H114">
            <v>350000</v>
          </cell>
        </row>
        <row r="116">
          <cell r="H116">
            <v>210000</v>
          </cell>
        </row>
        <row r="118">
          <cell r="H118">
            <v>35000</v>
          </cell>
        </row>
        <row r="120">
          <cell r="H120">
            <v>275000</v>
          </cell>
        </row>
      </sheetData>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REKENING KARANGPULE"/>
      <sheetName val="DATA BASE PER DESA-KELURAHAN"/>
      <sheetName val="Upah Bahan"/>
      <sheetName val="21"/>
      <sheetName val="15"/>
      <sheetName val="16"/>
      <sheetName val="13"/>
      <sheetName val="19"/>
      <sheetName val="INFORMASI TOKO DAN KSM"/>
      <sheetName val="Sheet1"/>
      <sheetName val="Sheet2"/>
      <sheetName val="8"/>
      <sheetName val="19 (2)"/>
      <sheetName val="Sheet3"/>
    </sheetNames>
    <sheetDataSet>
      <sheetData sheetId="0">
        <row r="9">
          <cell r="A9">
            <v>1</v>
          </cell>
          <cell r="B9" t="str">
            <v>SARNI</v>
          </cell>
          <cell r="C9" t="str">
            <v>P</v>
          </cell>
          <cell r="D9" t="str">
            <v>3305145108820003</v>
          </cell>
          <cell r="E9" t="str">
            <v>DUSUN BAKUNG RT 01/RW 01</v>
          </cell>
          <cell r="F9" t="str">
            <v>KARANGPULE</v>
          </cell>
          <cell r="G9" t="str">
            <v>SRUWENG</v>
          </cell>
          <cell r="H9" t="str">
            <v>KEBUMEN</v>
          </cell>
          <cell r="I9" t="str">
            <v>JAWA TENGAH</v>
          </cell>
          <cell r="J9">
            <v>10000000</v>
          </cell>
          <cell r="K9" t="str">
            <v>00696</v>
          </cell>
          <cell r="L9" t="str">
            <v>KCP Kebumen</v>
          </cell>
          <cell r="M9" t="str">
            <v>3113013305145108820003</v>
          </cell>
          <cell r="N9" t="str">
            <v>0000069601590007371</v>
          </cell>
          <cell r="O9" t="str">
            <v>SR58167</v>
          </cell>
        </row>
        <row r="10">
          <cell r="A10">
            <v>2</v>
          </cell>
          <cell r="B10" t="str">
            <v>MOCH. MUSLIH</v>
          </cell>
          <cell r="C10" t="str">
            <v>L</v>
          </cell>
          <cell r="D10" t="str">
            <v>3305140506870001</v>
          </cell>
          <cell r="E10" t="str">
            <v>KARANGPULE RT 02/RW 03</v>
          </cell>
          <cell r="F10" t="str">
            <v>KARANGPULE</v>
          </cell>
          <cell r="G10" t="str">
            <v>SRUWENG</v>
          </cell>
          <cell r="H10" t="str">
            <v>KEBUMEN</v>
          </cell>
          <cell r="I10" t="str">
            <v>JAWA TENGAH</v>
          </cell>
          <cell r="J10">
            <v>10000000</v>
          </cell>
          <cell r="K10" t="str">
            <v>00696</v>
          </cell>
          <cell r="L10" t="str">
            <v>KCP Kebumen</v>
          </cell>
          <cell r="M10" t="str">
            <v>3113013305140506870001</v>
          </cell>
          <cell r="N10" t="str">
            <v>0000069601590003610</v>
          </cell>
          <cell r="O10" t="str">
            <v>MJ16094</v>
          </cell>
        </row>
        <row r="11">
          <cell r="A11">
            <v>3</v>
          </cell>
          <cell r="B11" t="str">
            <v>PUJI SUPRIYANTO</v>
          </cell>
          <cell r="C11" t="str">
            <v>L</v>
          </cell>
          <cell r="D11" t="str">
            <v>3305141904830005</v>
          </cell>
          <cell r="E11" t="str">
            <v>KARANGPULE RT 03/RW 04</v>
          </cell>
          <cell r="F11" t="str">
            <v>KARANGPULE</v>
          </cell>
          <cell r="G11" t="str">
            <v>SRUWENG</v>
          </cell>
          <cell r="H11" t="str">
            <v>KEBUMEN</v>
          </cell>
          <cell r="I11" t="str">
            <v>JAWA TENGAH</v>
          </cell>
          <cell r="J11">
            <v>10000000</v>
          </cell>
          <cell r="K11" t="str">
            <v>00696</v>
          </cell>
          <cell r="L11" t="str">
            <v>KCP Kebumen</v>
          </cell>
          <cell r="M11" t="str">
            <v>3113013305141904830005</v>
          </cell>
          <cell r="N11" t="str">
            <v>0000069601590005109</v>
          </cell>
          <cell r="O11" t="str">
            <v>P392694</v>
          </cell>
        </row>
        <row r="12">
          <cell r="A12">
            <v>4</v>
          </cell>
          <cell r="B12" t="str">
            <v>SODIRAN</v>
          </cell>
          <cell r="C12" t="str">
            <v>L</v>
          </cell>
          <cell r="D12" t="str">
            <v>3305140510600005</v>
          </cell>
          <cell r="E12" t="str">
            <v>KARANGPULE RT 02/RW 04</v>
          </cell>
          <cell r="F12" t="str">
            <v>KARANGPULE</v>
          </cell>
          <cell r="G12" t="str">
            <v>SRUWENG</v>
          </cell>
          <cell r="H12" t="str">
            <v>KEBUMEN</v>
          </cell>
          <cell r="I12" t="str">
            <v>JAWA TENGAH</v>
          </cell>
          <cell r="J12">
            <v>15000000</v>
          </cell>
          <cell r="K12" t="str">
            <v>00696</v>
          </cell>
          <cell r="L12" t="str">
            <v>KCP Kebumen</v>
          </cell>
          <cell r="M12" t="str">
            <v>3113013305140510600005</v>
          </cell>
          <cell r="N12" t="str">
            <v>0000069601590008131</v>
          </cell>
          <cell r="O12" t="str">
            <v>SR58243</v>
          </cell>
        </row>
        <row r="13">
          <cell r="A13">
            <v>5</v>
          </cell>
          <cell r="B13" t="str">
            <v>SUMARMIN</v>
          </cell>
          <cell r="C13" t="str">
            <v>L</v>
          </cell>
          <cell r="D13" t="str">
            <v>3305140407710001</v>
          </cell>
          <cell r="E13" t="str">
            <v>KARANGPULE RT 03/RW 04</v>
          </cell>
          <cell r="F13" t="str">
            <v>KARANGPULE</v>
          </cell>
          <cell r="G13" t="str">
            <v>SRUWENG</v>
          </cell>
          <cell r="H13" t="str">
            <v>KEBUMEN</v>
          </cell>
          <cell r="I13" t="str">
            <v>JAWA TENGAH</v>
          </cell>
          <cell r="J13">
            <v>10000000</v>
          </cell>
          <cell r="K13" t="str">
            <v>00696</v>
          </cell>
          <cell r="L13" t="str">
            <v>KCP Kebumen</v>
          </cell>
          <cell r="M13" t="str">
            <v>3113013305140407710001</v>
          </cell>
          <cell r="N13" t="str">
            <v>0000069601590008717</v>
          </cell>
          <cell r="O13" t="str">
            <v>SR58301</v>
          </cell>
        </row>
        <row r="14">
          <cell r="A14">
            <v>6</v>
          </cell>
          <cell r="B14" t="str">
            <v>SUPARMAN</v>
          </cell>
          <cell r="C14" t="str">
            <v>L</v>
          </cell>
          <cell r="D14" t="str">
            <v>3305140711700002</v>
          </cell>
          <cell r="E14" t="str">
            <v>KARANGPULE RT 03/RW 04</v>
          </cell>
          <cell r="F14" t="str">
            <v>KARANGPULE</v>
          </cell>
          <cell r="G14" t="str">
            <v>SRUWENG</v>
          </cell>
          <cell r="H14" t="str">
            <v>KEBUMEN</v>
          </cell>
          <cell r="I14" t="str">
            <v>JAWA TENGAH</v>
          </cell>
          <cell r="J14">
            <v>15000000</v>
          </cell>
          <cell r="K14" t="str">
            <v>00696</v>
          </cell>
          <cell r="L14" t="str">
            <v>KCP Kebumen</v>
          </cell>
          <cell r="M14" t="str">
            <v>3113013305140711700002</v>
          </cell>
          <cell r="N14" t="str">
            <v>0000069601590009056</v>
          </cell>
          <cell r="O14" t="str">
            <v>SR58335</v>
          </cell>
        </row>
        <row r="15">
          <cell r="A15">
            <v>7</v>
          </cell>
          <cell r="B15" t="str">
            <v>SURYADI</v>
          </cell>
          <cell r="C15" t="str">
            <v>L</v>
          </cell>
          <cell r="D15" t="str">
            <v>3305140411800001</v>
          </cell>
          <cell r="E15" t="str">
            <v>KARANGPULE RT 03/RW 04</v>
          </cell>
          <cell r="F15" t="str">
            <v>KARANGPULE</v>
          </cell>
          <cell r="G15" t="str">
            <v>SRUWENG</v>
          </cell>
          <cell r="H15" t="str">
            <v>KEBUMEN</v>
          </cell>
          <cell r="I15" t="str">
            <v>JAWA TENGAH</v>
          </cell>
          <cell r="J15">
            <v>10000000</v>
          </cell>
          <cell r="K15" t="str">
            <v>00696</v>
          </cell>
          <cell r="L15" t="str">
            <v>KCP Kebumen</v>
          </cell>
          <cell r="M15" t="str">
            <v>3113013305140411800001</v>
          </cell>
          <cell r="N15" t="str">
            <v>0000069601590009250</v>
          </cell>
          <cell r="O15" t="str">
            <v>SR58355</v>
          </cell>
        </row>
        <row r="16">
          <cell r="A16">
            <v>8</v>
          </cell>
          <cell r="B16" t="str">
            <v>MAKSUDI</v>
          </cell>
          <cell r="C16" t="str">
            <v>L</v>
          </cell>
          <cell r="D16" t="str">
            <v>3305142809840002</v>
          </cell>
          <cell r="E16" t="str">
            <v>KARANGJATI TENGAH RT 03/RW 04</v>
          </cell>
          <cell r="F16" t="str">
            <v>KARANGPULE</v>
          </cell>
          <cell r="G16" t="str">
            <v>SRUWENG</v>
          </cell>
          <cell r="H16" t="str">
            <v>KEBUMEN</v>
          </cell>
          <cell r="I16" t="str">
            <v>JAWA TENGAH</v>
          </cell>
          <cell r="J16">
            <v>10000000</v>
          </cell>
          <cell r="K16" t="str">
            <v>00696</v>
          </cell>
          <cell r="L16" t="str">
            <v>KCP Kebumen</v>
          </cell>
          <cell r="M16" t="str">
            <v>3113013305142809840002</v>
          </cell>
          <cell r="N16" t="str">
            <v>0000069601590003092</v>
          </cell>
          <cell r="O16" t="str">
            <v>MJ16042</v>
          </cell>
        </row>
        <row r="17">
          <cell r="A17">
            <v>9</v>
          </cell>
          <cell r="B17" t="str">
            <v>SUWANDI</v>
          </cell>
          <cell r="C17" t="str">
            <v>L</v>
          </cell>
          <cell r="D17" t="str">
            <v>3305140101530005</v>
          </cell>
          <cell r="E17" t="str">
            <v>KARANGJATI UTARA RT 01/RW 05</v>
          </cell>
          <cell r="F17" t="str">
            <v>KARANGPULE</v>
          </cell>
          <cell r="G17" t="str">
            <v>SRUWENG</v>
          </cell>
          <cell r="H17" t="str">
            <v>KEBUMEN</v>
          </cell>
          <cell r="I17" t="str">
            <v>JAWA TENGAH</v>
          </cell>
          <cell r="J17">
            <v>10000000</v>
          </cell>
          <cell r="K17" t="str">
            <v>00696</v>
          </cell>
          <cell r="L17" t="str">
            <v>KCP Kebumen</v>
          </cell>
          <cell r="M17" t="str">
            <v>3113013305140101530005</v>
          </cell>
          <cell r="N17" t="str">
            <v>0000069601590009446</v>
          </cell>
          <cell r="O17" t="str">
            <v>SR58374</v>
          </cell>
        </row>
        <row r="18">
          <cell r="A18">
            <v>10</v>
          </cell>
          <cell r="B18" t="str">
            <v>SETIJOWATI</v>
          </cell>
          <cell r="C18" t="str">
            <v>P</v>
          </cell>
          <cell r="D18" t="str">
            <v>3305145007550004</v>
          </cell>
          <cell r="E18" t="str">
            <v>KARANGJATI UTARA RT 01/RW 05</v>
          </cell>
          <cell r="F18" t="str">
            <v>KARANGPULE</v>
          </cell>
          <cell r="G18" t="str">
            <v>SRUWENG</v>
          </cell>
          <cell r="H18" t="str">
            <v>KEBUMEN</v>
          </cell>
          <cell r="I18" t="str">
            <v>JAWA TENGAH</v>
          </cell>
          <cell r="J18">
            <v>15000000</v>
          </cell>
          <cell r="K18" t="str">
            <v>00696</v>
          </cell>
          <cell r="L18" t="str">
            <v>KCP Kebumen</v>
          </cell>
          <cell r="M18" t="str">
            <v>3113013305145007550004</v>
          </cell>
          <cell r="N18" t="str">
            <v>0000069601590007711</v>
          </cell>
          <cell r="O18" t="str">
            <v>SR58201</v>
          </cell>
        </row>
        <row r="19">
          <cell r="A19">
            <v>11</v>
          </cell>
          <cell r="B19" t="str">
            <v>ABDUL KOHAR</v>
          </cell>
          <cell r="C19" t="str">
            <v>L</v>
          </cell>
          <cell r="D19" t="str">
            <v>3305140108420001</v>
          </cell>
          <cell r="E19" t="str">
            <v>KARANGJATI UTARA RT 01/RW 05</v>
          </cell>
          <cell r="F19" t="str">
            <v>KARANGPULE</v>
          </cell>
          <cell r="G19" t="str">
            <v>SRUWENG</v>
          </cell>
          <cell r="H19" t="str">
            <v>KEBUMEN</v>
          </cell>
          <cell r="I19" t="str">
            <v>JAWA TENGAH</v>
          </cell>
          <cell r="J19">
            <v>15000000</v>
          </cell>
          <cell r="K19" t="str">
            <v>00696</v>
          </cell>
          <cell r="L19" t="str">
            <v>KCP Kebumen</v>
          </cell>
          <cell r="M19" t="str">
            <v>3113013305140108420001</v>
          </cell>
          <cell r="N19" t="str">
            <v>0000069601590000117</v>
          </cell>
          <cell r="O19" t="str">
            <v>AK77966</v>
          </cell>
        </row>
        <row r="20">
          <cell r="A20">
            <v>12</v>
          </cell>
          <cell r="B20" t="str">
            <v>SAMIRAH</v>
          </cell>
          <cell r="C20" t="str">
            <v>P</v>
          </cell>
          <cell r="D20" t="str">
            <v>3305145701650003</v>
          </cell>
          <cell r="E20" t="str">
            <v>KARANGJATI UTARA RT 01/RW 05</v>
          </cell>
          <cell r="F20" t="str">
            <v>KARANGPULE</v>
          </cell>
          <cell r="G20" t="str">
            <v>SRUWENG</v>
          </cell>
          <cell r="H20" t="str">
            <v>KEBUMEN</v>
          </cell>
          <cell r="I20" t="str">
            <v>JAWA TENGAH</v>
          </cell>
          <cell r="J20">
            <v>15000000</v>
          </cell>
          <cell r="K20" t="str">
            <v>00696</v>
          </cell>
          <cell r="L20" t="str">
            <v>KCP Kebumen</v>
          </cell>
          <cell r="M20" t="str">
            <v>3113013305145701650003</v>
          </cell>
          <cell r="N20" t="str">
            <v>0000069601590006650</v>
          </cell>
          <cell r="O20" t="str">
            <v>SR58095</v>
          </cell>
        </row>
        <row r="21">
          <cell r="A21">
            <v>13</v>
          </cell>
          <cell r="B21" t="str">
            <v>SITI KHALIMAH</v>
          </cell>
          <cell r="C21" t="str">
            <v>P</v>
          </cell>
          <cell r="D21" t="str">
            <v>3305145009640003</v>
          </cell>
          <cell r="E21" t="str">
            <v>KARANGJATI UTARA RT 02/RW 05</v>
          </cell>
          <cell r="F21" t="str">
            <v>KARANGPULE</v>
          </cell>
          <cell r="G21" t="str">
            <v>SRUWENG</v>
          </cell>
          <cell r="H21" t="str">
            <v>KEBUMEN</v>
          </cell>
          <cell r="I21" t="str">
            <v>JAWA TENGAH</v>
          </cell>
          <cell r="J21">
            <v>15000000</v>
          </cell>
          <cell r="K21" t="str">
            <v>00696</v>
          </cell>
          <cell r="L21" t="str">
            <v>KCP Kebumen</v>
          </cell>
          <cell r="M21" t="str">
            <v>3113013305145009640003</v>
          </cell>
          <cell r="N21" t="str">
            <v>0000069601590007884</v>
          </cell>
          <cell r="O21" t="str">
            <v>SR58218</v>
          </cell>
        </row>
        <row r="22">
          <cell r="A22">
            <v>14</v>
          </cell>
          <cell r="B22" t="str">
            <v>MUHLIDIN</v>
          </cell>
          <cell r="C22" t="str">
            <v>L</v>
          </cell>
          <cell r="D22" t="str">
            <v>3305140209610002</v>
          </cell>
          <cell r="E22" t="str">
            <v>KARANGJATI UTARA RT 02/RW 05</v>
          </cell>
          <cell r="F22" t="str">
            <v>KARANGPULE</v>
          </cell>
          <cell r="G22" t="str">
            <v>SRUWENG</v>
          </cell>
          <cell r="H22" t="str">
            <v>KEBUMEN</v>
          </cell>
          <cell r="I22" t="str">
            <v>JAWA TENGAH</v>
          </cell>
          <cell r="J22">
            <v>10000000</v>
          </cell>
          <cell r="K22" t="str">
            <v>00696</v>
          </cell>
          <cell r="L22" t="str">
            <v>KCP Kebumen</v>
          </cell>
          <cell r="M22" t="str">
            <v>3113013305140209610002</v>
          </cell>
          <cell r="N22" t="str">
            <v>0000069601590003880</v>
          </cell>
          <cell r="O22" t="str">
            <v>MJ16121</v>
          </cell>
        </row>
        <row r="23">
          <cell r="A23">
            <v>15</v>
          </cell>
          <cell r="B23" t="str">
            <v>PAIRUN</v>
          </cell>
          <cell r="C23" t="str">
            <v>L</v>
          </cell>
          <cell r="D23" t="str">
            <v>3305140406640001</v>
          </cell>
          <cell r="E23" t="str">
            <v>KARANGJATI UTARA RT 02/RW 05</v>
          </cell>
          <cell r="F23" t="str">
            <v>KARANGPULE</v>
          </cell>
          <cell r="G23" t="str">
            <v>SRUWENG</v>
          </cell>
          <cell r="H23" t="str">
            <v>KEBUMEN</v>
          </cell>
          <cell r="I23" t="str">
            <v>JAWA TENGAH</v>
          </cell>
          <cell r="J23">
            <v>15000000</v>
          </cell>
          <cell r="K23" t="str">
            <v>00696</v>
          </cell>
          <cell r="L23" t="str">
            <v>KCP Kebumen</v>
          </cell>
          <cell r="M23" t="str">
            <v>3113013305140406640001</v>
          </cell>
          <cell r="N23" t="str">
            <v>0000069601590004763</v>
          </cell>
          <cell r="O23" t="str">
            <v>P392660</v>
          </cell>
        </row>
        <row r="24">
          <cell r="A24">
            <v>16</v>
          </cell>
          <cell r="B24" t="str">
            <v>SLAMET TURUT</v>
          </cell>
          <cell r="C24" t="str">
            <v>L</v>
          </cell>
          <cell r="D24" t="str">
            <v>3305141001520002</v>
          </cell>
          <cell r="E24" t="str">
            <v>KARANGJATI UTARA RT 02/RW 05</v>
          </cell>
          <cell r="F24" t="str">
            <v>KARANGPULE</v>
          </cell>
          <cell r="G24" t="str">
            <v>SRUWENG</v>
          </cell>
          <cell r="H24" t="str">
            <v>KEBUMEN</v>
          </cell>
          <cell r="I24" t="str">
            <v>JAWA TENGAH</v>
          </cell>
          <cell r="J24">
            <v>15000000</v>
          </cell>
          <cell r="K24" t="str">
            <v>00696</v>
          </cell>
          <cell r="L24" t="str">
            <v>KCP Kebumen</v>
          </cell>
          <cell r="M24" t="str">
            <v>3113013305141001520002</v>
          </cell>
          <cell r="N24" t="str">
            <v>0000069601590008050</v>
          </cell>
          <cell r="O24" t="str">
            <v>SR58235</v>
          </cell>
        </row>
        <row r="25">
          <cell r="A25">
            <v>17</v>
          </cell>
          <cell r="B25" t="str">
            <v>MARWIYAH</v>
          </cell>
          <cell r="C25" t="str">
            <v>P</v>
          </cell>
          <cell r="D25" t="str">
            <v>3305144107450006</v>
          </cell>
          <cell r="E25" t="str">
            <v>KARANGJATI UTARA RT 02/RW 05</v>
          </cell>
          <cell r="F25" t="str">
            <v>KARANGPULE</v>
          </cell>
          <cell r="G25" t="str">
            <v>SRUWENG</v>
          </cell>
          <cell r="H25" t="str">
            <v>KEBUMEN</v>
          </cell>
          <cell r="I25" t="str">
            <v>JAWA TENGAH</v>
          </cell>
          <cell r="J25">
            <v>15000000</v>
          </cell>
          <cell r="K25" t="str">
            <v>00696</v>
          </cell>
          <cell r="L25" t="str">
            <v>KCP Kebumen</v>
          </cell>
          <cell r="M25" t="str">
            <v>3113013305144107450006</v>
          </cell>
          <cell r="N25" t="str">
            <v>0000069601590003319</v>
          </cell>
          <cell r="O25" t="str">
            <v>MJ16064</v>
          </cell>
        </row>
        <row r="26">
          <cell r="A26">
            <v>18</v>
          </cell>
          <cell r="B26" t="str">
            <v>JEMIRAH</v>
          </cell>
          <cell r="C26" t="str">
            <v>P</v>
          </cell>
          <cell r="D26" t="str">
            <v>3305144107570005</v>
          </cell>
          <cell r="E26" t="str">
            <v>KARANGJATI UTARA RT 03/RW 05</v>
          </cell>
          <cell r="F26" t="str">
            <v>KARANGPULE</v>
          </cell>
          <cell r="G26" t="str">
            <v>SRUWENG</v>
          </cell>
          <cell r="H26" t="str">
            <v>KEBUMEN</v>
          </cell>
          <cell r="I26" t="str">
            <v>JAWA TENGAH</v>
          </cell>
          <cell r="J26">
            <v>15000000</v>
          </cell>
          <cell r="K26" t="str">
            <v>00696</v>
          </cell>
          <cell r="L26" t="str">
            <v>KCP Kebumen</v>
          </cell>
          <cell r="M26" t="str">
            <v>3113013305144107570005</v>
          </cell>
          <cell r="N26" t="str">
            <v>0000069601590001626</v>
          </cell>
          <cell r="O26" t="str">
            <v>J393257</v>
          </cell>
        </row>
        <row r="27">
          <cell r="A27">
            <v>19</v>
          </cell>
          <cell r="B27" t="str">
            <v>ROHIMI</v>
          </cell>
          <cell r="C27" t="str">
            <v>L</v>
          </cell>
          <cell r="D27" t="str">
            <v>3305140501650001</v>
          </cell>
          <cell r="E27" t="str">
            <v>KARANGJATI UTARA RT 03/RW 05</v>
          </cell>
          <cell r="F27" t="str">
            <v>KARANGPULE</v>
          </cell>
          <cell r="G27" t="str">
            <v>SRUWENG</v>
          </cell>
          <cell r="H27" t="str">
            <v>KEBUMEN</v>
          </cell>
          <cell r="I27" t="str">
            <v>JAWA TENGAH</v>
          </cell>
          <cell r="J27">
            <v>10000000</v>
          </cell>
          <cell r="K27" t="str">
            <v>00696</v>
          </cell>
          <cell r="L27" t="str">
            <v>KCP Kebumen</v>
          </cell>
          <cell r="M27" t="str">
            <v>3113013305140501650001</v>
          </cell>
          <cell r="N27" t="str">
            <v>0000069601590005793</v>
          </cell>
          <cell r="O27" t="str">
            <v>RB69894</v>
          </cell>
        </row>
        <row r="28">
          <cell r="A28">
            <v>20</v>
          </cell>
          <cell r="B28" t="str">
            <v>TRIYANTI</v>
          </cell>
          <cell r="C28" t="str">
            <v>P</v>
          </cell>
          <cell r="D28" t="str">
            <v>3305145204860006</v>
          </cell>
          <cell r="E28" t="str">
            <v>KARANGJATI UTARA RT 03/RW 05</v>
          </cell>
          <cell r="F28" t="str">
            <v>KARANGPULE</v>
          </cell>
          <cell r="G28" t="str">
            <v>SRUWENG</v>
          </cell>
          <cell r="H28" t="str">
            <v>KEBUMEN</v>
          </cell>
          <cell r="I28" t="str">
            <v>JAWA TENGAH</v>
          </cell>
          <cell r="J28">
            <v>15000000</v>
          </cell>
          <cell r="K28" t="str">
            <v>00696</v>
          </cell>
          <cell r="L28" t="str">
            <v>KCP Kebumen</v>
          </cell>
          <cell r="M28" t="str">
            <v>3113013305145204860006</v>
          </cell>
          <cell r="N28" t="str">
            <v>0000069601590009878</v>
          </cell>
          <cell r="O28" t="str">
            <v>T577828</v>
          </cell>
        </row>
        <row r="29">
          <cell r="A29">
            <v>21</v>
          </cell>
          <cell r="B29" t="str">
            <v>SUKIRMAN</v>
          </cell>
          <cell r="C29" t="str">
            <v>L</v>
          </cell>
          <cell r="D29" t="str">
            <v>3305141007670003</v>
          </cell>
          <cell r="E29" t="str">
            <v>KARANGJATI UTARA RT 02/RW 05</v>
          </cell>
          <cell r="F29" t="str">
            <v>KARANGPULE</v>
          </cell>
          <cell r="G29" t="str">
            <v>SRUWENG</v>
          </cell>
          <cell r="H29" t="str">
            <v>KEBUMEN</v>
          </cell>
          <cell r="I29" t="str">
            <v>JAWA TENGAH</v>
          </cell>
          <cell r="J29">
            <v>15000000</v>
          </cell>
          <cell r="K29" t="str">
            <v>00696</v>
          </cell>
          <cell r="L29" t="str">
            <v>KCP Kebumen</v>
          </cell>
          <cell r="M29" t="str">
            <v>3113013305141007670003</v>
          </cell>
          <cell r="N29" t="str">
            <v>0000069601590008636</v>
          </cell>
          <cell r="O29" t="str">
            <v>SR58293</v>
          </cell>
        </row>
      </sheetData>
      <sheetData sheetId="1">
        <row r="7">
          <cell r="B7">
            <v>1</v>
          </cell>
          <cell r="C7" t="str">
            <v>SARNI</v>
          </cell>
          <cell r="D7" t="str">
            <v>P</v>
          </cell>
          <cell r="E7" t="str">
            <v>3305145108820003</v>
          </cell>
          <cell r="F7" t="str">
            <v>DUSUN BAKUNG RT 01/RW 01</v>
          </cell>
          <cell r="G7" t="str">
            <v>KARANGPULE</v>
          </cell>
          <cell r="H7" t="str">
            <v>SRUWENG</v>
          </cell>
          <cell r="I7" t="str">
            <v>KEBUMEN</v>
          </cell>
          <cell r="J7" t="str">
            <v>JAWA TENGAH</v>
          </cell>
          <cell r="K7">
            <v>10000000</v>
          </cell>
          <cell r="L7">
            <v>32</v>
          </cell>
          <cell r="M7" t="str">
            <v>PETANI/PEKEBUN</v>
          </cell>
          <cell r="N7">
            <v>450000</v>
          </cell>
          <cell r="O7">
            <v>3</v>
          </cell>
          <cell r="P7" t="str">
            <v>Tidak Layak</v>
          </cell>
          <cell r="Q7" t="str">
            <v>Tidak Layak</v>
          </cell>
          <cell r="R7" t="str">
            <v>Layak</v>
          </cell>
          <cell r="S7">
            <v>54</v>
          </cell>
          <cell r="T7">
            <v>0</v>
          </cell>
          <cell r="U7" t="str">
            <v>YUDO SUDOMO</v>
          </cell>
          <cell r="V7" t="str">
            <v>PK</v>
          </cell>
          <cell r="W7">
            <v>2525000</v>
          </cell>
          <cell r="X7" t="str">
            <v>AGUS TRI H.</v>
          </cell>
          <cell r="Y7">
            <v>0</v>
          </cell>
          <cell r="Z7" t="str">
            <v>NIP :19680424 199803 1011</v>
          </cell>
          <cell r="AA7" t="str">
            <v>Moh. Amirudin, S.IP, MM</v>
          </cell>
          <cell r="AB7" t="str">
            <v>Himawan T P, S.Sos</v>
          </cell>
          <cell r="AC7" t="str">
            <v>0000069601590007371</v>
          </cell>
          <cell r="AD7">
            <v>0</v>
          </cell>
          <cell r="AE7">
            <v>7.6539400000000004</v>
          </cell>
          <cell r="AF7">
            <v>109.62477</v>
          </cell>
          <cell r="AG7" t="str">
            <v>Surat Keterangan Pejabat</v>
          </cell>
          <cell r="AH7" t="str">
            <v>Air Bersih</v>
          </cell>
          <cell r="AI7" t="str">
            <v>GENTENG LAPUK</v>
          </cell>
          <cell r="AJ7" t="str">
            <v>TANAH</v>
          </cell>
          <cell r="AK7" t="str">
            <v>PAPAN</v>
          </cell>
          <cell r="AL7" t="str">
            <v>GENTENG</v>
          </cell>
          <cell r="AM7">
            <v>0</v>
          </cell>
          <cell r="AN7" t="str">
            <v xml:space="preserve">RABAT ACIAN </v>
          </cell>
          <cell r="AO7">
            <v>0</v>
          </cell>
          <cell r="AP7" t="str">
            <v>PASANGAN BATA</v>
          </cell>
          <cell r="AQ7">
            <v>0</v>
          </cell>
          <cell r="AR7" t="str">
            <v>Karang Pule, ____ Oktober 2015</v>
          </cell>
          <cell r="AS7" t="str">
            <v>MAKSUDI</v>
          </cell>
          <cell r="AT7" t="str">
            <v>II (DUA)</v>
          </cell>
          <cell r="AU7" t="str">
            <v>TB. Wahyu Mulia</v>
          </cell>
          <cell r="AV7" t="str">
            <v>Ds. Karang Pule RT.03/1 Kec. Sruweng, Kebumen</v>
          </cell>
          <cell r="AW7" t="str">
            <v>MUH. KOSIMUDIN</v>
          </cell>
          <cell r="AX7" t="str">
            <v>BTN KCP KEBUMEN</v>
          </cell>
          <cell r="AY7" t="str">
            <v>'00696</v>
          </cell>
          <cell r="AZ7" t="str">
            <v>0696-01-50-000543-2</v>
          </cell>
          <cell r="BA7" t="str">
            <v>0815 6710 151</v>
          </cell>
        </row>
        <row r="8">
          <cell r="B8">
            <v>2</v>
          </cell>
          <cell r="C8" t="str">
            <v>MOCH. MUSLIH</v>
          </cell>
          <cell r="D8" t="str">
            <v>L</v>
          </cell>
          <cell r="E8" t="str">
            <v>3305140506870001</v>
          </cell>
          <cell r="F8" t="str">
            <v>KARANGPULE RT 02/RW 03</v>
          </cell>
          <cell r="G8" t="str">
            <v>KARANGPULE</v>
          </cell>
          <cell r="H8" t="str">
            <v>SRUWENG</v>
          </cell>
          <cell r="I8" t="str">
            <v>KEBUMEN</v>
          </cell>
          <cell r="J8" t="str">
            <v>JAWA TENGAH</v>
          </cell>
          <cell r="K8">
            <v>10000000</v>
          </cell>
          <cell r="L8">
            <v>27</v>
          </cell>
          <cell r="M8" t="str">
            <v>PETANI/PEKEBUN</v>
          </cell>
          <cell r="N8">
            <v>700000</v>
          </cell>
          <cell r="O8">
            <v>2</v>
          </cell>
          <cell r="P8" t="str">
            <v>Layak</v>
          </cell>
          <cell r="Q8" t="str">
            <v>Tidak Layak</v>
          </cell>
          <cell r="R8" t="str">
            <v>Tidak Layak</v>
          </cell>
          <cell r="S8">
            <v>54</v>
          </cell>
          <cell r="T8">
            <v>0</v>
          </cell>
          <cell r="U8" t="str">
            <v>YUDO SUDOMO</v>
          </cell>
          <cell r="V8" t="str">
            <v>PK</v>
          </cell>
          <cell r="W8">
            <v>2525000</v>
          </cell>
          <cell r="X8" t="str">
            <v>AGUS TRI H.</v>
          </cell>
          <cell r="Y8">
            <v>0</v>
          </cell>
          <cell r="Z8" t="str">
            <v>NIP :19680424 199803 1011</v>
          </cell>
          <cell r="AA8" t="str">
            <v>Moh. Amirudin, S.IP, MM</v>
          </cell>
          <cell r="AB8" t="str">
            <v>Himawan T P, S.Sos</v>
          </cell>
          <cell r="AC8" t="str">
            <v>0000069601590003610</v>
          </cell>
          <cell r="AD8">
            <v>0</v>
          </cell>
          <cell r="AE8">
            <v>7.6519599999999999</v>
          </cell>
          <cell r="AF8">
            <v>109.6215</v>
          </cell>
          <cell r="AG8" t="str">
            <v>Surat Keterangan Pejabat</v>
          </cell>
          <cell r="AH8" t="str">
            <v>Tidak Ada</v>
          </cell>
          <cell r="AI8" t="str">
            <v>GENTENG LAPUK</v>
          </cell>
          <cell r="AJ8" t="str">
            <v>TANAH</v>
          </cell>
          <cell r="AK8" t="str">
            <v>PAPAN</v>
          </cell>
          <cell r="AL8" t="str">
            <v>GENTENG</v>
          </cell>
          <cell r="AM8">
            <v>0</v>
          </cell>
          <cell r="AN8" t="str">
            <v xml:space="preserve">RABAT ACIAN </v>
          </cell>
          <cell r="AO8">
            <v>0</v>
          </cell>
          <cell r="AP8" t="str">
            <v>PASANGAN BATA</v>
          </cell>
          <cell r="AQ8">
            <v>0</v>
          </cell>
          <cell r="AR8" t="str">
            <v>Karang Pule, ____ Oktober 2015</v>
          </cell>
          <cell r="AS8" t="str">
            <v>MAKSUDI</v>
          </cell>
          <cell r="AT8" t="str">
            <v>II (DUA)</v>
          </cell>
          <cell r="AU8" t="str">
            <v>TB. Wahyu Mulia</v>
          </cell>
          <cell r="AV8" t="str">
            <v>Ds. Karang Pule RT.03/1 Kec. Sruweng, Kebumen</v>
          </cell>
          <cell r="AW8" t="str">
            <v>MUH. KOSIMUDIN</v>
          </cell>
          <cell r="AX8" t="str">
            <v>BTN KCP KEBUMEN</v>
          </cell>
          <cell r="AY8" t="str">
            <v>'00696</v>
          </cell>
          <cell r="AZ8" t="str">
            <v>0696-01-50-000543-2</v>
          </cell>
          <cell r="BA8" t="str">
            <v>0815 6710 151</v>
          </cell>
        </row>
        <row r="9">
          <cell r="B9">
            <v>3</v>
          </cell>
          <cell r="C9" t="str">
            <v>PUJI SUPRIYANTO</v>
          </cell>
          <cell r="D9" t="str">
            <v>L</v>
          </cell>
          <cell r="E9" t="str">
            <v>3305141904830005</v>
          </cell>
          <cell r="F9" t="str">
            <v>KARANGPULE RT 03/RW 04</v>
          </cell>
          <cell r="G9" t="str">
            <v>KARANGPULE</v>
          </cell>
          <cell r="H9" t="str">
            <v>SRUWENG</v>
          </cell>
          <cell r="I9" t="str">
            <v>KEBUMEN</v>
          </cell>
          <cell r="J9" t="str">
            <v>JAWA TENGAH</v>
          </cell>
          <cell r="K9">
            <v>10000000</v>
          </cell>
          <cell r="L9">
            <v>31</v>
          </cell>
          <cell r="M9" t="str">
            <v>BURUH HARIAN LEPAS</v>
          </cell>
          <cell r="N9">
            <v>615000</v>
          </cell>
          <cell r="O9">
            <v>2</v>
          </cell>
          <cell r="P9" t="str">
            <v>Tidak Layak</v>
          </cell>
          <cell r="Q9" t="str">
            <v>Tidak Layak</v>
          </cell>
          <cell r="R9" t="str">
            <v>Layak</v>
          </cell>
          <cell r="S9">
            <v>54</v>
          </cell>
          <cell r="T9">
            <v>0</v>
          </cell>
          <cell r="U9" t="str">
            <v>YUDO SUDOMO</v>
          </cell>
          <cell r="V9" t="str">
            <v>PK</v>
          </cell>
          <cell r="W9">
            <v>2525000</v>
          </cell>
          <cell r="X9" t="str">
            <v>AGUS TRI H.</v>
          </cell>
          <cell r="Y9">
            <v>0</v>
          </cell>
          <cell r="Z9" t="str">
            <v>NIP :19680424 199803 1011</v>
          </cell>
          <cell r="AA9" t="str">
            <v>Moh. Amirudin, S.IP, MM</v>
          </cell>
          <cell r="AB9" t="str">
            <v>Himawan T P, S.Sos</v>
          </cell>
          <cell r="AC9" t="str">
            <v>0000069601590005109</v>
          </cell>
          <cell r="AD9">
            <v>0</v>
          </cell>
          <cell r="AE9">
            <v>7.6500399999999997</v>
          </cell>
          <cell r="AF9">
            <v>109.61857999999999</v>
          </cell>
          <cell r="AG9" t="str">
            <v>Surat Keterangan Pejabat</v>
          </cell>
          <cell r="AH9" t="str">
            <v>Tidak Ada</v>
          </cell>
          <cell r="AI9" t="str">
            <v>GENTENG LAPUK</v>
          </cell>
          <cell r="AJ9" t="str">
            <v>TANAH</v>
          </cell>
          <cell r="AK9" t="str">
            <v>PAPAN</v>
          </cell>
          <cell r="AL9" t="str">
            <v>GENTENG</v>
          </cell>
          <cell r="AM9">
            <v>0</v>
          </cell>
          <cell r="AN9" t="str">
            <v xml:space="preserve">RABAT ACIAN </v>
          </cell>
          <cell r="AO9">
            <v>0</v>
          </cell>
          <cell r="AP9" t="str">
            <v>PASANGAN BATA</v>
          </cell>
          <cell r="AQ9">
            <v>0</v>
          </cell>
          <cell r="AR9" t="str">
            <v>Karang Pule, ____ Oktober 2015</v>
          </cell>
          <cell r="AS9" t="str">
            <v>MAKSUDI</v>
          </cell>
          <cell r="AT9" t="str">
            <v>II (DUA)</v>
          </cell>
          <cell r="AU9" t="str">
            <v>TB. Wahyu Mulia</v>
          </cell>
          <cell r="AV9" t="str">
            <v>Ds. Karang Pule RT.03/1 Kec. Sruweng, Kebumen</v>
          </cell>
          <cell r="AW9" t="str">
            <v>MUH. KOSIMUDIN</v>
          </cell>
          <cell r="AX9" t="str">
            <v>BTN KCP KEBUMEN</v>
          </cell>
          <cell r="AY9" t="str">
            <v>'00696</v>
          </cell>
          <cell r="AZ9" t="str">
            <v>0696-01-50-000543-2</v>
          </cell>
          <cell r="BA9" t="str">
            <v>815 6710 151</v>
          </cell>
        </row>
        <row r="10">
          <cell r="B10">
            <v>4</v>
          </cell>
          <cell r="C10" t="str">
            <v>SODIRAN</v>
          </cell>
          <cell r="D10" t="str">
            <v>L</v>
          </cell>
          <cell r="E10" t="str">
            <v>3305140510600005</v>
          </cell>
          <cell r="F10" t="str">
            <v>KARANGPULE RT 02/RW 04</v>
          </cell>
          <cell r="G10" t="str">
            <v>KARANGPULE</v>
          </cell>
          <cell r="H10" t="str">
            <v>SRUWENG</v>
          </cell>
          <cell r="I10" t="str">
            <v>KEBUMEN</v>
          </cell>
          <cell r="J10" t="str">
            <v>JAWA TENGAH</v>
          </cell>
          <cell r="K10">
            <v>15000000</v>
          </cell>
          <cell r="L10">
            <v>54</v>
          </cell>
          <cell r="M10" t="str">
            <v>BURUH HARIAN LEPAS</v>
          </cell>
          <cell r="N10">
            <v>600000</v>
          </cell>
          <cell r="O10">
            <v>4</v>
          </cell>
          <cell r="P10" t="str">
            <v>Tidak Layak</v>
          </cell>
          <cell r="Q10" t="str">
            <v>Tidak Layak</v>
          </cell>
          <cell r="R10" t="str">
            <v>Tidak Layak</v>
          </cell>
          <cell r="S10">
            <v>54</v>
          </cell>
          <cell r="T10">
            <v>0</v>
          </cell>
          <cell r="U10" t="str">
            <v>YUDO SUDOMO</v>
          </cell>
          <cell r="V10" t="str">
            <v>PK</v>
          </cell>
          <cell r="W10">
            <v>6080000</v>
          </cell>
          <cell r="X10" t="str">
            <v>AGUS TRI H.</v>
          </cell>
          <cell r="Y10">
            <v>0</v>
          </cell>
          <cell r="Z10" t="str">
            <v>NIP :19680424 199803 1011</v>
          </cell>
          <cell r="AA10" t="str">
            <v>Moh. Amirudin, S.IP, MM</v>
          </cell>
          <cell r="AB10" t="str">
            <v>Himawan T P, S.Sos</v>
          </cell>
          <cell r="AC10" t="str">
            <v>0000069601590008131</v>
          </cell>
          <cell r="AD10">
            <v>0</v>
          </cell>
          <cell r="AE10">
            <v>7.6486999999999998</v>
          </cell>
          <cell r="AF10">
            <v>109.62141</v>
          </cell>
          <cell r="AG10" t="str">
            <v>Surat Keterangan Pejabat</v>
          </cell>
          <cell r="AH10" t="str">
            <v>Tidak Ada</v>
          </cell>
          <cell r="AI10" t="str">
            <v>GENTENG LAPUK</v>
          </cell>
          <cell r="AJ10" t="str">
            <v>TANAH</v>
          </cell>
          <cell r="AK10" t="str">
            <v>PAPAN</v>
          </cell>
          <cell r="AL10" t="str">
            <v>GENTENG</v>
          </cell>
          <cell r="AM10">
            <v>0</v>
          </cell>
          <cell r="AN10" t="str">
            <v xml:space="preserve">RABAT ACIAN </v>
          </cell>
          <cell r="AO10">
            <v>0</v>
          </cell>
          <cell r="AP10" t="str">
            <v>PASANGAN BATA</v>
          </cell>
          <cell r="AQ10">
            <v>0</v>
          </cell>
          <cell r="AR10" t="str">
            <v>Karang Pule, ____ Oktober 2015</v>
          </cell>
          <cell r="AS10" t="str">
            <v>MAKSUDI</v>
          </cell>
          <cell r="AT10" t="str">
            <v>II (DUA)</v>
          </cell>
          <cell r="AU10" t="str">
            <v>TB. Wahyu Mulia</v>
          </cell>
          <cell r="AV10" t="str">
            <v>Ds. Karang Pule RT.03/1 Kec. Sruweng, Kebumen</v>
          </cell>
          <cell r="AW10" t="str">
            <v>MUH. KOSIMUDIN</v>
          </cell>
          <cell r="AX10" t="str">
            <v>BTN KCP KEBUMEN</v>
          </cell>
          <cell r="AY10" t="str">
            <v>'00696</v>
          </cell>
          <cell r="AZ10" t="str">
            <v>0696-01-50-000543-2</v>
          </cell>
          <cell r="BA10" t="str">
            <v>815 6710 151</v>
          </cell>
        </row>
        <row r="11">
          <cell r="B11">
            <v>5</v>
          </cell>
          <cell r="C11" t="str">
            <v>SUMARMIN</v>
          </cell>
          <cell r="D11" t="str">
            <v>L</v>
          </cell>
          <cell r="E11" t="str">
            <v>3305140407710001</v>
          </cell>
          <cell r="F11" t="str">
            <v>KARANGPULE RT 03/RW 04</v>
          </cell>
          <cell r="G11" t="str">
            <v>KARANGPULE</v>
          </cell>
          <cell r="H11" t="str">
            <v>SRUWENG</v>
          </cell>
          <cell r="I11" t="str">
            <v>KEBUMEN</v>
          </cell>
          <cell r="J11" t="str">
            <v>JAWA TENGAH</v>
          </cell>
          <cell r="K11">
            <v>10000000</v>
          </cell>
          <cell r="L11">
            <v>43</v>
          </cell>
          <cell r="M11" t="str">
            <v>BURUH HARIAN LEPAS</v>
          </cell>
          <cell r="N11">
            <v>650000</v>
          </cell>
          <cell r="O11">
            <v>4</v>
          </cell>
          <cell r="P11" t="str">
            <v>Tidak Layak</v>
          </cell>
          <cell r="Q11" t="str">
            <v>Tidak Layak</v>
          </cell>
          <cell r="R11" t="str">
            <v>Layak</v>
          </cell>
          <cell r="S11">
            <v>54</v>
          </cell>
          <cell r="T11">
            <v>0</v>
          </cell>
          <cell r="U11" t="str">
            <v>YUDO SUDOMO</v>
          </cell>
          <cell r="V11" t="str">
            <v>PK</v>
          </cell>
          <cell r="W11">
            <v>2525000</v>
          </cell>
          <cell r="X11" t="str">
            <v>AGUS TRI H.</v>
          </cell>
          <cell r="Y11">
            <v>0</v>
          </cell>
          <cell r="Z11" t="str">
            <v>NIP :19680424 199803 1011</v>
          </cell>
          <cell r="AA11" t="str">
            <v>Moh. Amirudin, S.IP, MM</v>
          </cell>
          <cell r="AB11" t="str">
            <v>Himawan T P, S.Sos</v>
          </cell>
          <cell r="AC11" t="str">
            <v>0000069601590008717</v>
          </cell>
          <cell r="AD11">
            <v>0</v>
          </cell>
          <cell r="AE11">
            <v>7.6473199999999997</v>
          </cell>
          <cell r="AF11">
            <v>109.61839999999999</v>
          </cell>
          <cell r="AG11" t="str">
            <v>Surat Keterangan Pejabat</v>
          </cell>
          <cell r="AH11" t="str">
            <v>Listrik &amp; Air Bersih</v>
          </cell>
          <cell r="AI11" t="str">
            <v>GENTENG LAPUK</v>
          </cell>
          <cell r="AJ11" t="str">
            <v>TANAH</v>
          </cell>
          <cell r="AK11" t="str">
            <v>PAPAN</v>
          </cell>
          <cell r="AL11" t="str">
            <v>GENTENG</v>
          </cell>
          <cell r="AM11">
            <v>0</v>
          </cell>
          <cell r="AN11" t="str">
            <v xml:space="preserve">RABAT ACIAN </v>
          </cell>
          <cell r="AO11">
            <v>0</v>
          </cell>
          <cell r="AP11" t="str">
            <v>PASANGAN BATA</v>
          </cell>
          <cell r="AQ11">
            <v>0</v>
          </cell>
          <cell r="AR11" t="str">
            <v>Karang Pule, ____ Oktober 2015</v>
          </cell>
          <cell r="AS11" t="str">
            <v>MAKSUDI</v>
          </cell>
          <cell r="AT11" t="str">
            <v>II (DUA)</v>
          </cell>
          <cell r="AU11" t="str">
            <v>TB. Wahyu Mulia</v>
          </cell>
          <cell r="AV11" t="str">
            <v>Ds. Karang Pule RT.03/1 Kec. Sruweng, Kebumen</v>
          </cell>
          <cell r="AW11" t="str">
            <v>MUH. KOSIMUDIN</v>
          </cell>
          <cell r="AX11" t="str">
            <v>BTN KCP KEBUMEN</v>
          </cell>
          <cell r="AY11" t="str">
            <v>'00696</v>
          </cell>
          <cell r="AZ11" t="str">
            <v>0696-01-50-000543-2</v>
          </cell>
          <cell r="BA11" t="str">
            <v>815 6710 151</v>
          </cell>
        </row>
        <row r="12">
          <cell r="B12">
            <v>6</v>
          </cell>
          <cell r="C12" t="str">
            <v>SUPARMAN</v>
          </cell>
          <cell r="D12" t="str">
            <v>L</v>
          </cell>
          <cell r="E12" t="str">
            <v>3305140711700002</v>
          </cell>
          <cell r="F12" t="str">
            <v>KARANGPULE RT 03/RW 04</v>
          </cell>
          <cell r="G12" t="str">
            <v>KARANGPULE</v>
          </cell>
          <cell r="H12" t="str">
            <v>SRUWENG</v>
          </cell>
          <cell r="I12" t="str">
            <v>KEBUMEN</v>
          </cell>
          <cell r="J12" t="str">
            <v>JAWA TENGAH</v>
          </cell>
          <cell r="K12">
            <v>15000000</v>
          </cell>
          <cell r="L12">
            <v>44</v>
          </cell>
          <cell r="M12" t="str">
            <v>BURUH HARIAN LEPAS</v>
          </cell>
          <cell r="N12">
            <v>750000</v>
          </cell>
          <cell r="O12">
            <v>4</v>
          </cell>
          <cell r="P12" t="str">
            <v>Tidak Layak</v>
          </cell>
          <cell r="Q12" t="str">
            <v>Tidak Layak</v>
          </cell>
          <cell r="R12" t="str">
            <v>Tidak Layak</v>
          </cell>
          <cell r="S12">
            <v>54</v>
          </cell>
          <cell r="T12">
            <v>0</v>
          </cell>
          <cell r="U12" t="str">
            <v>YUDO SUDOMO</v>
          </cell>
          <cell r="V12" t="str">
            <v>PK</v>
          </cell>
          <cell r="W12">
            <v>6080000</v>
          </cell>
          <cell r="X12" t="str">
            <v>AGUS TRI H.</v>
          </cell>
          <cell r="Y12">
            <v>0</v>
          </cell>
          <cell r="Z12" t="str">
            <v>NIP :19680424 199803 1011</v>
          </cell>
          <cell r="AA12" t="str">
            <v>Moh. Amirudin, S.IP, MM</v>
          </cell>
          <cell r="AB12" t="str">
            <v>Himawan T P, S.Sos</v>
          </cell>
          <cell r="AC12" t="str">
            <v>0000069601590009056</v>
          </cell>
          <cell r="AD12">
            <v>0</v>
          </cell>
          <cell r="AE12">
            <v>7.6466599999999998</v>
          </cell>
          <cell r="AF12">
            <v>109.61715</v>
          </cell>
          <cell r="AG12" t="str">
            <v>Surat Keterangan Pejabat</v>
          </cell>
          <cell r="AH12" t="str">
            <v>Listrik</v>
          </cell>
          <cell r="AI12" t="str">
            <v>GENTENG LAPUK</v>
          </cell>
          <cell r="AJ12" t="str">
            <v>TANAH</v>
          </cell>
          <cell r="AK12" t="str">
            <v>PAPAN</v>
          </cell>
          <cell r="AL12" t="str">
            <v>GENTENG</v>
          </cell>
          <cell r="AM12">
            <v>0</v>
          </cell>
          <cell r="AN12" t="str">
            <v xml:space="preserve">RABAT ACIAN </v>
          </cell>
          <cell r="AO12">
            <v>0</v>
          </cell>
          <cell r="AP12" t="str">
            <v>PASANGAN BATA</v>
          </cell>
          <cell r="AQ12">
            <v>0</v>
          </cell>
          <cell r="AR12" t="str">
            <v>Karang Pule, ____ Oktober 2015</v>
          </cell>
          <cell r="AS12" t="str">
            <v>MAKSUDI</v>
          </cell>
          <cell r="AT12" t="str">
            <v>II (DUA)</v>
          </cell>
          <cell r="AU12" t="str">
            <v>TB. Wahyu Mulia</v>
          </cell>
          <cell r="AV12" t="str">
            <v>Ds. Karang Pule RT.03/1 Kec. Sruweng, Kebumen</v>
          </cell>
          <cell r="AW12" t="str">
            <v>MUH. KOSIMUDIN</v>
          </cell>
          <cell r="AX12" t="str">
            <v>BTN KCP KEBUMEN</v>
          </cell>
          <cell r="AY12" t="str">
            <v>'00696</v>
          </cell>
          <cell r="AZ12" t="str">
            <v>0696-01-50-000543-2</v>
          </cell>
          <cell r="BA12" t="str">
            <v>815 6710 151</v>
          </cell>
        </row>
        <row r="13">
          <cell r="B13">
            <v>7</v>
          </cell>
          <cell r="C13" t="str">
            <v>SURYADI</v>
          </cell>
          <cell r="D13" t="str">
            <v>L</v>
          </cell>
          <cell r="E13" t="str">
            <v>3305140411800001</v>
          </cell>
          <cell r="F13" t="str">
            <v>KARANGPULE RT 03/RW 04</v>
          </cell>
          <cell r="G13" t="str">
            <v>KARANGPULE</v>
          </cell>
          <cell r="H13" t="str">
            <v>SRUWENG</v>
          </cell>
          <cell r="I13" t="str">
            <v>KEBUMEN</v>
          </cell>
          <cell r="J13" t="str">
            <v>JAWA TENGAH</v>
          </cell>
          <cell r="K13">
            <v>10000000</v>
          </cell>
          <cell r="L13">
            <v>34</v>
          </cell>
          <cell r="M13" t="str">
            <v>BURUH HARIAN LEPAS</v>
          </cell>
          <cell r="N13">
            <v>750000</v>
          </cell>
          <cell r="O13">
            <v>3</v>
          </cell>
          <cell r="P13" t="str">
            <v>Tidak Layak</v>
          </cell>
          <cell r="Q13" t="str">
            <v>Tidak Layak</v>
          </cell>
          <cell r="R13" t="str">
            <v>Layak</v>
          </cell>
          <cell r="S13">
            <v>54</v>
          </cell>
          <cell r="T13">
            <v>0</v>
          </cell>
          <cell r="U13" t="str">
            <v>YUDO SUDOMO</v>
          </cell>
          <cell r="V13" t="str">
            <v>PK</v>
          </cell>
          <cell r="W13">
            <v>2525000</v>
          </cell>
          <cell r="X13" t="str">
            <v>AGUS TRI H.</v>
          </cell>
          <cell r="Y13">
            <v>0</v>
          </cell>
          <cell r="Z13" t="str">
            <v>NIP :19680424 199803 1011</v>
          </cell>
          <cell r="AA13" t="str">
            <v>Moh. Amirudin, S.IP, MM</v>
          </cell>
          <cell r="AB13" t="str">
            <v>Himawan T P, S.Sos</v>
          </cell>
          <cell r="AC13" t="str">
            <v>0000069601590009250</v>
          </cell>
          <cell r="AD13">
            <v>0</v>
          </cell>
          <cell r="AE13">
            <v>7.6465500000000004</v>
          </cell>
          <cell r="AF13">
            <v>109.61785999999999</v>
          </cell>
          <cell r="AG13" t="str">
            <v>Surat Keterangan Pejabat</v>
          </cell>
          <cell r="AH13" t="str">
            <v>Listrik &amp; Air Bersih</v>
          </cell>
          <cell r="AI13" t="str">
            <v>GENTENG LAPUK</v>
          </cell>
          <cell r="AJ13" t="str">
            <v>TANAH</v>
          </cell>
          <cell r="AK13" t="str">
            <v>PAPAN</v>
          </cell>
          <cell r="AL13" t="str">
            <v>GENTENG</v>
          </cell>
          <cell r="AM13">
            <v>0</v>
          </cell>
          <cell r="AN13" t="str">
            <v xml:space="preserve">RABAT ACIAN </v>
          </cell>
          <cell r="AO13">
            <v>0</v>
          </cell>
          <cell r="AP13" t="str">
            <v>PASANGAN BATA</v>
          </cell>
          <cell r="AQ13">
            <v>0</v>
          </cell>
          <cell r="AR13" t="str">
            <v>Karang Pule, ____ Oktober 2015</v>
          </cell>
          <cell r="AS13" t="str">
            <v>MAKSUDI</v>
          </cell>
          <cell r="AT13" t="str">
            <v>II (DUA)</v>
          </cell>
          <cell r="AU13" t="str">
            <v>TB. Wahyu Mulia</v>
          </cell>
          <cell r="AV13" t="str">
            <v>Ds. Karang Pule RT.03/1 Kec. Sruweng, Kebumen</v>
          </cell>
          <cell r="AW13" t="str">
            <v>MUH. KOSIMUDIN</v>
          </cell>
          <cell r="AX13" t="str">
            <v>BTN KCP KEBUMEN</v>
          </cell>
          <cell r="AY13" t="str">
            <v>'00696</v>
          </cell>
          <cell r="AZ13" t="str">
            <v>0696-01-50-000543-2</v>
          </cell>
          <cell r="BA13" t="str">
            <v>815 6710 151</v>
          </cell>
        </row>
        <row r="14">
          <cell r="B14">
            <v>8</v>
          </cell>
          <cell r="C14" t="str">
            <v>MAKSUDI</v>
          </cell>
          <cell r="D14" t="str">
            <v>L</v>
          </cell>
          <cell r="E14" t="str">
            <v>3305142809840002</v>
          </cell>
          <cell r="F14" t="str">
            <v>KARANGJATI TENGAH RT 03/RW 04</v>
          </cell>
          <cell r="G14" t="str">
            <v>KARANGPULE</v>
          </cell>
          <cell r="H14" t="str">
            <v>SRUWENG</v>
          </cell>
          <cell r="I14" t="str">
            <v>KEBUMEN</v>
          </cell>
          <cell r="J14" t="str">
            <v>JAWA TENGAH</v>
          </cell>
          <cell r="K14">
            <v>10000000</v>
          </cell>
          <cell r="L14">
            <v>30</v>
          </cell>
          <cell r="M14" t="str">
            <v>BURUH HARIAN LEPAS</v>
          </cell>
          <cell r="N14">
            <v>615000</v>
          </cell>
          <cell r="O14">
            <v>3</v>
          </cell>
          <cell r="P14" t="str">
            <v>Tidak Layak</v>
          </cell>
          <cell r="Q14" t="str">
            <v>Tidak Layak</v>
          </cell>
          <cell r="R14" t="str">
            <v>Layak</v>
          </cell>
          <cell r="S14">
            <v>54</v>
          </cell>
          <cell r="T14">
            <v>0</v>
          </cell>
          <cell r="U14" t="str">
            <v>YUDO SUDOMO</v>
          </cell>
          <cell r="V14" t="str">
            <v>PK</v>
          </cell>
          <cell r="W14">
            <v>2525000</v>
          </cell>
          <cell r="X14" t="str">
            <v>AGUS TRI H.</v>
          </cell>
          <cell r="Y14">
            <v>0</v>
          </cell>
          <cell r="Z14" t="str">
            <v>NIP :19680424 199803 1011</v>
          </cell>
          <cell r="AA14" t="str">
            <v>Moh. Amirudin, S.IP, MM</v>
          </cell>
          <cell r="AB14" t="str">
            <v>Himawan T P, S.Sos</v>
          </cell>
          <cell r="AC14" t="str">
            <v>0000069601590003092</v>
          </cell>
          <cell r="AD14">
            <v>0</v>
          </cell>
          <cell r="AE14">
            <v>7.6458500000000003</v>
          </cell>
          <cell r="AF14">
            <v>109.61936</v>
          </cell>
          <cell r="AG14" t="str">
            <v>Surat Keterangan Pejabat</v>
          </cell>
          <cell r="AH14" t="str">
            <v>Tidak Ada</v>
          </cell>
          <cell r="AI14" t="str">
            <v>GENTENG LAPUK</v>
          </cell>
          <cell r="AJ14" t="str">
            <v>TANAH</v>
          </cell>
          <cell r="AK14" t="str">
            <v>PAPAN</v>
          </cell>
          <cell r="AL14" t="str">
            <v>GENTENG</v>
          </cell>
          <cell r="AM14">
            <v>0</v>
          </cell>
          <cell r="AN14" t="str">
            <v xml:space="preserve">RABAT ACIAN </v>
          </cell>
          <cell r="AO14">
            <v>0</v>
          </cell>
          <cell r="AP14" t="str">
            <v>PASANGAN BATA</v>
          </cell>
          <cell r="AQ14">
            <v>0</v>
          </cell>
          <cell r="AR14" t="str">
            <v>Karang Pule, ____ Oktober 2015</v>
          </cell>
          <cell r="AS14" t="str">
            <v>MAKSUDI</v>
          </cell>
          <cell r="AT14" t="str">
            <v>II (DUA)</v>
          </cell>
          <cell r="AU14" t="str">
            <v>TB. Wahyu Mulia</v>
          </cell>
          <cell r="AV14" t="str">
            <v>Ds. Karang Pule RT.03/1 Kec. Sruweng, Kebumen</v>
          </cell>
          <cell r="AW14" t="str">
            <v>MUH. KOSIMUDIN</v>
          </cell>
          <cell r="AX14" t="str">
            <v>BTN KCP KEBUMEN</v>
          </cell>
          <cell r="AY14" t="str">
            <v>'00696</v>
          </cell>
          <cell r="AZ14" t="str">
            <v>0696-01-50-000543-2</v>
          </cell>
          <cell r="BA14" t="str">
            <v>815 6710 151</v>
          </cell>
        </row>
        <row r="15">
          <cell r="B15">
            <v>9</v>
          </cell>
          <cell r="C15" t="str">
            <v>SUWANDI</v>
          </cell>
          <cell r="D15" t="str">
            <v>L</v>
          </cell>
          <cell r="E15" t="str">
            <v>3305140101530005</v>
          </cell>
          <cell r="F15" t="str">
            <v>KARANGJATI UTARA RT 01/RW 05</v>
          </cell>
          <cell r="G15" t="str">
            <v>KARANGPULE</v>
          </cell>
          <cell r="H15" t="str">
            <v>SRUWENG</v>
          </cell>
          <cell r="I15" t="str">
            <v>KEBUMEN</v>
          </cell>
          <cell r="J15" t="str">
            <v>JAWA TENGAH</v>
          </cell>
          <cell r="K15">
            <v>10000000</v>
          </cell>
          <cell r="L15">
            <v>61</v>
          </cell>
          <cell r="M15" t="str">
            <v>BURUH HARIAN LEPAS</v>
          </cell>
          <cell r="N15">
            <v>600000</v>
          </cell>
          <cell r="O15">
            <v>7</v>
          </cell>
          <cell r="P15" t="str">
            <v>Layak</v>
          </cell>
          <cell r="Q15" t="str">
            <v>Tidak Layak</v>
          </cell>
          <cell r="R15" t="str">
            <v>Tidak Layak</v>
          </cell>
          <cell r="S15">
            <v>54</v>
          </cell>
          <cell r="T15">
            <v>0</v>
          </cell>
          <cell r="U15" t="str">
            <v>YUDO SUDOMO</v>
          </cell>
          <cell r="V15" t="str">
            <v>PK</v>
          </cell>
          <cell r="W15">
            <v>2525000</v>
          </cell>
          <cell r="X15" t="str">
            <v>AGUS TRI H.</v>
          </cell>
          <cell r="Y15">
            <v>0</v>
          </cell>
          <cell r="Z15" t="str">
            <v>NIP :19680424 199803 1011</v>
          </cell>
          <cell r="AA15" t="str">
            <v>Moh. Amirudin, S.IP, MM</v>
          </cell>
          <cell r="AB15" t="str">
            <v>Himawan T P, S.Sos</v>
          </cell>
          <cell r="AC15" t="str">
            <v>0000069601590009446</v>
          </cell>
          <cell r="AD15">
            <v>0</v>
          </cell>
          <cell r="AE15">
            <v>7.6437299999999997</v>
          </cell>
          <cell r="AF15">
            <v>109.62161</v>
          </cell>
          <cell r="AG15" t="str">
            <v>Surat Keterangan Pejabat</v>
          </cell>
          <cell r="AH15" t="str">
            <v>Listrik &amp; MCK</v>
          </cell>
          <cell r="AI15" t="str">
            <v>GENTENG LAPUK</v>
          </cell>
          <cell r="AJ15" t="str">
            <v>TANAH</v>
          </cell>
          <cell r="AK15" t="str">
            <v>PAPAN</v>
          </cell>
          <cell r="AL15" t="str">
            <v>GENTENG</v>
          </cell>
          <cell r="AM15">
            <v>0</v>
          </cell>
          <cell r="AN15" t="str">
            <v xml:space="preserve">RABAT ACIAN </v>
          </cell>
          <cell r="AO15">
            <v>0</v>
          </cell>
          <cell r="AP15" t="str">
            <v>PASANGAN BATA</v>
          </cell>
          <cell r="AQ15">
            <v>0</v>
          </cell>
          <cell r="AR15" t="str">
            <v>Karang Pule, ____ Oktober 2015</v>
          </cell>
          <cell r="AS15" t="str">
            <v>MAKSUDI</v>
          </cell>
          <cell r="AT15" t="str">
            <v>II (DUA)</v>
          </cell>
          <cell r="AU15" t="str">
            <v>TB. Wahyu Mulia</v>
          </cell>
          <cell r="AV15" t="str">
            <v>Ds. Karang Pule RT.03/1 Kec. Sruweng, Kebumen</v>
          </cell>
          <cell r="AW15" t="str">
            <v>MUH. KOSIMUDIN</v>
          </cell>
          <cell r="AX15" t="str">
            <v>BTN KCP KEBUMEN</v>
          </cell>
          <cell r="AY15" t="str">
            <v>'00696</v>
          </cell>
          <cell r="AZ15" t="str">
            <v>0696-01-50-000543-2</v>
          </cell>
          <cell r="BA15" t="str">
            <v>815 6710 151</v>
          </cell>
        </row>
        <row r="16">
          <cell r="B16">
            <v>10</v>
          </cell>
          <cell r="C16" t="str">
            <v>SETIJOWATI</v>
          </cell>
          <cell r="D16" t="str">
            <v>P</v>
          </cell>
          <cell r="E16" t="str">
            <v>3305145007550004</v>
          </cell>
          <cell r="F16" t="str">
            <v>KARANGJATI UTARA RT 01/RW 05</v>
          </cell>
          <cell r="G16" t="str">
            <v>KARANGPULE</v>
          </cell>
          <cell r="H16" t="str">
            <v>SRUWENG</v>
          </cell>
          <cell r="I16" t="str">
            <v>KEBUMEN</v>
          </cell>
          <cell r="J16" t="str">
            <v>JAWA TENGAH</v>
          </cell>
          <cell r="K16">
            <v>15000000</v>
          </cell>
          <cell r="L16">
            <v>59</v>
          </cell>
          <cell r="M16" t="str">
            <v>MENGURUS RUMAH TANGGA</v>
          </cell>
          <cell r="N16">
            <v>500000</v>
          </cell>
          <cell r="O16">
            <v>2</v>
          </cell>
          <cell r="P16" t="str">
            <v>Layak</v>
          </cell>
          <cell r="Q16" t="str">
            <v>Tidak Layak</v>
          </cell>
          <cell r="R16" t="str">
            <v>Tidak Layak</v>
          </cell>
          <cell r="S16">
            <v>48</v>
          </cell>
          <cell r="T16">
            <v>0</v>
          </cell>
          <cell r="U16" t="str">
            <v>YUDO SUDOMO</v>
          </cell>
          <cell r="V16" t="str">
            <v>PK</v>
          </cell>
          <cell r="W16">
            <v>6080000</v>
          </cell>
          <cell r="X16" t="str">
            <v>AGUS TRI H.</v>
          </cell>
          <cell r="Y16">
            <v>0</v>
          </cell>
          <cell r="Z16" t="str">
            <v>NIP :19680424 199803 1011</v>
          </cell>
          <cell r="AA16" t="str">
            <v>Moh. Amirudin, S.IP, MM</v>
          </cell>
          <cell r="AB16" t="str">
            <v>Himawan T P, S.Sos</v>
          </cell>
          <cell r="AC16" t="str">
            <v>0000069601590007711</v>
          </cell>
          <cell r="AD16">
            <v>0</v>
          </cell>
          <cell r="AE16">
            <v>7.6439500000000002</v>
          </cell>
          <cell r="AF16">
            <v>109.62152</v>
          </cell>
          <cell r="AG16" t="str">
            <v>Surat Keterangan Pejabat</v>
          </cell>
          <cell r="AH16" t="str">
            <v>Tidak Ada</v>
          </cell>
          <cell r="AI16" t="str">
            <v>GENTENG LAPUK</v>
          </cell>
          <cell r="AJ16" t="str">
            <v>TANAH</v>
          </cell>
          <cell r="AK16" t="str">
            <v>PAPAN</v>
          </cell>
          <cell r="AL16" t="str">
            <v>GENTENG</v>
          </cell>
          <cell r="AM16">
            <v>0</v>
          </cell>
          <cell r="AN16" t="str">
            <v xml:space="preserve">RABAT ACIAN </v>
          </cell>
          <cell r="AO16">
            <v>0</v>
          </cell>
          <cell r="AP16" t="str">
            <v>PASANGAN BATA</v>
          </cell>
          <cell r="AQ16">
            <v>0</v>
          </cell>
          <cell r="AR16" t="str">
            <v>Karang Pule, ____ Oktober 2015</v>
          </cell>
          <cell r="AS16" t="str">
            <v>MAKSUDI</v>
          </cell>
          <cell r="AT16" t="str">
            <v>II (DUA)</v>
          </cell>
          <cell r="AU16" t="str">
            <v>TB. Wahyu Mulia</v>
          </cell>
          <cell r="AV16" t="str">
            <v>Ds. Karang Pule RT.03/1 Kec. Sruweng, Kebumen</v>
          </cell>
          <cell r="AW16" t="str">
            <v>MUH. KOSIMUDIN</v>
          </cell>
          <cell r="AX16" t="str">
            <v>BTN KCP KEBUMEN</v>
          </cell>
          <cell r="AY16" t="str">
            <v>'00696</v>
          </cell>
          <cell r="AZ16" t="str">
            <v>0696-01-50-000543-2</v>
          </cell>
          <cell r="BA16" t="str">
            <v>815 6710 151</v>
          </cell>
        </row>
        <row r="17">
          <cell r="B17">
            <v>11</v>
          </cell>
          <cell r="C17" t="str">
            <v>ABDUL KOHAR</v>
          </cell>
          <cell r="D17" t="str">
            <v>L</v>
          </cell>
          <cell r="E17" t="str">
            <v>3305140108420001</v>
          </cell>
          <cell r="F17" t="str">
            <v>KARANGJATI UTARA RT 01/RW 05</v>
          </cell>
          <cell r="G17" t="str">
            <v>KARANGPULE</v>
          </cell>
          <cell r="H17" t="str">
            <v>SRUWENG</v>
          </cell>
          <cell r="I17" t="str">
            <v>KEBUMEN</v>
          </cell>
          <cell r="J17" t="str">
            <v>JAWA TENGAH</v>
          </cell>
          <cell r="K17">
            <v>15000000</v>
          </cell>
          <cell r="L17">
            <v>72</v>
          </cell>
          <cell r="M17" t="str">
            <v>PETANI/PEKEBUN</v>
          </cell>
          <cell r="N17">
            <v>200000</v>
          </cell>
          <cell r="O17">
            <v>1</v>
          </cell>
          <cell r="P17" t="str">
            <v>Tidak Layak</v>
          </cell>
          <cell r="Q17" t="str">
            <v>Tidak Layak</v>
          </cell>
          <cell r="R17" t="str">
            <v>Tidak Layak</v>
          </cell>
          <cell r="S17">
            <v>36</v>
          </cell>
          <cell r="T17">
            <v>0</v>
          </cell>
          <cell r="U17" t="str">
            <v>YUDO SUDOMO</v>
          </cell>
          <cell r="V17" t="str">
            <v>PK</v>
          </cell>
          <cell r="W17">
            <v>6080000</v>
          </cell>
          <cell r="X17" t="str">
            <v>AGUS TRI H.</v>
          </cell>
          <cell r="Y17">
            <v>0</v>
          </cell>
          <cell r="Z17" t="str">
            <v>NIP :19680424 199803 1011</v>
          </cell>
          <cell r="AA17" t="str">
            <v>Moh. Amirudin, S.IP, MM</v>
          </cell>
          <cell r="AB17" t="str">
            <v>Himawan T P, S.Sos</v>
          </cell>
          <cell r="AC17" t="str">
            <v>0000069601590000117</v>
          </cell>
          <cell r="AD17">
            <v>0</v>
          </cell>
          <cell r="AE17">
            <v>7.6440900000000003</v>
          </cell>
          <cell r="AF17">
            <v>109.62267</v>
          </cell>
          <cell r="AG17" t="str">
            <v>Surat Keterangan Pejabat</v>
          </cell>
          <cell r="AH17" t="str">
            <v>Tidak Ada</v>
          </cell>
          <cell r="AI17" t="str">
            <v>GENTENG LAPUK</v>
          </cell>
          <cell r="AJ17" t="str">
            <v>TANAH</v>
          </cell>
          <cell r="AK17" t="str">
            <v>PAPAN</v>
          </cell>
          <cell r="AL17" t="str">
            <v>GENTENG</v>
          </cell>
          <cell r="AM17">
            <v>0</v>
          </cell>
          <cell r="AN17" t="str">
            <v xml:space="preserve">RABAT ACIAN </v>
          </cell>
          <cell r="AO17">
            <v>0</v>
          </cell>
          <cell r="AP17" t="str">
            <v>PASANGAN BATA</v>
          </cell>
          <cell r="AQ17">
            <v>0</v>
          </cell>
          <cell r="AR17" t="str">
            <v>Karang Pule, ____ Oktober 2015</v>
          </cell>
          <cell r="AS17" t="str">
            <v>SUKIRMAN</v>
          </cell>
          <cell r="AT17" t="str">
            <v>I (SATU)</v>
          </cell>
          <cell r="AU17" t="str">
            <v>TB. Wahyu Mulia</v>
          </cell>
          <cell r="AV17" t="str">
            <v>Ds. Karang Pule RT.03/1 Kec. Sruweng, Kebumen</v>
          </cell>
          <cell r="AW17" t="str">
            <v>MUH. KOSIMUDIN</v>
          </cell>
          <cell r="AX17" t="str">
            <v>BTN KCP KEBUMEN</v>
          </cell>
          <cell r="AY17" t="str">
            <v>'00696</v>
          </cell>
          <cell r="AZ17" t="str">
            <v>0696-01-50-000543-2</v>
          </cell>
          <cell r="BA17" t="str">
            <v>815 6710 151</v>
          </cell>
        </row>
        <row r="18">
          <cell r="B18">
            <v>12</v>
          </cell>
          <cell r="C18" t="str">
            <v>SAMIRAH</v>
          </cell>
          <cell r="D18" t="str">
            <v>P</v>
          </cell>
          <cell r="E18" t="str">
            <v>3305145701650003</v>
          </cell>
          <cell r="F18" t="str">
            <v>KARANGJATI UTARA RT 01/RW 05</v>
          </cell>
          <cell r="G18" t="str">
            <v>KARANGPULE</v>
          </cell>
          <cell r="H18" t="str">
            <v>SRUWENG</v>
          </cell>
          <cell r="I18" t="str">
            <v>KEBUMEN</v>
          </cell>
          <cell r="J18" t="str">
            <v>JAWA TENGAH</v>
          </cell>
          <cell r="K18">
            <v>15000000</v>
          </cell>
          <cell r="L18">
            <v>49</v>
          </cell>
          <cell r="M18" t="str">
            <v>BURUH HARIAN LEPAS</v>
          </cell>
          <cell r="N18">
            <v>450000</v>
          </cell>
          <cell r="O18">
            <v>2</v>
          </cell>
          <cell r="P18" t="str">
            <v>Tidak Layak</v>
          </cell>
          <cell r="Q18" t="str">
            <v>Tidak Layak</v>
          </cell>
          <cell r="R18" t="str">
            <v>Tidak Layak</v>
          </cell>
          <cell r="S18">
            <v>54</v>
          </cell>
          <cell r="T18">
            <v>0</v>
          </cell>
          <cell r="U18" t="str">
            <v>YUDO SUDOMO</v>
          </cell>
          <cell r="V18" t="str">
            <v>PK</v>
          </cell>
          <cell r="W18">
            <v>6080000</v>
          </cell>
          <cell r="X18" t="str">
            <v>AGUS TRI H.</v>
          </cell>
          <cell r="Y18">
            <v>0</v>
          </cell>
          <cell r="Z18" t="str">
            <v>NIP :19680424 199803 1011</v>
          </cell>
          <cell r="AA18" t="str">
            <v>Moh. Amirudin, S.IP, MM</v>
          </cell>
          <cell r="AB18" t="str">
            <v>Himawan T P, S.Sos</v>
          </cell>
          <cell r="AC18" t="str">
            <v>0000069601590006650</v>
          </cell>
          <cell r="AD18">
            <v>0</v>
          </cell>
          <cell r="AE18">
            <v>7.6437999999999997</v>
          </cell>
          <cell r="AF18">
            <v>109.62245</v>
          </cell>
          <cell r="AG18" t="str">
            <v>Surat Keterangan Pejabat</v>
          </cell>
          <cell r="AH18" t="str">
            <v>Air Bersih</v>
          </cell>
          <cell r="AI18" t="str">
            <v>GENTENG LAPUK</v>
          </cell>
          <cell r="AJ18" t="str">
            <v>TANAH</v>
          </cell>
          <cell r="AK18" t="str">
            <v>PAPAN</v>
          </cell>
          <cell r="AL18" t="str">
            <v>GENTENG</v>
          </cell>
          <cell r="AM18">
            <v>0</v>
          </cell>
          <cell r="AN18" t="str">
            <v xml:space="preserve">RABAT ACIAN </v>
          </cell>
          <cell r="AO18">
            <v>0</v>
          </cell>
          <cell r="AP18" t="str">
            <v>PASANGAN BATA</v>
          </cell>
          <cell r="AQ18">
            <v>0</v>
          </cell>
          <cell r="AR18" t="str">
            <v>Karang Pule, ____ Oktober 2015</v>
          </cell>
          <cell r="AS18" t="str">
            <v>SUKIRMAN</v>
          </cell>
          <cell r="AT18" t="str">
            <v>I (SATU)</v>
          </cell>
          <cell r="AU18" t="str">
            <v>TB. Wahyu Mulia</v>
          </cell>
          <cell r="AV18" t="str">
            <v>Ds. Karang Pule RT.03/1 Kec. Sruweng, Kebumen</v>
          </cell>
          <cell r="AW18" t="str">
            <v>MUH. KOSIMUDIN</v>
          </cell>
          <cell r="AX18" t="str">
            <v>BTN KCP KEBUMEN</v>
          </cell>
          <cell r="AY18" t="str">
            <v>'00696</v>
          </cell>
          <cell r="AZ18" t="str">
            <v>0696-01-50-000543-2</v>
          </cell>
          <cell r="BA18" t="str">
            <v>815 6710 151</v>
          </cell>
        </row>
        <row r="19">
          <cell r="B19">
            <v>13</v>
          </cell>
          <cell r="C19" t="str">
            <v>SITI KHALIMAH</v>
          </cell>
          <cell r="D19" t="str">
            <v>P</v>
          </cell>
          <cell r="E19" t="str">
            <v>3305145009640003</v>
          </cell>
          <cell r="F19" t="str">
            <v>KARANGJATI UTARA RT 02/RW 05</v>
          </cell>
          <cell r="G19" t="str">
            <v>KARANGPULE</v>
          </cell>
          <cell r="H19" t="str">
            <v>SRUWENG</v>
          </cell>
          <cell r="I19" t="str">
            <v>KEBUMEN</v>
          </cell>
          <cell r="J19" t="str">
            <v>JAWA TENGAH</v>
          </cell>
          <cell r="K19">
            <v>15000000</v>
          </cell>
          <cell r="L19">
            <v>50</v>
          </cell>
          <cell r="M19" t="str">
            <v>BURUH HARIAN LEPAS</v>
          </cell>
          <cell r="N19">
            <v>600000</v>
          </cell>
          <cell r="O19">
            <v>4</v>
          </cell>
          <cell r="P19" t="str">
            <v>Tidak Layak</v>
          </cell>
          <cell r="Q19" t="str">
            <v>Tidak Layak</v>
          </cell>
          <cell r="R19" t="str">
            <v>Tidak Layak</v>
          </cell>
          <cell r="S19">
            <v>54</v>
          </cell>
          <cell r="T19">
            <v>0</v>
          </cell>
          <cell r="U19" t="str">
            <v>YUDO SUDOMO</v>
          </cell>
          <cell r="V19" t="str">
            <v>PK</v>
          </cell>
          <cell r="W19">
            <v>6080000</v>
          </cell>
          <cell r="X19" t="str">
            <v>AGUS TRI H.</v>
          </cell>
          <cell r="Y19">
            <v>0</v>
          </cell>
          <cell r="Z19" t="str">
            <v>NIP :19680424 199803 1011</v>
          </cell>
          <cell r="AA19" t="str">
            <v>Moh. Amirudin, S.IP, MM</v>
          </cell>
          <cell r="AB19" t="str">
            <v>Himawan T P, S.Sos</v>
          </cell>
          <cell r="AC19" t="str">
            <v>0000069601590007884</v>
          </cell>
          <cell r="AD19">
            <v>0</v>
          </cell>
          <cell r="AE19">
            <v>7.6443899999999996</v>
          </cell>
          <cell r="AF19">
            <v>109.62236</v>
          </cell>
          <cell r="AG19" t="str">
            <v>Surat Keterangan Pejabat</v>
          </cell>
          <cell r="AH19" t="str">
            <v>Tidak Ada</v>
          </cell>
          <cell r="AI19" t="str">
            <v>GENTENG LAPUK</v>
          </cell>
          <cell r="AJ19" t="str">
            <v>TANAH</v>
          </cell>
          <cell r="AK19" t="str">
            <v>PAPAN</v>
          </cell>
          <cell r="AL19" t="str">
            <v>GENTENG</v>
          </cell>
          <cell r="AM19">
            <v>0</v>
          </cell>
          <cell r="AN19" t="str">
            <v xml:space="preserve">RABAT ACIAN </v>
          </cell>
          <cell r="AO19">
            <v>0</v>
          </cell>
          <cell r="AP19" t="str">
            <v>PASANGAN BATA</v>
          </cell>
          <cell r="AQ19">
            <v>0</v>
          </cell>
          <cell r="AR19" t="str">
            <v>Karang Pule, ____ Oktober 2015</v>
          </cell>
          <cell r="AS19" t="str">
            <v>SUKIRMAN</v>
          </cell>
          <cell r="AT19" t="str">
            <v>I (SATU)</v>
          </cell>
          <cell r="AU19" t="str">
            <v>TB. Wahyu Mulia</v>
          </cell>
          <cell r="AV19" t="str">
            <v>Ds. Karang Pule RT.03/1 Kec. Sruweng, Kebumen</v>
          </cell>
          <cell r="AW19" t="str">
            <v>MUH. KOSIMUDIN</v>
          </cell>
          <cell r="AX19" t="str">
            <v>BTN KCP KEBUMEN</v>
          </cell>
          <cell r="AY19" t="str">
            <v>'00696</v>
          </cell>
          <cell r="AZ19" t="str">
            <v>0696-01-50-000543-2</v>
          </cell>
          <cell r="BA19" t="str">
            <v>815 6710 151</v>
          </cell>
        </row>
        <row r="20">
          <cell r="B20">
            <v>14</v>
          </cell>
          <cell r="C20" t="str">
            <v>MUHLIDIN</v>
          </cell>
          <cell r="D20" t="str">
            <v>L</v>
          </cell>
          <cell r="E20" t="str">
            <v>3305140209610002</v>
          </cell>
          <cell r="F20" t="str">
            <v>KARANGJATI UTARA RT 02/RW 05</v>
          </cell>
          <cell r="G20" t="str">
            <v>KARANGPULE</v>
          </cell>
          <cell r="H20" t="str">
            <v>SRUWENG</v>
          </cell>
          <cell r="I20" t="str">
            <v>KEBUMEN</v>
          </cell>
          <cell r="J20" t="str">
            <v>JAWA TENGAH</v>
          </cell>
          <cell r="K20">
            <v>10000000</v>
          </cell>
          <cell r="L20">
            <v>53</v>
          </cell>
          <cell r="M20" t="str">
            <v>BURUH HARIAN LEPAS</v>
          </cell>
          <cell r="N20">
            <v>500000</v>
          </cell>
          <cell r="O20">
            <v>5</v>
          </cell>
          <cell r="P20" t="str">
            <v>Layak</v>
          </cell>
          <cell r="Q20" t="str">
            <v>Tidak Layak</v>
          </cell>
          <cell r="R20" t="str">
            <v>Tidak Layak</v>
          </cell>
          <cell r="S20">
            <v>54</v>
          </cell>
          <cell r="T20">
            <v>0</v>
          </cell>
          <cell r="U20" t="str">
            <v>YUDO SUDOMO</v>
          </cell>
          <cell r="V20" t="str">
            <v>PK</v>
          </cell>
          <cell r="W20">
            <v>2525000</v>
          </cell>
          <cell r="X20" t="str">
            <v>AGUS TRI H.</v>
          </cell>
          <cell r="Y20">
            <v>0</v>
          </cell>
          <cell r="Z20" t="str">
            <v>NIP :19680424 199803 1011</v>
          </cell>
          <cell r="AA20" t="str">
            <v>Moh. Amirudin, S.IP, MM</v>
          </cell>
          <cell r="AB20" t="str">
            <v>Himawan T P, S.Sos</v>
          </cell>
          <cell r="AC20" t="str">
            <v>0000069601590003880</v>
          </cell>
          <cell r="AD20">
            <v>0</v>
          </cell>
          <cell r="AE20">
            <v>7.6423199999999998</v>
          </cell>
          <cell r="AF20">
            <v>109.62093</v>
          </cell>
          <cell r="AG20" t="str">
            <v>Surat Keterangan Pejabat</v>
          </cell>
          <cell r="AH20" t="str">
            <v>Listrik &amp; MCK</v>
          </cell>
          <cell r="AI20" t="str">
            <v>GENTENG LAPUK</v>
          </cell>
          <cell r="AJ20" t="str">
            <v>TANAH</v>
          </cell>
          <cell r="AK20" t="str">
            <v>PAPAN</v>
          </cell>
          <cell r="AL20" t="str">
            <v>GENTENG</v>
          </cell>
          <cell r="AM20">
            <v>0</v>
          </cell>
          <cell r="AN20" t="str">
            <v xml:space="preserve">RABAT ACIAN </v>
          </cell>
          <cell r="AO20">
            <v>0</v>
          </cell>
          <cell r="AP20" t="str">
            <v>PASANGAN BATA</v>
          </cell>
          <cell r="AQ20">
            <v>0</v>
          </cell>
          <cell r="AR20" t="str">
            <v>Karang Pule, ____ Oktober 2015</v>
          </cell>
          <cell r="AS20" t="str">
            <v>SUKIRMAN</v>
          </cell>
          <cell r="AT20" t="str">
            <v>I (SATU)</v>
          </cell>
          <cell r="AU20" t="str">
            <v>TB. Wahyu Mulia</v>
          </cell>
          <cell r="AV20" t="str">
            <v>Ds. Karang Pule RT.03/1 Kec. Sruweng, Kebumen</v>
          </cell>
          <cell r="AW20" t="str">
            <v>MUH. KOSIMUDIN</v>
          </cell>
          <cell r="AX20" t="str">
            <v>BTN KCP KEBUMEN</v>
          </cell>
          <cell r="AY20" t="str">
            <v>'00696</v>
          </cell>
          <cell r="AZ20" t="str">
            <v>0696-01-50-000543-2</v>
          </cell>
          <cell r="BA20" t="str">
            <v>815 6710 151</v>
          </cell>
        </row>
        <row r="21">
          <cell r="B21">
            <v>15</v>
          </cell>
          <cell r="C21" t="str">
            <v>PAIRUN</v>
          </cell>
          <cell r="D21" t="str">
            <v>L</v>
          </cell>
          <cell r="E21" t="str">
            <v>3305140406640001</v>
          </cell>
          <cell r="F21" t="str">
            <v>KARANGJATI UTARA RT 02/RW 05</v>
          </cell>
          <cell r="G21" t="str">
            <v>KARANGPULE</v>
          </cell>
          <cell r="H21" t="str">
            <v>SRUWENG</v>
          </cell>
          <cell r="I21" t="str">
            <v>KEBUMEN</v>
          </cell>
          <cell r="J21" t="str">
            <v>JAWA TENGAH</v>
          </cell>
          <cell r="K21">
            <v>15000000</v>
          </cell>
          <cell r="L21">
            <v>50</v>
          </cell>
          <cell r="M21" t="str">
            <v>BURUH HARIAN LEPAS</v>
          </cell>
          <cell r="N21">
            <v>750000</v>
          </cell>
          <cell r="O21">
            <v>3</v>
          </cell>
          <cell r="P21" t="str">
            <v>Tidak Layak</v>
          </cell>
          <cell r="Q21" t="str">
            <v>Tidak Layak</v>
          </cell>
          <cell r="R21" t="str">
            <v>Tidak Layak</v>
          </cell>
          <cell r="S21">
            <v>54</v>
          </cell>
          <cell r="T21">
            <v>0</v>
          </cell>
          <cell r="U21" t="str">
            <v>YUDO SUDOMO</v>
          </cell>
          <cell r="V21" t="str">
            <v>PK</v>
          </cell>
          <cell r="W21">
            <v>6080000</v>
          </cell>
          <cell r="X21" t="str">
            <v>AGUS TRI H.</v>
          </cell>
          <cell r="Y21">
            <v>0</v>
          </cell>
          <cell r="Z21" t="str">
            <v>NIP :19680424 199803 1011</v>
          </cell>
          <cell r="AA21" t="str">
            <v>Moh. Amirudin, S.IP, MM</v>
          </cell>
          <cell r="AB21" t="str">
            <v>Himawan T P, S.Sos</v>
          </cell>
          <cell r="AC21" t="str">
            <v>0000069601590004763</v>
          </cell>
          <cell r="AD21">
            <v>0</v>
          </cell>
          <cell r="AE21">
            <v>7.6412399999999998</v>
          </cell>
          <cell r="AF21">
            <v>109.61947000000001</v>
          </cell>
          <cell r="AG21" t="str">
            <v>Surat Keterangan Pejabat</v>
          </cell>
          <cell r="AH21" t="str">
            <v>Tidak Ada</v>
          </cell>
          <cell r="AI21" t="str">
            <v>GENTENG LAPUK</v>
          </cell>
          <cell r="AJ21" t="str">
            <v>TANAH</v>
          </cell>
          <cell r="AK21" t="str">
            <v>PAPAN</v>
          </cell>
          <cell r="AL21" t="str">
            <v>GENTENG</v>
          </cell>
          <cell r="AM21">
            <v>0</v>
          </cell>
          <cell r="AN21" t="str">
            <v xml:space="preserve">RABAT ACIAN </v>
          </cell>
          <cell r="AO21">
            <v>0</v>
          </cell>
          <cell r="AP21" t="str">
            <v>PASANGAN BATA</v>
          </cell>
          <cell r="AQ21">
            <v>0</v>
          </cell>
          <cell r="AR21" t="str">
            <v>Karang Pule, ____ Oktober 2015</v>
          </cell>
          <cell r="AS21" t="str">
            <v>SUKIRMAN</v>
          </cell>
          <cell r="AT21" t="str">
            <v>I (SATU)</v>
          </cell>
          <cell r="AU21" t="str">
            <v>TB. Wahyu Mulia</v>
          </cell>
          <cell r="AV21" t="str">
            <v>Ds. Karang Pule RT.03/1 Kec. Sruweng, Kebumen</v>
          </cell>
          <cell r="AW21" t="str">
            <v>MUH. KOSIMUDIN</v>
          </cell>
          <cell r="AX21" t="str">
            <v>BTN KCP KEBUMEN</v>
          </cell>
          <cell r="AY21" t="str">
            <v>'00696</v>
          </cell>
          <cell r="AZ21" t="str">
            <v>0696-01-50-000543-2</v>
          </cell>
          <cell r="BA21" t="str">
            <v>815 6710 151</v>
          </cell>
        </row>
        <row r="22">
          <cell r="B22">
            <v>16</v>
          </cell>
          <cell r="C22" t="str">
            <v>SLAMET TURUT</v>
          </cell>
          <cell r="D22" t="str">
            <v>L</v>
          </cell>
          <cell r="E22" t="str">
            <v>3305141001520002</v>
          </cell>
          <cell r="F22" t="str">
            <v>KARANGJATI UTARA RT 02/RW 05</v>
          </cell>
          <cell r="G22" t="str">
            <v>KARANGPULE</v>
          </cell>
          <cell r="H22" t="str">
            <v>SRUWENG</v>
          </cell>
          <cell r="I22" t="str">
            <v>KEBUMEN</v>
          </cell>
          <cell r="J22" t="str">
            <v>JAWA TENGAH</v>
          </cell>
          <cell r="K22">
            <v>15000000</v>
          </cell>
          <cell r="L22">
            <v>62</v>
          </cell>
          <cell r="M22" t="str">
            <v>BURUH HARIAN LEPAS</v>
          </cell>
          <cell r="N22">
            <v>600000</v>
          </cell>
          <cell r="O22">
            <v>1</v>
          </cell>
          <cell r="P22" t="str">
            <v>Tidak Layak</v>
          </cell>
          <cell r="Q22" t="str">
            <v>Tidak Layak</v>
          </cell>
          <cell r="R22" t="str">
            <v>Tidak Layak</v>
          </cell>
          <cell r="S22">
            <v>54</v>
          </cell>
          <cell r="T22">
            <v>0</v>
          </cell>
          <cell r="U22" t="str">
            <v>YUDO SUDOMO</v>
          </cell>
          <cell r="V22" t="str">
            <v>PK</v>
          </cell>
          <cell r="W22">
            <v>6080000</v>
          </cell>
          <cell r="X22" t="str">
            <v>AGUS TRI H.</v>
          </cell>
          <cell r="Y22">
            <v>0</v>
          </cell>
          <cell r="Z22" t="str">
            <v>NIP :19680424 199803 1011</v>
          </cell>
          <cell r="AA22" t="str">
            <v>Moh. Amirudin, S.IP, MM</v>
          </cell>
          <cell r="AB22" t="str">
            <v>Himawan T P, S.Sos</v>
          </cell>
          <cell r="AC22" t="str">
            <v>0000069601590008050</v>
          </cell>
          <cell r="AD22">
            <v>0</v>
          </cell>
          <cell r="AE22">
            <v>7.6394299999999999</v>
          </cell>
          <cell r="AF22">
            <v>109.6202</v>
          </cell>
          <cell r="AG22" t="str">
            <v>Surat Keterangan Pejabat</v>
          </cell>
          <cell r="AH22" t="str">
            <v>Air Bersih &amp; MCK</v>
          </cell>
          <cell r="AI22" t="str">
            <v>GENTENG LAPUK</v>
          </cell>
          <cell r="AJ22" t="str">
            <v>TANAH</v>
          </cell>
          <cell r="AK22" t="str">
            <v>PAPAN</v>
          </cell>
          <cell r="AL22" t="str">
            <v>GENTENG</v>
          </cell>
          <cell r="AM22">
            <v>0</v>
          </cell>
          <cell r="AN22" t="str">
            <v xml:space="preserve">RABAT ACIAN </v>
          </cell>
          <cell r="AO22">
            <v>0</v>
          </cell>
          <cell r="AP22" t="str">
            <v>PASANGAN BATA</v>
          </cell>
          <cell r="AQ22">
            <v>0</v>
          </cell>
          <cell r="AR22" t="str">
            <v>Karang Pule, ____ Oktober 2015</v>
          </cell>
          <cell r="AS22" t="str">
            <v>SUKIRMAN</v>
          </cell>
          <cell r="AT22" t="str">
            <v>I (SATU)</v>
          </cell>
          <cell r="AU22" t="str">
            <v>TB. Wahyu Mulia</v>
          </cell>
          <cell r="AV22" t="str">
            <v>Ds. Karang Pule RT.03/1 Kec. Sruweng, Kebumen</v>
          </cell>
          <cell r="AW22" t="str">
            <v>MUH. KOSIMUDIN</v>
          </cell>
          <cell r="AX22" t="str">
            <v>BTN KCP KEBUMEN</v>
          </cell>
          <cell r="AY22" t="str">
            <v>'00696</v>
          </cell>
          <cell r="AZ22" t="str">
            <v>0696-01-50-000543-2</v>
          </cell>
          <cell r="BA22" t="str">
            <v>815 6710 151</v>
          </cell>
        </row>
        <row r="23">
          <cell r="B23">
            <v>17</v>
          </cell>
          <cell r="C23" t="str">
            <v>MARWIYAH</v>
          </cell>
          <cell r="D23" t="str">
            <v>P</v>
          </cell>
          <cell r="E23" t="str">
            <v>3305144107450006</v>
          </cell>
          <cell r="F23" t="str">
            <v>KARANGJATI UTARA RT 02/RW 05</v>
          </cell>
          <cell r="G23" t="str">
            <v>KARANGPULE</v>
          </cell>
          <cell r="H23" t="str">
            <v>SRUWENG</v>
          </cell>
          <cell r="I23" t="str">
            <v>KEBUMEN</v>
          </cell>
          <cell r="J23" t="str">
            <v>JAWA TENGAH</v>
          </cell>
          <cell r="K23">
            <v>15000000</v>
          </cell>
          <cell r="L23">
            <v>68</v>
          </cell>
          <cell r="M23" t="str">
            <v>MENGURUS RUMAH TANGGA</v>
          </cell>
          <cell r="N23">
            <v>200000</v>
          </cell>
          <cell r="O23">
            <v>0</v>
          </cell>
          <cell r="P23" t="str">
            <v>Tidak Layak</v>
          </cell>
          <cell r="Q23" t="str">
            <v>Tidak Layak</v>
          </cell>
          <cell r="R23" t="str">
            <v>Tidak Layak</v>
          </cell>
          <cell r="S23">
            <v>36</v>
          </cell>
          <cell r="T23">
            <v>0</v>
          </cell>
          <cell r="U23" t="str">
            <v>YUDO SUDOMO</v>
          </cell>
          <cell r="V23" t="str">
            <v>PK</v>
          </cell>
          <cell r="W23">
            <v>6080000</v>
          </cell>
          <cell r="X23" t="str">
            <v>AGUS TRI H.</v>
          </cell>
          <cell r="Y23">
            <v>0</v>
          </cell>
          <cell r="Z23" t="str">
            <v>NIP :19680424 199803 1011</v>
          </cell>
          <cell r="AA23" t="str">
            <v>Moh. Amirudin, S.IP, MM</v>
          </cell>
          <cell r="AB23" t="str">
            <v>Himawan T P, S.Sos</v>
          </cell>
          <cell r="AC23" t="str">
            <v>0000069601590003319</v>
          </cell>
          <cell r="AD23">
            <v>0</v>
          </cell>
          <cell r="AE23">
            <v>7.6411800000000003</v>
          </cell>
          <cell r="AF23">
            <v>109.6195</v>
          </cell>
          <cell r="AG23" t="str">
            <v>Surat Keterangan Pejabat</v>
          </cell>
          <cell r="AH23" t="str">
            <v>Tidak Ada</v>
          </cell>
          <cell r="AI23" t="str">
            <v>GENTENG LAPUK</v>
          </cell>
          <cell r="AJ23" t="str">
            <v>TANAH</v>
          </cell>
          <cell r="AK23" t="str">
            <v>PAPAN</v>
          </cell>
          <cell r="AL23" t="str">
            <v>GENTENG</v>
          </cell>
          <cell r="AM23">
            <v>0</v>
          </cell>
          <cell r="AN23" t="str">
            <v xml:space="preserve">RABAT ACIAN </v>
          </cell>
          <cell r="AO23">
            <v>0</v>
          </cell>
          <cell r="AP23" t="str">
            <v>PASANGAN BATA</v>
          </cell>
          <cell r="AQ23">
            <v>0</v>
          </cell>
          <cell r="AR23" t="str">
            <v>Karang Pule, ____ Oktober 2015</v>
          </cell>
          <cell r="AS23" t="str">
            <v>SUKIRMAN</v>
          </cell>
          <cell r="AT23" t="str">
            <v>I (SATU)</v>
          </cell>
          <cell r="AU23" t="str">
            <v>TB. Wahyu Mulia</v>
          </cell>
          <cell r="AV23" t="str">
            <v>Ds. Karang Pule RT.03/1 Kec. Sruweng, Kebumen</v>
          </cell>
          <cell r="AW23" t="str">
            <v>MUH. KOSIMUDIN</v>
          </cell>
          <cell r="AX23" t="str">
            <v>BTN KCP KEBUMEN</v>
          </cell>
          <cell r="AY23" t="str">
            <v>'00696</v>
          </cell>
          <cell r="AZ23" t="str">
            <v>0696-01-50-000543-2</v>
          </cell>
          <cell r="BA23" t="str">
            <v>815 6710 151</v>
          </cell>
        </row>
        <row r="24">
          <cell r="B24">
            <v>18</v>
          </cell>
          <cell r="C24" t="str">
            <v>JEMIRAH</v>
          </cell>
          <cell r="D24" t="str">
            <v>P</v>
          </cell>
          <cell r="E24" t="str">
            <v>3305144107570005</v>
          </cell>
          <cell r="F24" t="str">
            <v>KARANGJATI UTARA RT 03/RW 05</v>
          </cell>
          <cell r="G24" t="str">
            <v>KARANGPULE</v>
          </cell>
          <cell r="H24" t="str">
            <v>SRUWENG</v>
          </cell>
          <cell r="I24" t="str">
            <v>KEBUMEN</v>
          </cell>
          <cell r="J24" t="str">
            <v>JAWA TENGAH</v>
          </cell>
          <cell r="K24">
            <v>15000000</v>
          </cell>
          <cell r="L24">
            <v>57</v>
          </cell>
          <cell r="M24" t="str">
            <v>MENGURUS RUMAH TANGGA</v>
          </cell>
          <cell r="N24">
            <v>450000</v>
          </cell>
          <cell r="O24">
            <v>5</v>
          </cell>
          <cell r="P24" t="str">
            <v>Tidak Layak</v>
          </cell>
          <cell r="Q24" t="str">
            <v>Tidak Layak</v>
          </cell>
          <cell r="R24" t="str">
            <v>Tidak Layak</v>
          </cell>
          <cell r="S24">
            <v>36</v>
          </cell>
          <cell r="T24">
            <v>0</v>
          </cell>
          <cell r="U24" t="str">
            <v>YUDO SUDOMO</v>
          </cell>
          <cell r="V24" t="str">
            <v>PK</v>
          </cell>
          <cell r="W24">
            <v>6080000</v>
          </cell>
          <cell r="X24" t="str">
            <v>AGUS TRI H.</v>
          </cell>
          <cell r="Y24">
            <v>0</v>
          </cell>
          <cell r="Z24" t="str">
            <v>NIP :19680424 199803 1011</v>
          </cell>
          <cell r="AA24" t="str">
            <v>Moh. Amirudin, S.IP, MM</v>
          </cell>
          <cell r="AB24" t="str">
            <v>Himawan T P, S.Sos</v>
          </cell>
          <cell r="AC24" t="str">
            <v>0000069601590001626</v>
          </cell>
          <cell r="AD24">
            <v>0</v>
          </cell>
          <cell r="AE24">
            <v>7.64</v>
          </cell>
          <cell r="AF24">
            <v>109.61962</v>
          </cell>
          <cell r="AG24" t="str">
            <v>Surat Keterangan Pejabat</v>
          </cell>
          <cell r="AH24" t="str">
            <v>Tidak Ada</v>
          </cell>
          <cell r="AI24" t="str">
            <v>GENTENG LAPUK</v>
          </cell>
          <cell r="AJ24" t="str">
            <v>TANAH</v>
          </cell>
          <cell r="AK24" t="str">
            <v>PAPAN</v>
          </cell>
          <cell r="AL24" t="str">
            <v>GENTENG</v>
          </cell>
          <cell r="AM24">
            <v>0</v>
          </cell>
          <cell r="AN24" t="str">
            <v xml:space="preserve">RABAT ACIAN </v>
          </cell>
          <cell r="AO24">
            <v>0</v>
          </cell>
          <cell r="AP24" t="str">
            <v>PASANGAN BATA</v>
          </cell>
          <cell r="AQ24">
            <v>0</v>
          </cell>
          <cell r="AR24" t="str">
            <v>Karang Pule, ____ Oktober 2015</v>
          </cell>
          <cell r="AS24" t="str">
            <v>SUKIRMAN</v>
          </cell>
          <cell r="AT24" t="str">
            <v>I (SATU)</v>
          </cell>
          <cell r="AU24" t="str">
            <v>TB. Wahyu Mulia</v>
          </cell>
          <cell r="AV24" t="str">
            <v>Ds. Karang Pule RT.03/1 Kec. Sruweng, Kebumen</v>
          </cell>
          <cell r="AW24" t="str">
            <v>MUH. KOSIMUDIN</v>
          </cell>
          <cell r="AX24" t="str">
            <v>BTN KCP KEBUMEN</v>
          </cell>
          <cell r="AY24" t="str">
            <v>'00696</v>
          </cell>
          <cell r="AZ24" t="str">
            <v>0696-01-50-000543-2</v>
          </cell>
          <cell r="BA24" t="str">
            <v>815 6710 151</v>
          </cell>
        </row>
        <row r="25">
          <cell r="B25">
            <v>19</v>
          </cell>
          <cell r="C25" t="str">
            <v>ROHIMI</v>
          </cell>
          <cell r="D25" t="str">
            <v>L</v>
          </cell>
          <cell r="E25" t="str">
            <v>3305140501650001</v>
          </cell>
          <cell r="F25" t="str">
            <v>KARANGJATI UTARA RT 03/RW 05</v>
          </cell>
          <cell r="G25" t="str">
            <v>KARANGPULE</v>
          </cell>
          <cell r="H25" t="str">
            <v>SRUWENG</v>
          </cell>
          <cell r="I25" t="str">
            <v>KEBUMEN</v>
          </cell>
          <cell r="J25" t="str">
            <v>JAWA TENGAH</v>
          </cell>
          <cell r="K25">
            <v>10000000</v>
          </cell>
          <cell r="L25">
            <v>49</v>
          </cell>
          <cell r="M25" t="str">
            <v>BURUH HARIAN LEPAS</v>
          </cell>
          <cell r="N25">
            <v>600000</v>
          </cell>
          <cell r="O25">
            <v>6</v>
          </cell>
          <cell r="P25" t="str">
            <v>Tidak Layak</v>
          </cell>
          <cell r="Q25" t="str">
            <v>Tidak Layak</v>
          </cell>
          <cell r="R25" t="str">
            <v>Layak</v>
          </cell>
          <cell r="S25">
            <v>54</v>
          </cell>
          <cell r="T25">
            <v>0</v>
          </cell>
          <cell r="U25" t="str">
            <v>YUDO SUDOMO</v>
          </cell>
          <cell r="V25" t="str">
            <v>PK</v>
          </cell>
          <cell r="W25">
            <v>2525000</v>
          </cell>
          <cell r="X25" t="str">
            <v>AGUS TRI H.</v>
          </cell>
          <cell r="Y25">
            <v>0</v>
          </cell>
          <cell r="Z25" t="str">
            <v>NIP :19680424 199803 1011</v>
          </cell>
          <cell r="AA25" t="str">
            <v>Moh. Amirudin, S.IP, MM</v>
          </cell>
          <cell r="AB25" t="str">
            <v>Himawan T P, S.Sos</v>
          </cell>
          <cell r="AC25" t="str">
            <v>0000069601590005793</v>
          </cell>
          <cell r="AD25">
            <v>0</v>
          </cell>
          <cell r="AE25">
            <v>7.6402900000000002</v>
          </cell>
          <cell r="AF25">
            <v>109.62063999999999</v>
          </cell>
          <cell r="AG25" t="str">
            <v>Surat Keterangan Pejabat</v>
          </cell>
          <cell r="AH25" t="str">
            <v>Listrik</v>
          </cell>
          <cell r="AI25" t="str">
            <v>GENTENG LAPUK</v>
          </cell>
          <cell r="AJ25" t="str">
            <v>TANAH</v>
          </cell>
          <cell r="AK25" t="str">
            <v>PAPAN</v>
          </cell>
          <cell r="AL25" t="str">
            <v>GENTENG</v>
          </cell>
          <cell r="AM25">
            <v>0</v>
          </cell>
          <cell r="AN25" t="str">
            <v xml:space="preserve">RABAT ACIAN </v>
          </cell>
          <cell r="AO25">
            <v>0</v>
          </cell>
          <cell r="AP25" t="str">
            <v>PASANGAN BATA</v>
          </cell>
          <cell r="AQ25">
            <v>0</v>
          </cell>
          <cell r="AR25" t="str">
            <v>Karang Pule, ____ Oktober 2015</v>
          </cell>
          <cell r="AS25" t="str">
            <v>SUKIRMAN</v>
          </cell>
          <cell r="AT25" t="str">
            <v>I (SATU)</v>
          </cell>
          <cell r="AU25" t="str">
            <v>TB. Wahyu Mulia</v>
          </cell>
          <cell r="AV25" t="str">
            <v>Ds. Karang Pule RT.03/1 Kec. Sruweng, Kebumen</v>
          </cell>
          <cell r="AW25" t="str">
            <v>MUH. KOSIMUDIN</v>
          </cell>
          <cell r="AX25" t="str">
            <v>BTN KCP KEBUMEN</v>
          </cell>
          <cell r="AY25" t="str">
            <v>'00696</v>
          </cell>
          <cell r="AZ25" t="str">
            <v>0696-01-50-000543-2</v>
          </cell>
          <cell r="BA25" t="str">
            <v>815 6710 151</v>
          </cell>
        </row>
        <row r="26">
          <cell r="B26">
            <v>20</v>
          </cell>
          <cell r="C26" t="str">
            <v>TRIYANTI</v>
          </cell>
          <cell r="D26" t="str">
            <v>P</v>
          </cell>
          <cell r="E26" t="str">
            <v>3305145204860006</v>
          </cell>
          <cell r="F26" t="str">
            <v>KARANGJATI UTARA RT 03/RW 05</v>
          </cell>
          <cell r="G26" t="str">
            <v>KARANGPULE</v>
          </cell>
          <cell r="H26" t="str">
            <v>SRUWENG</v>
          </cell>
          <cell r="I26" t="str">
            <v>KEBUMEN</v>
          </cell>
          <cell r="J26" t="str">
            <v>JAWA TENGAH</v>
          </cell>
          <cell r="K26">
            <v>15000000</v>
          </cell>
          <cell r="L26">
            <v>28</v>
          </cell>
          <cell r="M26" t="str">
            <v>MENGURUS RUMAH TANGGA</v>
          </cell>
          <cell r="N26">
            <v>600000</v>
          </cell>
          <cell r="O26">
            <v>3</v>
          </cell>
          <cell r="P26" t="str">
            <v>Tidak Layak</v>
          </cell>
          <cell r="Q26" t="str">
            <v>Tidak Layak</v>
          </cell>
          <cell r="R26" t="str">
            <v>Tidak Layak</v>
          </cell>
          <cell r="S26">
            <v>63</v>
          </cell>
          <cell r="T26">
            <v>0</v>
          </cell>
          <cell r="U26" t="str">
            <v>YUDO SUDOMO</v>
          </cell>
          <cell r="V26" t="str">
            <v>PK</v>
          </cell>
          <cell r="W26">
            <v>6080000</v>
          </cell>
          <cell r="X26" t="str">
            <v>AGUS TRI H.</v>
          </cell>
          <cell r="Y26">
            <v>0</v>
          </cell>
          <cell r="Z26" t="str">
            <v>NIP :19680424 199803 1011</v>
          </cell>
          <cell r="AA26" t="str">
            <v>Moh. Amirudin, S.IP, MM</v>
          </cell>
          <cell r="AB26" t="str">
            <v>Himawan T P, S.Sos</v>
          </cell>
          <cell r="AC26" t="str">
            <v>0000069601590009878</v>
          </cell>
          <cell r="AD26">
            <v>0</v>
          </cell>
          <cell r="AE26">
            <v>7.6381899999999998</v>
          </cell>
          <cell r="AF26">
            <v>109.62035</v>
          </cell>
          <cell r="AG26" t="str">
            <v>Surat Keterangan Pejabat</v>
          </cell>
          <cell r="AH26" t="str">
            <v>Tidak Ada</v>
          </cell>
          <cell r="AI26" t="str">
            <v>GENTENG LAPUK</v>
          </cell>
          <cell r="AJ26" t="str">
            <v>TANAH</v>
          </cell>
          <cell r="AK26" t="str">
            <v>PAPAN</v>
          </cell>
          <cell r="AL26" t="str">
            <v>GENTENG</v>
          </cell>
          <cell r="AM26">
            <v>0</v>
          </cell>
          <cell r="AN26" t="str">
            <v xml:space="preserve">RABAT ACIAN </v>
          </cell>
          <cell r="AO26">
            <v>0</v>
          </cell>
          <cell r="AP26" t="str">
            <v>PASANGAN BATA</v>
          </cell>
          <cell r="AQ26">
            <v>0</v>
          </cell>
          <cell r="AR26" t="str">
            <v>Karang Pule, ____ Oktober 2015</v>
          </cell>
          <cell r="AS26" t="str">
            <v>SUKIRMAN</v>
          </cell>
          <cell r="AT26" t="str">
            <v>I (SATU)</v>
          </cell>
          <cell r="AU26" t="str">
            <v>TB. Wahyu Mulia</v>
          </cell>
          <cell r="AV26" t="str">
            <v>Ds. Karang Pule RT.03/1 Kec. Sruweng, Kebumen</v>
          </cell>
          <cell r="AW26" t="str">
            <v>MUH. KOSIMUDIN</v>
          </cell>
          <cell r="AX26" t="str">
            <v>BTN KCP KEBUMEN</v>
          </cell>
          <cell r="AY26" t="str">
            <v>'00696</v>
          </cell>
          <cell r="AZ26" t="str">
            <v>0696-01-50-000543-2</v>
          </cell>
          <cell r="BA26" t="str">
            <v>815 6710 151</v>
          </cell>
        </row>
        <row r="27">
          <cell r="B27">
            <v>21</v>
          </cell>
          <cell r="C27" t="str">
            <v>SUKIRMAN</v>
          </cell>
          <cell r="D27" t="str">
            <v>L</v>
          </cell>
          <cell r="E27" t="str">
            <v>3305141007670003</v>
          </cell>
          <cell r="F27" t="str">
            <v>KARANGJATI UTARA RT 02/RW 05</v>
          </cell>
          <cell r="G27" t="str">
            <v>KARANGPULE</v>
          </cell>
          <cell r="H27" t="str">
            <v>SRUWENG</v>
          </cell>
          <cell r="I27" t="str">
            <v>KEBUMEN</v>
          </cell>
          <cell r="J27" t="str">
            <v>JAWA TENGAH</v>
          </cell>
          <cell r="K27">
            <v>15000000</v>
          </cell>
          <cell r="L27">
            <v>47</v>
          </cell>
          <cell r="M27" t="str">
            <v>BURUH HARIAN LEPAS</v>
          </cell>
          <cell r="N27">
            <v>600000</v>
          </cell>
          <cell r="O27">
            <v>7</v>
          </cell>
          <cell r="P27" t="str">
            <v>Tidak Layak</v>
          </cell>
          <cell r="Q27" t="str">
            <v>Tidak Layak</v>
          </cell>
          <cell r="R27" t="str">
            <v>Tidak Layak</v>
          </cell>
          <cell r="S27">
            <v>42</v>
          </cell>
          <cell r="T27">
            <v>0</v>
          </cell>
          <cell r="U27" t="str">
            <v>YUDO SUDOMO</v>
          </cell>
          <cell r="V27" t="str">
            <v>PK</v>
          </cell>
          <cell r="W27">
            <v>6080000</v>
          </cell>
          <cell r="X27" t="str">
            <v>AGUS TRI H.</v>
          </cell>
          <cell r="Y27">
            <v>0</v>
          </cell>
          <cell r="Z27" t="str">
            <v>NIP :19680424 199803 1011</v>
          </cell>
          <cell r="AA27" t="str">
            <v>Moh. Amirudin, S.IP, MM</v>
          </cell>
          <cell r="AB27" t="str">
            <v>Himawan T P, S.Sos</v>
          </cell>
          <cell r="AC27" t="str">
            <v>0000069601590008636</v>
          </cell>
          <cell r="AD27">
            <v>0</v>
          </cell>
          <cell r="AE27">
            <v>7.6416300000000001</v>
          </cell>
          <cell r="AF27">
            <v>109.6215</v>
          </cell>
          <cell r="AG27" t="str">
            <v>Surat Keterangan Pejabat</v>
          </cell>
          <cell r="AH27" t="str">
            <v>Air Bersih</v>
          </cell>
          <cell r="AI27" t="str">
            <v>GENTENG LAPUK</v>
          </cell>
          <cell r="AJ27" t="str">
            <v>TANAH</v>
          </cell>
          <cell r="AK27" t="str">
            <v>PAPAN</v>
          </cell>
          <cell r="AL27" t="str">
            <v>GENTENG</v>
          </cell>
          <cell r="AM27">
            <v>0</v>
          </cell>
          <cell r="AN27" t="str">
            <v xml:space="preserve">RABAT ACIAN </v>
          </cell>
          <cell r="AO27">
            <v>0</v>
          </cell>
          <cell r="AP27" t="str">
            <v>PASANGAN BATA</v>
          </cell>
          <cell r="AQ27">
            <v>0</v>
          </cell>
          <cell r="AR27" t="str">
            <v>Karang Pule, ____ Oktober 2015</v>
          </cell>
          <cell r="AS27" t="str">
            <v>SUKIRMAN</v>
          </cell>
          <cell r="AT27" t="str">
            <v>I (SATU)</v>
          </cell>
          <cell r="AU27" t="str">
            <v>TB. Wahyu Mulia</v>
          </cell>
          <cell r="AV27" t="str">
            <v>Ds. Karang Pule RT.03/1 Kec. Sruweng, Kebumen</v>
          </cell>
          <cell r="AW27" t="str">
            <v>MUH. KOSIMUDIN</v>
          </cell>
          <cell r="AX27" t="str">
            <v>BTN KCP KEBUMEN</v>
          </cell>
          <cell r="AY27" t="str">
            <v>'00696</v>
          </cell>
          <cell r="AZ27" t="str">
            <v>0696-01-50-000543-2</v>
          </cell>
          <cell r="BA27" t="str">
            <v>815 6710 151</v>
          </cell>
        </row>
        <row r="28">
          <cell r="AR28">
            <v>0</v>
          </cell>
        </row>
        <row r="29">
          <cell r="AR29">
            <v>0</v>
          </cell>
        </row>
      </sheetData>
      <sheetData sheetId="2">
        <row r="8">
          <cell r="A8">
            <v>0</v>
          </cell>
          <cell r="B8">
            <v>0</v>
          </cell>
          <cell r="C8">
            <v>0</v>
          </cell>
          <cell r="D8">
            <v>0</v>
          </cell>
          <cell r="E8">
            <v>0</v>
          </cell>
          <cell r="F8">
            <v>0</v>
          </cell>
          <cell r="G8">
            <v>0</v>
          </cell>
        </row>
        <row r="9">
          <cell r="A9" t="str">
            <v>01</v>
          </cell>
          <cell r="B9" t="str">
            <v>UPAH TENAGA / PEKERJA</v>
          </cell>
          <cell r="C9">
            <v>0</v>
          </cell>
          <cell r="D9">
            <v>0</v>
          </cell>
          <cell r="E9">
            <v>0</v>
          </cell>
          <cell r="F9">
            <v>0</v>
          </cell>
          <cell r="G9">
            <v>0</v>
          </cell>
        </row>
        <row r="10">
          <cell r="A10">
            <v>1</v>
          </cell>
          <cell r="B10" t="str">
            <v>Tukang</v>
          </cell>
          <cell r="C10">
            <v>0</v>
          </cell>
          <cell r="D10">
            <v>0</v>
          </cell>
          <cell r="E10" t="str">
            <v>Hari</v>
          </cell>
          <cell r="F10">
            <v>75000</v>
          </cell>
          <cell r="G10">
            <v>0</v>
          </cell>
        </row>
        <row r="11">
          <cell r="A11">
            <v>2</v>
          </cell>
          <cell r="B11" t="str">
            <v>Pekerja</v>
          </cell>
          <cell r="C11">
            <v>0</v>
          </cell>
          <cell r="D11">
            <v>0</v>
          </cell>
          <cell r="E11" t="str">
            <v>Hari</v>
          </cell>
          <cell r="F11">
            <v>60000</v>
          </cell>
          <cell r="G11">
            <v>0</v>
          </cell>
        </row>
        <row r="12">
          <cell r="A12">
            <v>0</v>
          </cell>
          <cell r="B12">
            <v>0</v>
          </cell>
          <cell r="C12">
            <v>0</v>
          </cell>
          <cell r="D12">
            <v>0</v>
          </cell>
          <cell r="E12">
            <v>0</v>
          </cell>
          <cell r="F12">
            <v>0</v>
          </cell>
          <cell r="G12">
            <v>0</v>
          </cell>
        </row>
        <row r="13">
          <cell r="A13" t="str">
            <v>02</v>
          </cell>
          <cell r="B13" t="str">
            <v>BAHAN</v>
          </cell>
          <cell r="C13">
            <v>0</v>
          </cell>
          <cell r="D13">
            <v>0</v>
          </cell>
          <cell r="E13">
            <v>0</v>
          </cell>
          <cell r="F13">
            <v>0</v>
          </cell>
          <cell r="G13">
            <v>0</v>
          </cell>
        </row>
        <row r="14">
          <cell r="A14" t="str">
            <v>A</v>
          </cell>
          <cell r="B14" t="str">
            <v>Semen PC @ 50 kg</v>
          </cell>
          <cell r="C14">
            <v>0</v>
          </cell>
          <cell r="D14">
            <v>0</v>
          </cell>
          <cell r="E14" t="str">
            <v>zak</v>
          </cell>
          <cell r="F14">
            <v>69000</v>
          </cell>
          <cell r="G14">
            <v>0</v>
          </cell>
          <cell r="H14">
            <v>0</v>
          </cell>
        </row>
        <row r="15">
          <cell r="A15" t="str">
            <v>B</v>
          </cell>
          <cell r="B15" t="str">
            <v>Semen PC @ 40 kg</v>
          </cell>
          <cell r="C15">
            <v>0</v>
          </cell>
          <cell r="D15">
            <v>0</v>
          </cell>
          <cell r="E15" t="str">
            <v>zak</v>
          </cell>
          <cell r="F15">
            <v>55000</v>
          </cell>
          <cell r="G15">
            <v>0</v>
          </cell>
          <cell r="H15">
            <v>0</v>
          </cell>
        </row>
        <row r="16">
          <cell r="A16" t="str">
            <v>C</v>
          </cell>
          <cell r="B16" t="str">
            <v xml:space="preserve">Pasir </v>
          </cell>
          <cell r="C16">
            <v>0</v>
          </cell>
          <cell r="D16">
            <v>0</v>
          </cell>
          <cell r="E16" t="str">
            <v>m3</v>
          </cell>
          <cell r="F16">
            <v>150000</v>
          </cell>
          <cell r="G16">
            <v>0</v>
          </cell>
          <cell r="H16">
            <v>0</v>
          </cell>
        </row>
        <row r="17">
          <cell r="A17" t="str">
            <v>D</v>
          </cell>
          <cell r="B17" t="str">
            <v>Krokos</v>
          </cell>
          <cell r="C17">
            <v>0</v>
          </cell>
          <cell r="D17">
            <v>0</v>
          </cell>
          <cell r="E17" t="str">
            <v>m3</v>
          </cell>
          <cell r="F17">
            <v>150000</v>
          </cell>
          <cell r="G17">
            <v>0</v>
          </cell>
          <cell r="H17">
            <v>0</v>
          </cell>
          <cell r="K17">
            <v>0</v>
          </cell>
        </row>
        <row r="18">
          <cell r="A18" t="str">
            <v>E</v>
          </cell>
          <cell r="B18" t="str">
            <v>Bata merah</v>
          </cell>
          <cell r="C18">
            <v>0</v>
          </cell>
          <cell r="D18">
            <v>0</v>
          </cell>
          <cell r="E18" t="str">
            <v>bh</v>
          </cell>
          <cell r="F18">
            <v>800</v>
          </cell>
          <cell r="G18">
            <v>0</v>
          </cell>
          <cell r="H18">
            <v>0</v>
          </cell>
          <cell r="K18">
            <v>0</v>
          </cell>
        </row>
        <row r="19">
          <cell r="A19" t="str">
            <v>F</v>
          </cell>
          <cell r="B19" t="str">
            <v>Batako</v>
          </cell>
          <cell r="C19">
            <v>0</v>
          </cell>
          <cell r="D19">
            <v>0</v>
          </cell>
          <cell r="E19" t="str">
            <v>bh</v>
          </cell>
          <cell r="F19">
            <v>4500</v>
          </cell>
          <cell r="G19">
            <v>0</v>
          </cell>
          <cell r="H19">
            <v>0</v>
          </cell>
        </row>
        <row r="20">
          <cell r="A20" t="str">
            <v>F1</v>
          </cell>
          <cell r="B20" t="str">
            <v>Besi beton Φ 10 mm SNI</v>
          </cell>
          <cell r="C20">
            <v>0</v>
          </cell>
          <cell r="D20">
            <v>0</v>
          </cell>
          <cell r="E20" t="str">
            <v>bt</v>
          </cell>
          <cell r="F20">
            <v>57000</v>
          </cell>
          <cell r="G20">
            <v>0</v>
          </cell>
          <cell r="H20">
            <v>0</v>
          </cell>
        </row>
        <row r="21">
          <cell r="A21" t="str">
            <v>G</v>
          </cell>
          <cell r="B21" t="str">
            <v>Besi beton Φ 8 mm SNI</v>
          </cell>
          <cell r="C21">
            <v>0</v>
          </cell>
          <cell r="D21">
            <v>0</v>
          </cell>
          <cell r="E21" t="str">
            <v>btg</v>
          </cell>
          <cell r="F21">
            <v>38000</v>
          </cell>
          <cell r="G21">
            <v>0</v>
          </cell>
          <cell r="H21">
            <v>0</v>
          </cell>
        </row>
        <row r="22">
          <cell r="A22" t="str">
            <v>H</v>
          </cell>
          <cell r="B22" t="str">
            <v>Besi beton Φ 6 mm SNI</v>
          </cell>
          <cell r="C22">
            <v>0</v>
          </cell>
          <cell r="D22">
            <v>0</v>
          </cell>
          <cell r="E22" t="str">
            <v>btg</v>
          </cell>
          <cell r="F22">
            <v>22000</v>
          </cell>
          <cell r="G22">
            <v>0</v>
          </cell>
          <cell r="H22">
            <v>0</v>
          </cell>
        </row>
        <row r="23">
          <cell r="A23" t="str">
            <v>I</v>
          </cell>
          <cell r="B23" t="str">
            <v>Begel / ring besi</v>
          </cell>
          <cell r="C23">
            <v>0</v>
          </cell>
          <cell r="D23">
            <v>0</v>
          </cell>
          <cell r="E23" t="str">
            <v>kg</v>
          </cell>
          <cell r="F23">
            <v>15000</v>
          </cell>
          <cell r="G23">
            <v>0</v>
          </cell>
          <cell r="H23">
            <v>0</v>
          </cell>
        </row>
        <row r="24">
          <cell r="A24" t="str">
            <v>J</v>
          </cell>
          <cell r="B24" t="str">
            <v>Kawat Bendrat</v>
          </cell>
          <cell r="C24">
            <v>0</v>
          </cell>
          <cell r="D24">
            <v>0</v>
          </cell>
          <cell r="E24" t="str">
            <v>kg</v>
          </cell>
          <cell r="F24">
            <v>16000</v>
          </cell>
          <cell r="G24">
            <v>0</v>
          </cell>
          <cell r="H24">
            <v>0</v>
          </cell>
        </row>
        <row r="25">
          <cell r="A25" t="str">
            <v>K</v>
          </cell>
          <cell r="B25" t="str">
            <v>Kayu Gording 8cm x 12cm x 4m</v>
          </cell>
          <cell r="C25">
            <v>0</v>
          </cell>
          <cell r="D25">
            <v>0</v>
          </cell>
          <cell r="E25" t="str">
            <v>btg</v>
          </cell>
          <cell r="F25">
            <v>140000</v>
          </cell>
          <cell r="G25">
            <v>0</v>
          </cell>
          <cell r="H25">
            <v>0</v>
          </cell>
        </row>
        <row r="26">
          <cell r="A26" t="str">
            <v>K1</v>
          </cell>
          <cell r="B26" t="str">
            <v>Kayu Reng ( 2cm x 3cm x 3m)</v>
          </cell>
          <cell r="C26">
            <v>0</v>
          </cell>
          <cell r="D26">
            <v>0</v>
          </cell>
          <cell r="E26" t="str">
            <v>btg</v>
          </cell>
          <cell r="F26">
            <v>15000</v>
          </cell>
          <cell r="G26">
            <v>0</v>
          </cell>
          <cell r="H26">
            <v>0</v>
          </cell>
        </row>
        <row r="27">
          <cell r="A27" t="str">
            <v>L</v>
          </cell>
          <cell r="B27" t="str">
            <v>Kayu Usuk (5cm x 7cm x 3m)</v>
          </cell>
          <cell r="C27">
            <v>0</v>
          </cell>
          <cell r="D27">
            <v>0</v>
          </cell>
          <cell r="E27" t="str">
            <v>btg</v>
          </cell>
          <cell r="F27">
            <v>24000</v>
          </cell>
          <cell r="G27">
            <v>0</v>
          </cell>
        </row>
        <row r="28">
          <cell r="A28" t="str">
            <v>M</v>
          </cell>
          <cell r="B28" t="str">
            <v>Genteng</v>
          </cell>
          <cell r="C28">
            <v>0</v>
          </cell>
          <cell r="D28">
            <v>0</v>
          </cell>
          <cell r="E28" t="str">
            <v>bh</v>
          </cell>
          <cell r="F28">
            <v>1500</v>
          </cell>
          <cell r="G28">
            <v>0</v>
          </cell>
        </row>
        <row r="29">
          <cell r="A29" t="str">
            <v>N</v>
          </cell>
          <cell r="B29" t="str">
            <v>Genteng Kerpus</v>
          </cell>
          <cell r="C29">
            <v>0</v>
          </cell>
          <cell r="D29">
            <v>0</v>
          </cell>
          <cell r="E29" t="str">
            <v>bh</v>
          </cell>
          <cell r="F29">
            <v>10000</v>
          </cell>
          <cell r="G29">
            <v>0</v>
          </cell>
        </row>
        <row r="30">
          <cell r="A30" t="str">
            <v>O</v>
          </cell>
          <cell r="B30" t="str">
            <v>Asbes gel 1.8m x 0.92m</v>
          </cell>
          <cell r="C30">
            <v>0</v>
          </cell>
          <cell r="D30">
            <v>0</v>
          </cell>
          <cell r="E30" t="str">
            <v>lbr</v>
          </cell>
          <cell r="F30">
            <v>50000</v>
          </cell>
          <cell r="G30">
            <v>0</v>
          </cell>
          <cell r="H30">
            <v>0</v>
          </cell>
        </row>
        <row r="31">
          <cell r="A31" t="str">
            <v>P</v>
          </cell>
          <cell r="B31" t="str">
            <v>Asbes gel 2.4m x 0.8m</v>
          </cell>
          <cell r="C31">
            <v>0</v>
          </cell>
          <cell r="D31">
            <v>0</v>
          </cell>
          <cell r="E31" t="str">
            <v>lbr</v>
          </cell>
          <cell r="F31">
            <v>65000</v>
          </cell>
          <cell r="G31">
            <v>0</v>
          </cell>
          <cell r="H31">
            <v>0</v>
          </cell>
        </row>
        <row r="32">
          <cell r="A32" t="str">
            <v>Q</v>
          </cell>
          <cell r="B32" t="str">
            <v>Kusen kayu (jadi)</v>
          </cell>
          <cell r="C32">
            <v>0</v>
          </cell>
          <cell r="D32">
            <v>0</v>
          </cell>
          <cell r="E32" t="str">
            <v>m</v>
          </cell>
          <cell r="F32">
            <v>60000</v>
          </cell>
          <cell r="G32">
            <v>0</v>
          </cell>
          <cell r="H32">
            <v>0</v>
          </cell>
        </row>
        <row r="33">
          <cell r="A33" t="str">
            <v>R</v>
          </cell>
          <cell r="B33" t="str">
            <v>Daun pintu (80x200)</v>
          </cell>
          <cell r="C33">
            <v>0</v>
          </cell>
          <cell r="D33">
            <v>0</v>
          </cell>
          <cell r="E33" t="str">
            <v>unit</v>
          </cell>
          <cell r="F33">
            <v>750000</v>
          </cell>
          <cell r="G33">
            <v>0</v>
          </cell>
          <cell r="H33">
            <v>0</v>
          </cell>
        </row>
        <row r="34">
          <cell r="A34" t="str">
            <v>S</v>
          </cell>
          <cell r="B34" t="str">
            <v>Daun Jendela (60x110)</v>
          </cell>
          <cell r="C34">
            <v>0</v>
          </cell>
          <cell r="D34">
            <v>0</v>
          </cell>
          <cell r="E34" t="str">
            <v>unit</v>
          </cell>
          <cell r="F34">
            <v>325000</v>
          </cell>
          <cell r="G34">
            <v>0</v>
          </cell>
          <cell r="H34">
            <v>0</v>
          </cell>
        </row>
        <row r="35">
          <cell r="A35" t="str">
            <v>T</v>
          </cell>
          <cell r="B35" t="str">
            <v xml:space="preserve">Paku </v>
          </cell>
          <cell r="C35">
            <v>0</v>
          </cell>
          <cell r="D35">
            <v>0</v>
          </cell>
          <cell r="E35" t="str">
            <v>kg</v>
          </cell>
          <cell r="F35">
            <v>14000</v>
          </cell>
          <cell r="G35">
            <v>0</v>
          </cell>
          <cell r="H35">
            <v>0</v>
          </cell>
        </row>
        <row r="36">
          <cell r="A36" t="str">
            <v>U</v>
          </cell>
          <cell r="B36" t="str">
            <v>bambu</v>
          </cell>
          <cell r="C36">
            <v>0</v>
          </cell>
          <cell r="D36">
            <v>0</v>
          </cell>
          <cell r="E36" t="str">
            <v>btg</v>
          </cell>
          <cell r="F36">
            <v>13000</v>
          </cell>
          <cell r="G36">
            <v>0</v>
          </cell>
          <cell r="H36">
            <v>0</v>
          </cell>
        </row>
        <row r="37">
          <cell r="A37" t="str">
            <v>V</v>
          </cell>
          <cell r="B37" t="str">
            <v>Roaster</v>
          </cell>
          <cell r="C37">
            <v>0</v>
          </cell>
          <cell r="D37">
            <v>0</v>
          </cell>
          <cell r="E37" t="str">
            <v>bh</v>
          </cell>
          <cell r="F37">
            <v>7000</v>
          </cell>
          <cell r="G37">
            <v>0</v>
          </cell>
          <cell r="H37">
            <v>0</v>
          </cell>
        </row>
        <row r="38">
          <cell r="A38" t="str">
            <v>W</v>
          </cell>
          <cell r="B38">
            <v>0</v>
          </cell>
          <cell r="C38">
            <v>0</v>
          </cell>
          <cell r="D38">
            <v>0</v>
          </cell>
          <cell r="E38">
            <v>0</v>
          </cell>
          <cell r="F38">
            <v>0</v>
          </cell>
          <cell r="G38">
            <v>0</v>
          </cell>
          <cell r="H38">
            <v>0</v>
          </cell>
        </row>
        <row r="39">
          <cell r="A39" t="str">
            <v>X</v>
          </cell>
          <cell r="B39">
            <v>0</v>
          </cell>
          <cell r="C39">
            <v>0</v>
          </cell>
          <cell r="D39">
            <v>0</v>
          </cell>
          <cell r="E39">
            <v>0</v>
          </cell>
          <cell r="F39">
            <v>0</v>
          </cell>
          <cell r="G39">
            <v>0</v>
          </cell>
          <cell r="H39">
            <v>0</v>
          </cell>
        </row>
        <row r="40">
          <cell r="A40" t="str">
            <v>Y</v>
          </cell>
          <cell r="B40">
            <v>0</v>
          </cell>
          <cell r="C40">
            <v>0</v>
          </cell>
          <cell r="D40">
            <v>0</v>
          </cell>
          <cell r="E40">
            <v>0</v>
          </cell>
          <cell r="F40">
            <v>0</v>
          </cell>
          <cell r="G40">
            <v>0</v>
          </cell>
          <cell r="H40">
            <v>0</v>
          </cell>
        </row>
        <row r="41">
          <cell r="A41" t="str">
            <v>Z</v>
          </cell>
          <cell r="G41">
            <v>0</v>
          </cell>
          <cell r="H41">
            <v>0</v>
          </cell>
        </row>
        <row r="42">
          <cell r="A42" t="str">
            <v>-</v>
          </cell>
          <cell r="B42">
            <v>0</v>
          </cell>
          <cell r="C42">
            <v>0</v>
          </cell>
          <cell r="D42">
            <v>0</v>
          </cell>
          <cell r="E42">
            <v>0</v>
          </cell>
          <cell r="F42">
            <v>0</v>
          </cell>
          <cell r="G42">
            <v>0</v>
          </cell>
          <cell r="H42">
            <v>0</v>
          </cell>
        </row>
        <row r="43">
          <cell r="A43">
            <v>13</v>
          </cell>
          <cell r="B43" t="str">
            <v>Bilik bambu</v>
          </cell>
          <cell r="C43">
            <v>0</v>
          </cell>
          <cell r="D43">
            <v>0</v>
          </cell>
          <cell r="E43" t="str">
            <v>m2</v>
          </cell>
          <cell r="F43">
            <v>7500</v>
          </cell>
          <cell r="G43">
            <v>0</v>
          </cell>
          <cell r="H43">
            <v>0</v>
          </cell>
        </row>
        <row r="44">
          <cell r="A44">
            <v>14</v>
          </cell>
          <cell r="B44" t="str">
            <v>Daun pintu panil</v>
          </cell>
          <cell r="C44">
            <v>0</v>
          </cell>
          <cell r="D44">
            <v>0</v>
          </cell>
          <cell r="E44" t="str">
            <v>unit</v>
          </cell>
          <cell r="F44">
            <v>145040</v>
          </cell>
        </row>
        <row r="45">
          <cell r="A45">
            <v>15</v>
          </cell>
          <cell r="B45" t="str">
            <v>Daun jendela kaca</v>
          </cell>
          <cell r="C45">
            <v>0</v>
          </cell>
          <cell r="D45">
            <v>0</v>
          </cell>
          <cell r="E45" t="str">
            <v>unit</v>
          </cell>
          <cell r="F45">
            <v>175000</v>
          </cell>
        </row>
        <row r="46">
          <cell r="A46">
            <v>16</v>
          </cell>
          <cell r="B46" t="str">
            <v>Engsel jendela</v>
          </cell>
          <cell r="C46">
            <v>0</v>
          </cell>
          <cell r="D46">
            <v>0</v>
          </cell>
          <cell r="E46" t="str">
            <v>biji</v>
          </cell>
          <cell r="F46">
            <v>9000</v>
          </cell>
          <cell r="G46">
            <v>0</v>
          </cell>
          <cell r="H46">
            <v>0</v>
          </cell>
        </row>
        <row r="47">
          <cell r="A47">
            <v>17</v>
          </cell>
          <cell r="B47" t="str">
            <v>Engsel pintu</v>
          </cell>
          <cell r="C47">
            <v>0</v>
          </cell>
          <cell r="D47">
            <v>0</v>
          </cell>
          <cell r="E47" t="str">
            <v>bh</v>
          </cell>
          <cell r="F47">
            <v>10000</v>
          </cell>
          <cell r="G47">
            <v>0</v>
          </cell>
          <cell r="H47">
            <v>0</v>
          </cell>
          <cell r="K47">
            <v>0</v>
          </cell>
        </row>
        <row r="48">
          <cell r="A48" t="str">
            <v>V</v>
          </cell>
          <cell r="B48" t="str">
            <v xml:space="preserve">KAPUR </v>
          </cell>
          <cell r="C48">
            <v>0</v>
          </cell>
          <cell r="D48">
            <v>0</v>
          </cell>
          <cell r="E48" t="str">
            <v>zak</v>
          </cell>
          <cell r="F48">
            <v>130000</v>
          </cell>
          <cell r="G48">
            <v>0</v>
          </cell>
          <cell r="H48">
            <v>0</v>
          </cell>
        </row>
        <row r="49">
          <cell r="A49">
            <v>20</v>
          </cell>
          <cell r="B49" t="str">
            <v>Grendel pintu / jendela</v>
          </cell>
          <cell r="C49">
            <v>0</v>
          </cell>
          <cell r="D49">
            <v>0</v>
          </cell>
          <cell r="E49" t="str">
            <v>bh</v>
          </cell>
          <cell r="F49">
            <v>7000</v>
          </cell>
          <cell r="G49">
            <v>0</v>
          </cell>
          <cell r="H49">
            <v>0</v>
          </cell>
        </row>
        <row r="50">
          <cell r="A50">
            <v>21</v>
          </cell>
          <cell r="B50" t="str">
            <v>Hak angin</v>
          </cell>
          <cell r="C50">
            <v>0</v>
          </cell>
          <cell r="D50">
            <v>0</v>
          </cell>
          <cell r="E50" t="str">
            <v>pasang</v>
          </cell>
          <cell r="F50">
            <v>9000</v>
          </cell>
          <cell r="G50">
            <v>0</v>
          </cell>
          <cell r="H50">
            <v>0</v>
          </cell>
        </row>
        <row r="51">
          <cell r="A51">
            <v>22</v>
          </cell>
          <cell r="B51" t="str">
            <v>Handel jendela</v>
          </cell>
          <cell r="C51">
            <v>0</v>
          </cell>
          <cell r="D51">
            <v>0</v>
          </cell>
          <cell r="E51" t="str">
            <v>bh</v>
          </cell>
          <cell r="F51">
            <v>6000</v>
          </cell>
          <cell r="G51">
            <v>0</v>
          </cell>
          <cell r="H51">
            <v>0</v>
          </cell>
        </row>
        <row r="52">
          <cell r="A52">
            <v>23</v>
          </cell>
          <cell r="B52" t="str">
            <v>Handel pintu</v>
          </cell>
          <cell r="C52">
            <v>0</v>
          </cell>
          <cell r="D52">
            <v>0</v>
          </cell>
          <cell r="E52" t="str">
            <v>bh</v>
          </cell>
          <cell r="F52">
            <v>10000</v>
          </cell>
          <cell r="G52">
            <v>0</v>
          </cell>
          <cell r="H52">
            <v>0</v>
          </cell>
        </row>
        <row r="53">
          <cell r="A53">
            <v>24</v>
          </cell>
          <cell r="B53" t="str">
            <v/>
          </cell>
          <cell r="C53">
            <v>0</v>
          </cell>
          <cell r="D53">
            <v>0</v>
          </cell>
          <cell r="E53" t="str">
            <v>m2</v>
          </cell>
          <cell r="F53">
            <v>60000</v>
          </cell>
          <cell r="G53">
            <v>0</v>
          </cell>
          <cell r="H53">
            <v>0</v>
          </cell>
        </row>
        <row r="54">
          <cell r="A54">
            <v>25</v>
          </cell>
          <cell r="B54" t="str">
            <v>Kalsiboard / GRC</v>
          </cell>
          <cell r="C54">
            <v>0</v>
          </cell>
          <cell r="D54">
            <v>0</v>
          </cell>
          <cell r="E54" t="str">
            <v>lbr</v>
          </cell>
          <cell r="F54">
            <v>66000</v>
          </cell>
          <cell r="G54">
            <v>0</v>
          </cell>
          <cell r="H54">
            <v>0</v>
          </cell>
        </row>
        <row r="55">
          <cell r="A55">
            <v>29</v>
          </cell>
          <cell r="B55" t="str">
            <v>Kayu begisting papan</v>
          </cell>
          <cell r="C55">
            <v>0</v>
          </cell>
          <cell r="D55">
            <v>0</v>
          </cell>
          <cell r="E55" t="str">
            <v>btg</v>
          </cell>
          <cell r="F55">
            <v>15000</v>
          </cell>
          <cell r="G55">
            <v>0</v>
          </cell>
          <cell r="H55">
            <v>0</v>
          </cell>
        </row>
        <row r="56">
          <cell r="A56">
            <v>30</v>
          </cell>
          <cell r="B56" t="str">
            <v/>
          </cell>
          <cell r="C56">
            <v>0</v>
          </cell>
          <cell r="D56">
            <v>0</v>
          </cell>
          <cell r="E56" t="str">
            <v>m3</v>
          </cell>
          <cell r="F56">
            <v>2250000</v>
          </cell>
          <cell r="G56">
            <v>0</v>
          </cell>
          <cell r="H56">
            <v>0</v>
          </cell>
        </row>
        <row r="57">
          <cell r="A57">
            <v>31</v>
          </cell>
          <cell r="B57" t="str">
            <v>Kayu lisplank 2/15 - 4 m</v>
          </cell>
          <cell r="C57">
            <v>0</v>
          </cell>
          <cell r="D57">
            <v>0</v>
          </cell>
          <cell r="E57" t="str">
            <v>bt</v>
          </cell>
          <cell r="F57">
            <v>20000</v>
          </cell>
          <cell r="G57">
            <v>0</v>
          </cell>
          <cell r="H57">
            <v>0</v>
          </cell>
        </row>
        <row r="58">
          <cell r="A58">
            <v>32</v>
          </cell>
          <cell r="B58" t="str">
            <v>Kayu tahun</v>
          </cell>
          <cell r="C58">
            <v>0</v>
          </cell>
          <cell r="D58">
            <v>0</v>
          </cell>
          <cell r="E58" t="str">
            <v>m3</v>
          </cell>
          <cell r="F58">
            <v>2250000</v>
          </cell>
          <cell r="G58">
            <v>0</v>
          </cell>
          <cell r="H58">
            <v>0</v>
          </cell>
        </row>
        <row r="59">
          <cell r="A59">
            <v>33</v>
          </cell>
          <cell r="B59" t="str">
            <v>Kusen pintu dobel ( 200 x 120 )</v>
          </cell>
          <cell r="C59">
            <v>0</v>
          </cell>
          <cell r="D59">
            <v>0</v>
          </cell>
          <cell r="E59" t="str">
            <v>unit</v>
          </cell>
          <cell r="F59">
            <v>105656.4</v>
          </cell>
          <cell r="G59">
            <v>0</v>
          </cell>
          <cell r="H59">
            <v>0</v>
          </cell>
        </row>
        <row r="60">
          <cell r="A60">
            <v>34</v>
          </cell>
          <cell r="B60" t="str">
            <v>Kusen pintu single ( 200 x 80 )</v>
          </cell>
          <cell r="C60">
            <v>0</v>
          </cell>
          <cell r="D60">
            <v>0</v>
          </cell>
          <cell r="E60" t="str">
            <v>unit</v>
          </cell>
          <cell r="F60">
            <v>97829.999999999985</v>
          </cell>
          <cell r="G60">
            <v>0</v>
          </cell>
          <cell r="H60">
            <v>0</v>
          </cell>
        </row>
        <row r="61">
          <cell r="A61">
            <v>35</v>
          </cell>
          <cell r="B61" t="str">
            <v>Kusen jendela</v>
          </cell>
          <cell r="C61">
            <v>0</v>
          </cell>
          <cell r="D61">
            <v>0</v>
          </cell>
          <cell r="E61" t="str">
            <v>unit</v>
          </cell>
          <cell r="F61">
            <v>108360</v>
          </cell>
          <cell r="G61">
            <v>0</v>
          </cell>
          <cell r="H61">
            <v>0</v>
          </cell>
        </row>
        <row r="62">
          <cell r="A62">
            <v>36</v>
          </cell>
          <cell r="B62" t="str">
            <v>Lem Kayu</v>
          </cell>
          <cell r="C62">
            <v>0</v>
          </cell>
          <cell r="D62">
            <v>0</v>
          </cell>
          <cell r="E62" t="str">
            <v>kg</v>
          </cell>
          <cell r="F62">
            <v>13000</v>
          </cell>
          <cell r="G62">
            <v>0</v>
          </cell>
          <cell r="H62">
            <v>0</v>
          </cell>
        </row>
        <row r="63">
          <cell r="A63">
            <v>37</v>
          </cell>
          <cell r="B63" t="str">
            <v>List Kayu 2/4</v>
          </cell>
          <cell r="C63">
            <v>0</v>
          </cell>
          <cell r="D63">
            <v>0</v>
          </cell>
          <cell r="E63" t="str">
            <v>m'</v>
          </cell>
          <cell r="F63">
            <v>5000</v>
          </cell>
          <cell r="G63">
            <v>0</v>
          </cell>
          <cell r="H63">
            <v>0</v>
          </cell>
        </row>
        <row r="64">
          <cell r="A64">
            <v>38</v>
          </cell>
          <cell r="B64" t="str">
            <v>Paku seng ( paku payung )</v>
          </cell>
          <cell r="C64">
            <v>0</v>
          </cell>
          <cell r="D64">
            <v>0</v>
          </cell>
          <cell r="E64" t="str">
            <v>kg</v>
          </cell>
          <cell r="F64">
            <v>20000</v>
          </cell>
          <cell r="G64">
            <v>0</v>
          </cell>
          <cell r="H64">
            <v>0</v>
          </cell>
        </row>
        <row r="65">
          <cell r="A65">
            <v>39</v>
          </cell>
          <cell r="B65" t="str">
            <v>Paku usuk / reng</v>
          </cell>
          <cell r="C65">
            <v>0</v>
          </cell>
          <cell r="D65">
            <v>0</v>
          </cell>
          <cell r="E65" t="str">
            <v>kg</v>
          </cell>
          <cell r="F65">
            <v>14000</v>
          </cell>
          <cell r="G65">
            <v>0</v>
          </cell>
          <cell r="H65">
            <v>0</v>
          </cell>
        </row>
        <row r="66">
          <cell r="A66">
            <v>40</v>
          </cell>
          <cell r="B66" t="str">
            <v>Pasir beton</v>
          </cell>
          <cell r="C66">
            <v>0</v>
          </cell>
          <cell r="D66">
            <v>0</v>
          </cell>
          <cell r="E66" t="str">
            <v>m3</v>
          </cell>
          <cell r="F66">
            <v>100000</v>
          </cell>
        </row>
        <row r="67">
          <cell r="A67">
            <v>42</v>
          </cell>
          <cell r="B67" t="str">
            <v>Pasir urug</v>
          </cell>
          <cell r="C67">
            <v>0</v>
          </cell>
          <cell r="D67">
            <v>0</v>
          </cell>
          <cell r="E67" t="str">
            <v>m3</v>
          </cell>
          <cell r="F67">
            <v>60000</v>
          </cell>
        </row>
        <row r="68">
          <cell r="A68">
            <v>44</v>
          </cell>
          <cell r="B68" t="str">
            <v>Seng gelombang 80 cm x 180 cm bjls 28</v>
          </cell>
          <cell r="C68">
            <v>0</v>
          </cell>
          <cell r="D68">
            <v>0</v>
          </cell>
          <cell r="E68" t="str">
            <v>lbr</v>
          </cell>
          <cell r="F68">
            <v>42000</v>
          </cell>
          <cell r="G68">
            <v>0</v>
          </cell>
          <cell r="H68">
            <v>0</v>
          </cell>
        </row>
        <row r="69">
          <cell r="A69">
            <v>45</v>
          </cell>
          <cell r="B69" t="str">
            <v>Seng plat lebar 60 cm bjls 28</v>
          </cell>
          <cell r="C69">
            <v>0</v>
          </cell>
          <cell r="D69">
            <v>0</v>
          </cell>
          <cell r="E69" t="str">
            <v>m'</v>
          </cell>
          <cell r="F69">
            <v>25000</v>
          </cell>
          <cell r="G69">
            <v>0</v>
          </cell>
          <cell r="H69">
            <v>0</v>
          </cell>
        </row>
        <row r="70">
          <cell r="A70">
            <v>46</v>
          </cell>
          <cell r="B70" t="str">
            <v>Slot pintu kuda terbang  2x kunci</v>
          </cell>
          <cell r="C70">
            <v>0</v>
          </cell>
          <cell r="D70">
            <v>0</v>
          </cell>
          <cell r="E70" t="str">
            <v>bh</v>
          </cell>
          <cell r="F70">
            <v>57000</v>
          </cell>
          <cell r="G70">
            <v>0</v>
          </cell>
          <cell r="H70">
            <v>0</v>
          </cell>
        </row>
        <row r="71">
          <cell r="A71">
            <v>0</v>
          </cell>
          <cell r="B71">
            <v>0</v>
          </cell>
          <cell r="C71">
            <v>0</v>
          </cell>
          <cell r="D71">
            <v>0</v>
          </cell>
          <cell r="E71">
            <v>0</v>
          </cell>
          <cell r="F71">
            <v>0</v>
          </cell>
        </row>
        <row r="72">
          <cell r="A72" t="str">
            <v>IV</v>
          </cell>
          <cell r="B72" t="str">
            <v>TAMBAHAN</v>
          </cell>
          <cell r="C72">
            <v>0</v>
          </cell>
          <cell r="D72">
            <v>0</v>
          </cell>
          <cell r="E72">
            <v>0</v>
          </cell>
          <cell r="F72">
            <v>0</v>
          </cell>
        </row>
        <row r="73">
          <cell r="A73">
            <v>0</v>
          </cell>
          <cell r="B73" t="str">
            <v>Makan dan minum</v>
          </cell>
          <cell r="C73">
            <v>0</v>
          </cell>
          <cell r="D73">
            <v>0</v>
          </cell>
          <cell r="E73" t="str">
            <v>kali</v>
          </cell>
          <cell r="F73">
            <v>20000</v>
          </cell>
        </row>
      </sheetData>
      <sheetData sheetId="3"/>
      <sheetData sheetId="4"/>
      <sheetData sheetId="5"/>
      <sheetData sheetId="6"/>
      <sheetData sheetId="7"/>
      <sheetData sheetId="8"/>
      <sheetData sheetId="9"/>
      <sheetData sheetId="10"/>
      <sheetData sheetId="11" refreshError="1"/>
      <sheetData sheetId="12" refreshError="1"/>
      <sheetData sheetId="13"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nawaran"/>
      <sheetName val="upah"/>
      <sheetName val="analisa"/>
      <sheetName val="RAB"/>
      <sheetName val="scedule"/>
      <sheetName val="METODE"/>
      <sheetName val="subkon"/>
      <sheetName val="personil"/>
      <sheetName val="alat"/>
      <sheetName val="Sheet3"/>
      <sheetName val="rangking"/>
      <sheetName val="Sheet1"/>
      <sheetName val="Sheet2"/>
    </sheetNames>
    <sheetDataSet>
      <sheetData sheetId="0"/>
      <sheetData sheetId="1">
        <row r="22">
          <cell r="H22">
            <v>45000</v>
          </cell>
        </row>
        <row r="23">
          <cell r="H23">
            <v>45000</v>
          </cell>
        </row>
        <row r="24">
          <cell r="H24">
            <v>45000</v>
          </cell>
        </row>
        <row r="62">
          <cell r="H62">
            <v>750000</v>
          </cell>
        </row>
        <row r="63">
          <cell r="H63">
            <v>750000</v>
          </cell>
        </row>
      </sheetData>
      <sheetData sheetId="2"/>
      <sheetData sheetId="3">
        <row r="90">
          <cell r="F90" t="str">
            <v>MOMEN PASAMBUNA</v>
          </cell>
        </row>
      </sheetData>
      <sheetData sheetId="4"/>
      <sheetData sheetId="5"/>
      <sheetData sheetId="6"/>
      <sheetData sheetId="7"/>
      <sheetData sheetId="8"/>
      <sheetData sheetId="9"/>
      <sheetData sheetId="10"/>
      <sheetData sheetId="11"/>
      <sheetData sheetId="12"/>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dt"/>
      <sheetName val="Rekap"/>
      <sheetName val="RAB"/>
      <sheetName val="Volume"/>
      <sheetName val="Harga"/>
      <sheetName val="Analisa"/>
    </sheetNames>
    <sheetDataSet>
      <sheetData sheetId="0" refreshError="1"/>
      <sheetData sheetId="1" refreshError="1"/>
      <sheetData sheetId="2" refreshError="1"/>
      <sheetData sheetId="3" refreshError="1"/>
      <sheetData sheetId="4" refreshError="1">
        <row r="18">
          <cell r="F18">
            <v>55000</v>
          </cell>
        </row>
        <row r="19">
          <cell r="F19">
            <v>35000</v>
          </cell>
        </row>
        <row r="21">
          <cell r="F21">
            <v>55000</v>
          </cell>
        </row>
        <row r="22">
          <cell r="F22">
            <v>45500</v>
          </cell>
        </row>
        <row r="23">
          <cell r="F23">
            <v>200</v>
          </cell>
        </row>
        <row r="26">
          <cell r="F26">
            <v>800000</v>
          </cell>
        </row>
        <row r="27">
          <cell r="F27">
            <v>700000</v>
          </cell>
        </row>
        <row r="30">
          <cell r="F30">
            <v>26000</v>
          </cell>
        </row>
        <row r="31">
          <cell r="F31">
            <v>25000</v>
          </cell>
        </row>
        <row r="32">
          <cell r="F32">
            <v>4000</v>
          </cell>
        </row>
        <row r="33">
          <cell r="F33">
            <v>10000</v>
          </cell>
        </row>
        <row r="35">
          <cell r="F35">
            <v>150</v>
          </cell>
        </row>
        <row r="36">
          <cell r="F36">
            <v>15000</v>
          </cell>
        </row>
        <row r="37">
          <cell r="F37">
            <v>14930.555555555553</v>
          </cell>
        </row>
        <row r="38">
          <cell r="F38">
            <v>5000</v>
          </cell>
        </row>
        <row r="40">
          <cell r="F40">
            <v>9895.8333333333339</v>
          </cell>
        </row>
        <row r="43">
          <cell r="F43">
            <v>38500</v>
          </cell>
        </row>
        <row r="44">
          <cell r="F44">
            <v>35000</v>
          </cell>
        </row>
        <row r="45">
          <cell r="F45">
            <v>42500</v>
          </cell>
        </row>
        <row r="58">
          <cell r="F58">
            <v>47500</v>
          </cell>
        </row>
        <row r="59">
          <cell r="F59">
            <v>9000</v>
          </cell>
        </row>
        <row r="60">
          <cell r="F60">
            <v>22500</v>
          </cell>
        </row>
        <row r="61">
          <cell r="F61">
            <v>24000</v>
          </cell>
        </row>
        <row r="62">
          <cell r="F62">
            <v>16000</v>
          </cell>
        </row>
        <row r="63">
          <cell r="F63">
            <v>5600</v>
          </cell>
        </row>
      </sheetData>
      <sheetData sheetId="5"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HRG SAT."/>
      <sheetName val="ANALISA OK "/>
      <sheetName val="ANALISA BOQ"/>
      <sheetName val="rekap"/>
      <sheetName val="rekap BOQ"/>
      <sheetName val="VOLUME"/>
      <sheetName val="RAB "/>
      <sheetName val="bahan"/>
      <sheetName val="BOQ"/>
      <sheetName val="septictank"/>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t"/>
      <sheetName val="MPU"/>
      <sheetName val="Jad"/>
      <sheetName val="RAB"/>
      <sheetName val="Mob"/>
      <sheetName val="Ana"/>
      <sheetName val="Alat"/>
      <sheetName val="U&amp;B"/>
      <sheetName val="Sub"/>
      <sheetName val="Mob. Alat"/>
      <sheetName val="Mob Ala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lang"/>
      <sheetName val="rekap"/>
      <sheetName val="Sheet1"/>
      <sheetName val="rincian"/>
    </sheetNames>
    <sheetDataSet>
      <sheetData sheetId="0" refreshError="1">
        <row r="3">
          <cell r="C3" t="str">
            <v>TIGA MILYAR ENAM RATUS ENAM PULUH TIGA JUTA TIGA RATUS ENAM PULUH  RIBU  RUPIAH</v>
          </cell>
        </row>
        <row r="6">
          <cell r="C6" t="str">
            <v>SATU MILYAR SERATUS SEPULUH  JUTA  RUPIAH</v>
          </cell>
        </row>
        <row r="7">
          <cell r="C7" t="str">
            <v>SATU MILYAR TIGA RATUS DELAPAN JUTA  RUPIAH</v>
          </cell>
        </row>
      </sheetData>
      <sheetData sheetId="1"/>
      <sheetData sheetId="2"/>
      <sheetData sheetId="3"/>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TOKO DAN KSM (2)"/>
      <sheetName val="DATA REKENING PENGEMPON"/>
      <sheetName val="DATA BASE PER DESA-KELURAHAN"/>
      <sheetName val="Upah Bahan"/>
      <sheetName val="92"/>
      <sheetName val="94"/>
      <sheetName val="93"/>
      <sheetName val="43"/>
      <sheetName val="88"/>
      <sheetName val="41"/>
      <sheetName val="91"/>
      <sheetName val="90"/>
      <sheetName val="42"/>
      <sheetName val="87"/>
      <sheetName val="40"/>
      <sheetName val="89"/>
      <sheetName val="86"/>
    </sheetNames>
    <sheetDataSet>
      <sheetData sheetId="0" refreshError="1"/>
      <sheetData sheetId="1">
        <row r="9">
          <cell r="A9">
            <v>1</v>
          </cell>
          <cell r="B9" t="str">
            <v>SUMARYONO</v>
          </cell>
          <cell r="C9" t="str">
            <v>L</v>
          </cell>
          <cell r="D9" t="str">
            <v>3305141711640002</v>
          </cell>
          <cell r="E9" t="str">
            <v>PENGEMPON KIDUL RT 03/RW 01</v>
          </cell>
          <cell r="F9" t="str">
            <v>PANGEMPON</v>
          </cell>
          <cell r="G9" t="str">
            <v>SRUWENG</v>
          </cell>
          <cell r="H9" t="str">
            <v>KEBUMEN</v>
          </cell>
          <cell r="I9" t="str">
            <v>JAWA TENGAH</v>
          </cell>
          <cell r="J9">
            <v>15000000</v>
          </cell>
          <cell r="K9" t="str">
            <v>00696</v>
          </cell>
          <cell r="L9" t="str">
            <v>KCP Kebumen</v>
          </cell>
          <cell r="M9" t="str">
            <v>3115013305141711640002</v>
          </cell>
          <cell r="N9" t="str">
            <v>0000069601590008822</v>
          </cell>
          <cell r="O9" t="str">
            <v>SR58312</v>
          </cell>
        </row>
        <row r="10">
          <cell r="A10">
            <v>2</v>
          </cell>
          <cell r="B10" t="str">
            <v>SUTOMO</v>
          </cell>
          <cell r="C10" t="str">
            <v>L</v>
          </cell>
          <cell r="D10" t="str">
            <v>3305141612740003</v>
          </cell>
          <cell r="E10" t="str">
            <v>PENGEMPON KIDUL RT 03/RW 01</v>
          </cell>
          <cell r="F10" t="str">
            <v>PANGEMPON</v>
          </cell>
          <cell r="G10" t="str">
            <v>SRUWENG</v>
          </cell>
          <cell r="H10" t="str">
            <v>KEBUMEN</v>
          </cell>
          <cell r="I10" t="str">
            <v>JAWA TENGAH</v>
          </cell>
          <cell r="J10">
            <v>15000000</v>
          </cell>
          <cell r="K10" t="str">
            <v>00696</v>
          </cell>
          <cell r="L10" t="str">
            <v>KCP Kebumen</v>
          </cell>
          <cell r="M10" t="str">
            <v>3115013305141612740003</v>
          </cell>
          <cell r="N10" t="str">
            <v>0000069601590009404</v>
          </cell>
          <cell r="O10" t="str">
            <v>SR58370</v>
          </cell>
        </row>
        <row r="11">
          <cell r="A11">
            <v>3</v>
          </cell>
          <cell r="B11" t="str">
            <v>SIDIK</v>
          </cell>
          <cell r="C11" t="str">
            <v>L</v>
          </cell>
          <cell r="D11" t="str">
            <v>3305143112640012</v>
          </cell>
          <cell r="E11" t="str">
            <v>PENGEMPON RT 04/RW 01</v>
          </cell>
          <cell r="F11" t="str">
            <v>PANGEMPON</v>
          </cell>
          <cell r="G11" t="str">
            <v>SRUWENG</v>
          </cell>
          <cell r="H11" t="str">
            <v>KEBUMEN</v>
          </cell>
          <cell r="I11" t="str">
            <v>JAWA TENGAH</v>
          </cell>
          <cell r="J11">
            <v>15000000</v>
          </cell>
          <cell r="K11" t="str">
            <v>00696</v>
          </cell>
          <cell r="L11" t="str">
            <v>KCP Kebumen</v>
          </cell>
          <cell r="M11" t="str">
            <v>3115013305143112640012</v>
          </cell>
          <cell r="N11" t="str">
            <v>0000069601590007745</v>
          </cell>
          <cell r="O11" t="str">
            <v>SR58204</v>
          </cell>
        </row>
        <row r="12">
          <cell r="A12">
            <v>4</v>
          </cell>
          <cell r="B12" t="str">
            <v>AHMAD JAHUDIN</v>
          </cell>
          <cell r="C12" t="str">
            <v>L</v>
          </cell>
          <cell r="D12" t="str">
            <v>3305143011590001</v>
          </cell>
          <cell r="E12" t="str">
            <v>PENGEMPON RT 04/RW 01</v>
          </cell>
          <cell r="F12" t="str">
            <v>PANGEMPON</v>
          </cell>
          <cell r="G12" t="str">
            <v>SRUWENG</v>
          </cell>
          <cell r="H12" t="str">
            <v>KEBUMEN</v>
          </cell>
          <cell r="I12" t="str">
            <v>JAWA TENGAH</v>
          </cell>
          <cell r="J12">
            <v>15000000</v>
          </cell>
          <cell r="K12" t="str">
            <v>00696</v>
          </cell>
          <cell r="L12" t="str">
            <v>KCP Kebumen</v>
          </cell>
          <cell r="M12" t="str">
            <v>3115013305143011590001</v>
          </cell>
          <cell r="N12" t="str">
            <v>0000069601590000280</v>
          </cell>
          <cell r="O12" t="str">
            <v>AK77983</v>
          </cell>
        </row>
        <row r="13">
          <cell r="A13">
            <v>5</v>
          </cell>
          <cell r="B13" t="str">
            <v>MUKSON</v>
          </cell>
          <cell r="C13" t="str">
            <v>L</v>
          </cell>
          <cell r="D13" t="str">
            <v>3305140802740001</v>
          </cell>
          <cell r="E13" t="str">
            <v>PENGEMPON RT 04/RW 01</v>
          </cell>
          <cell r="F13" t="str">
            <v>PANGEMPON</v>
          </cell>
          <cell r="G13" t="str">
            <v>SRUWENG</v>
          </cell>
          <cell r="H13" t="str">
            <v>KEBUMEN</v>
          </cell>
          <cell r="I13" t="str">
            <v>JAWA TENGAH</v>
          </cell>
          <cell r="J13">
            <v>15000000</v>
          </cell>
          <cell r="K13" t="str">
            <v>00696</v>
          </cell>
          <cell r="L13" t="str">
            <v>KCP Kebumen</v>
          </cell>
          <cell r="M13" t="str">
            <v>3115013305140802740001</v>
          </cell>
          <cell r="N13" t="str">
            <v>0000069601590004022</v>
          </cell>
          <cell r="O13" t="str">
            <v>MJ16135</v>
          </cell>
        </row>
        <row r="14">
          <cell r="A14">
            <v>6</v>
          </cell>
          <cell r="B14" t="str">
            <v>WAKINGAH</v>
          </cell>
          <cell r="C14" t="str">
            <v>P</v>
          </cell>
          <cell r="D14" t="str">
            <v>3305146405530001</v>
          </cell>
          <cell r="E14" t="str">
            <v>PENGEMPON RT 04/RW 01</v>
          </cell>
          <cell r="F14" t="str">
            <v>PANGEMPON</v>
          </cell>
          <cell r="G14" t="str">
            <v>SRUWENG</v>
          </cell>
          <cell r="H14" t="str">
            <v>KEBUMEN</v>
          </cell>
          <cell r="I14" t="str">
            <v>JAWA TENGAH</v>
          </cell>
          <cell r="J14">
            <v>15000000</v>
          </cell>
          <cell r="K14" t="str">
            <v>00696</v>
          </cell>
          <cell r="L14" t="str">
            <v>KCP Kebumen</v>
          </cell>
          <cell r="M14" t="str">
            <v>3115013305146405530001</v>
          </cell>
          <cell r="N14" t="str">
            <v>0000069601590010269</v>
          </cell>
          <cell r="O14" t="str">
            <v>W399049</v>
          </cell>
        </row>
        <row r="15">
          <cell r="A15">
            <v>7</v>
          </cell>
          <cell r="B15" t="str">
            <v>SARINGAH</v>
          </cell>
          <cell r="C15" t="str">
            <v>P</v>
          </cell>
          <cell r="D15" t="str">
            <v>3305145304550001</v>
          </cell>
          <cell r="E15" t="str">
            <v>PENGEMPON CINGKRANG RT 04/RW 01</v>
          </cell>
          <cell r="F15" t="str">
            <v>PANGEMPON</v>
          </cell>
          <cell r="G15" t="str">
            <v>SRUWENG</v>
          </cell>
          <cell r="H15" t="str">
            <v>KEBUMEN</v>
          </cell>
          <cell r="I15" t="str">
            <v>JAWA TENGAH</v>
          </cell>
          <cell r="J15">
            <v>15000000</v>
          </cell>
          <cell r="K15" t="str">
            <v>00696</v>
          </cell>
          <cell r="L15" t="str">
            <v>KCP Kebumen</v>
          </cell>
          <cell r="M15" t="str">
            <v>3115013305145304550001</v>
          </cell>
          <cell r="N15" t="str">
            <v>0000069601590007258</v>
          </cell>
          <cell r="O15" t="str">
            <v>SR58155</v>
          </cell>
        </row>
        <row r="16">
          <cell r="A16">
            <v>8</v>
          </cell>
          <cell r="B16" t="str">
            <v>MUNASIR</v>
          </cell>
          <cell r="C16" t="str">
            <v>L</v>
          </cell>
          <cell r="D16" t="str">
            <v>3305143112400027</v>
          </cell>
          <cell r="E16" t="str">
            <v>PENGEMPON RT 01/RW 02</v>
          </cell>
          <cell r="F16" t="str">
            <v>PANGEMPON</v>
          </cell>
          <cell r="G16" t="str">
            <v>SRUWENG</v>
          </cell>
          <cell r="H16" t="str">
            <v>KEBUMEN</v>
          </cell>
          <cell r="I16" t="str">
            <v>JAWA TENGAH</v>
          </cell>
          <cell r="J16">
            <v>15000000</v>
          </cell>
          <cell r="K16" t="str">
            <v>00696</v>
          </cell>
          <cell r="L16" t="str">
            <v>KCP Kebumen</v>
          </cell>
          <cell r="M16" t="str">
            <v>3115013305143112400027</v>
          </cell>
          <cell r="N16" t="str">
            <v>0000069601590004098</v>
          </cell>
          <cell r="O16" t="str">
            <v>MJ16142</v>
          </cell>
        </row>
        <row r="17">
          <cell r="A17">
            <v>9</v>
          </cell>
          <cell r="B17" t="str">
            <v>NASRIYATUN</v>
          </cell>
          <cell r="C17" t="str">
            <v>P</v>
          </cell>
          <cell r="D17" t="str">
            <v>3305145608720001</v>
          </cell>
          <cell r="E17" t="str">
            <v>PENGEMPON LOR RT 01/RW 02</v>
          </cell>
          <cell r="F17" t="str">
            <v>PANGEMPON</v>
          </cell>
          <cell r="G17" t="str">
            <v>SRUWENG</v>
          </cell>
          <cell r="H17" t="str">
            <v>KEBUMEN</v>
          </cell>
          <cell r="I17" t="str">
            <v>JAWA TENGAH</v>
          </cell>
          <cell r="J17">
            <v>15000000</v>
          </cell>
          <cell r="K17" t="str">
            <v>00696</v>
          </cell>
          <cell r="L17" t="str">
            <v>KCP Kebumen</v>
          </cell>
          <cell r="M17" t="str">
            <v>3115013305145608720001</v>
          </cell>
          <cell r="N17" t="str">
            <v>0000069601590004404</v>
          </cell>
          <cell r="O17" t="str">
            <v>N963061</v>
          </cell>
        </row>
        <row r="18">
          <cell r="A18">
            <v>10</v>
          </cell>
          <cell r="B18" t="str">
            <v>MUDAKIR</v>
          </cell>
          <cell r="C18" t="str">
            <v>L</v>
          </cell>
          <cell r="D18" t="str">
            <v>3305140406580001</v>
          </cell>
          <cell r="E18" t="str">
            <v>PENGEMPON RT 01/RW 02</v>
          </cell>
          <cell r="F18" t="str">
            <v>PANGEMPON</v>
          </cell>
          <cell r="G18" t="str">
            <v>SRUWENG</v>
          </cell>
          <cell r="H18" t="str">
            <v>KEBUMEN</v>
          </cell>
          <cell r="I18" t="str">
            <v>JAWA TENGAH</v>
          </cell>
          <cell r="J18">
            <v>15000000</v>
          </cell>
          <cell r="K18" t="str">
            <v>00696</v>
          </cell>
          <cell r="L18" t="str">
            <v>KCP Kebumen</v>
          </cell>
          <cell r="M18" t="str">
            <v>3115013305140406580001</v>
          </cell>
          <cell r="N18" t="str">
            <v>0000069601590003775</v>
          </cell>
          <cell r="O18" t="str">
            <v>MJ16110</v>
          </cell>
        </row>
        <row r="19">
          <cell r="A19">
            <v>11</v>
          </cell>
          <cell r="B19" t="str">
            <v>NAFINGATUN</v>
          </cell>
          <cell r="C19" t="str">
            <v>P</v>
          </cell>
          <cell r="D19" t="str">
            <v>3305144906630002</v>
          </cell>
          <cell r="E19" t="str">
            <v>PENGEMPON RT 03/RW 01</v>
          </cell>
          <cell r="F19" t="str">
            <v>PANGEMPON</v>
          </cell>
          <cell r="G19" t="str">
            <v>SRUWENG</v>
          </cell>
          <cell r="H19" t="str">
            <v>KEBUMEN</v>
          </cell>
          <cell r="I19" t="str">
            <v>JAWA TENGAH</v>
          </cell>
          <cell r="J19">
            <v>15000000</v>
          </cell>
          <cell r="K19" t="str">
            <v>00696</v>
          </cell>
          <cell r="L19" t="str">
            <v>KCP Kebumen</v>
          </cell>
          <cell r="M19" t="str">
            <v>3115013305144906630002</v>
          </cell>
          <cell r="N19" t="str">
            <v>0000069601590004307</v>
          </cell>
          <cell r="O19" t="str">
            <v>N963051</v>
          </cell>
        </row>
        <row r="20">
          <cell r="A20">
            <v>12</v>
          </cell>
          <cell r="B20" t="str">
            <v>ROHAEDI</v>
          </cell>
          <cell r="C20" t="str">
            <v>L</v>
          </cell>
          <cell r="D20" t="str">
            <v>3305140605840001</v>
          </cell>
          <cell r="E20" t="str">
            <v>PENGEMPON RT 01/RW 02</v>
          </cell>
          <cell r="F20" t="str">
            <v>PANGEMPON</v>
          </cell>
          <cell r="G20" t="str">
            <v>SRUWENG</v>
          </cell>
          <cell r="H20" t="str">
            <v>KEBUMEN</v>
          </cell>
          <cell r="I20" t="str">
            <v>JAWA TENGAH</v>
          </cell>
          <cell r="J20">
            <v>15000000</v>
          </cell>
          <cell r="K20" t="str">
            <v>00696</v>
          </cell>
          <cell r="L20" t="str">
            <v>KCP Kebumen</v>
          </cell>
          <cell r="M20" t="str">
            <v>3115013305140605840001</v>
          </cell>
          <cell r="N20" t="str">
            <v>0000069601590005751</v>
          </cell>
          <cell r="O20" t="str">
            <v>RB69890</v>
          </cell>
        </row>
        <row r="21">
          <cell r="A21">
            <v>13</v>
          </cell>
          <cell r="B21" t="str">
            <v>WAKHIRUDIN</v>
          </cell>
          <cell r="C21" t="str">
            <v>L</v>
          </cell>
          <cell r="D21" t="str">
            <v>3305141108700004</v>
          </cell>
          <cell r="E21" t="str">
            <v>PENGEMPON RT 02/RW 02</v>
          </cell>
          <cell r="F21" t="str">
            <v>PANGEMPON</v>
          </cell>
          <cell r="G21" t="str">
            <v>SRUWENG</v>
          </cell>
          <cell r="H21" t="str">
            <v>KEBUMEN</v>
          </cell>
          <cell r="I21" t="str">
            <v>JAWA TENGAH</v>
          </cell>
          <cell r="J21">
            <v>15000000</v>
          </cell>
          <cell r="K21" t="str">
            <v>00696</v>
          </cell>
          <cell r="L21" t="str">
            <v>KCP Kebumen</v>
          </cell>
          <cell r="M21" t="str">
            <v>3115013305141108700004</v>
          </cell>
          <cell r="N21" t="str">
            <v>0000069601590010251</v>
          </cell>
          <cell r="O21" t="str">
            <v>W399048</v>
          </cell>
        </row>
        <row r="22">
          <cell r="A22">
            <v>14</v>
          </cell>
          <cell r="B22" t="str">
            <v>KATIYO</v>
          </cell>
          <cell r="C22" t="str">
            <v>L</v>
          </cell>
          <cell r="D22" t="str">
            <v>3305141610540001</v>
          </cell>
          <cell r="E22" t="str">
            <v>PENGEMPON RT 02/RW 02</v>
          </cell>
          <cell r="F22" t="str">
            <v>PANGEMPON</v>
          </cell>
          <cell r="G22" t="str">
            <v>SRUWENG</v>
          </cell>
          <cell r="H22" t="str">
            <v>KEBUMEN</v>
          </cell>
          <cell r="I22" t="str">
            <v>JAWA TENGAH</v>
          </cell>
          <cell r="J22">
            <v>15000000</v>
          </cell>
          <cell r="K22" t="str">
            <v>00696</v>
          </cell>
          <cell r="L22" t="str">
            <v>KCP Kebumen</v>
          </cell>
          <cell r="M22" t="str">
            <v>3115013305141610540001</v>
          </cell>
          <cell r="N22" t="str">
            <v>0000069601590002282</v>
          </cell>
          <cell r="O22" t="str">
            <v>K483383</v>
          </cell>
        </row>
        <row r="23">
          <cell r="A23">
            <v>15</v>
          </cell>
          <cell r="B23" t="str">
            <v>MANISAH</v>
          </cell>
          <cell r="C23" t="str">
            <v>P</v>
          </cell>
          <cell r="D23" t="str">
            <v>3305147112590002</v>
          </cell>
          <cell r="E23" t="str">
            <v>PENGEMPON RT 02/RW 02</v>
          </cell>
          <cell r="F23" t="str">
            <v>PANGEMPON</v>
          </cell>
          <cell r="G23" t="str">
            <v>SRUWENG</v>
          </cell>
          <cell r="H23" t="str">
            <v>KEBUMEN</v>
          </cell>
          <cell r="I23" t="str">
            <v>JAWA TENGAH</v>
          </cell>
          <cell r="J23">
            <v>15000000</v>
          </cell>
          <cell r="K23" t="str">
            <v>00696</v>
          </cell>
          <cell r="L23" t="str">
            <v>KCP Kebumen</v>
          </cell>
          <cell r="M23" t="str">
            <v>3115013305147112590002</v>
          </cell>
          <cell r="N23" t="str">
            <v>0000069601590003149</v>
          </cell>
          <cell r="O23" t="str">
            <v>MJ16047</v>
          </cell>
        </row>
        <row r="24">
          <cell r="A24">
            <v>17</v>
          </cell>
          <cell r="B24" t="str">
            <v>MADKASRI</v>
          </cell>
          <cell r="C24" t="str">
            <v>L</v>
          </cell>
          <cell r="D24" t="str">
            <v>3305143007370001</v>
          </cell>
          <cell r="E24" t="str">
            <v>PENGEMPON RT 02/RW 02</v>
          </cell>
          <cell r="F24" t="str">
            <v>PANGEMPON</v>
          </cell>
          <cell r="G24" t="str">
            <v>SRUWENG</v>
          </cell>
          <cell r="H24" t="str">
            <v>KEBUMEN</v>
          </cell>
          <cell r="I24" t="str">
            <v>JAWA TENGAH</v>
          </cell>
          <cell r="J24">
            <v>15000000</v>
          </cell>
          <cell r="K24" t="str">
            <v>00696</v>
          </cell>
          <cell r="L24" t="str">
            <v>KCP Kebumen</v>
          </cell>
          <cell r="M24" t="str">
            <v>3115013305143007370001</v>
          </cell>
          <cell r="N24" t="str">
            <v>0000069601590002973</v>
          </cell>
          <cell r="O24" t="str">
            <v>MJ16030</v>
          </cell>
        </row>
        <row r="25">
          <cell r="A25">
            <v>18</v>
          </cell>
          <cell r="B25" t="str">
            <v>SADIRAN</v>
          </cell>
          <cell r="C25" t="str">
            <v>L</v>
          </cell>
          <cell r="D25" t="str">
            <v>3305143112480010</v>
          </cell>
          <cell r="E25" t="str">
            <v>PENGEMPON RT 02/RW 02</v>
          </cell>
          <cell r="F25" t="str">
            <v>PANGEMPON</v>
          </cell>
          <cell r="G25" t="str">
            <v>SRUWENG</v>
          </cell>
          <cell r="H25" t="str">
            <v>KEBUMEN</v>
          </cell>
          <cell r="I25" t="str">
            <v>JAWA TENGAH</v>
          </cell>
          <cell r="J25">
            <v>15000000</v>
          </cell>
          <cell r="K25" t="str">
            <v>00696</v>
          </cell>
          <cell r="L25" t="str">
            <v>KCP Kebumen</v>
          </cell>
          <cell r="M25" t="str">
            <v>3115013305143112480010</v>
          </cell>
          <cell r="N25" t="str">
            <v>0000069601590006032</v>
          </cell>
          <cell r="O25" t="str">
            <v>SR58033</v>
          </cell>
        </row>
        <row r="26">
          <cell r="A26">
            <v>19</v>
          </cell>
          <cell r="B26" t="str">
            <v>SURATIYAH</v>
          </cell>
          <cell r="C26" t="str">
            <v>P</v>
          </cell>
          <cell r="D26" t="str">
            <v>3305145403740002</v>
          </cell>
          <cell r="E26" t="str">
            <v>PENGEMPON RT 02/RW 02</v>
          </cell>
          <cell r="F26" t="str">
            <v>PANGEMPON</v>
          </cell>
          <cell r="G26" t="str">
            <v>SRUWENG</v>
          </cell>
          <cell r="H26" t="str">
            <v>KEBUMEN</v>
          </cell>
          <cell r="I26" t="str">
            <v>JAWA TENGAH</v>
          </cell>
          <cell r="J26">
            <v>15000000</v>
          </cell>
          <cell r="K26" t="str">
            <v>00696</v>
          </cell>
          <cell r="L26" t="str">
            <v>KCP Kebumen</v>
          </cell>
          <cell r="M26" t="str">
            <v>3115013305145403740002</v>
          </cell>
          <cell r="N26" t="str">
            <v>0000069601590009153</v>
          </cell>
          <cell r="O26" t="str">
            <v>SR58345</v>
          </cell>
        </row>
        <row r="27">
          <cell r="A27">
            <v>20</v>
          </cell>
          <cell r="B27" t="str">
            <v>WATINI</v>
          </cell>
          <cell r="C27" t="str">
            <v>P</v>
          </cell>
          <cell r="D27" t="str">
            <v>3305146405550001</v>
          </cell>
          <cell r="E27" t="str">
            <v>PENGEMPON RT 02/RW 02</v>
          </cell>
          <cell r="F27" t="str">
            <v>PANGEMPON</v>
          </cell>
          <cell r="G27" t="str">
            <v>SRUWENG</v>
          </cell>
          <cell r="H27" t="str">
            <v>KEBUMEN</v>
          </cell>
          <cell r="I27" t="str">
            <v>JAWA TENGAH</v>
          </cell>
          <cell r="J27">
            <v>15000000</v>
          </cell>
          <cell r="K27" t="str">
            <v>00696</v>
          </cell>
          <cell r="L27" t="str">
            <v>KCP Kebumen</v>
          </cell>
          <cell r="M27" t="str">
            <v>3115013305146405550001</v>
          </cell>
          <cell r="N27" t="str">
            <v>0000069601590010659</v>
          </cell>
          <cell r="O27" t="str">
            <v>W399088</v>
          </cell>
        </row>
        <row r="28">
          <cell r="A28">
            <v>21</v>
          </cell>
          <cell r="B28" t="str">
            <v>SAROTUN</v>
          </cell>
          <cell r="C28" t="str">
            <v>L</v>
          </cell>
          <cell r="D28" t="str">
            <v>3305142512780001</v>
          </cell>
          <cell r="E28" t="str">
            <v>PENGEMPON RT 02/RW 02</v>
          </cell>
          <cell r="F28" t="str">
            <v>PANGEMPON</v>
          </cell>
          <cell r="G28" t="str">
            <v>SRUWENG</v>
          </cell>
          <cell r="H28" t="str">
            <v>KEBUMEN</v>
          </cell>
          <cell r="I28" t="str">
            <v>JAWA TENGAH</v>
          </cell>
          <cell r="J28">
            <v>15000000</v>
          </cell>
          <cell r="K28" t="str">
            <v>00696</v>
          </cell>
          <cell r="L28" t="str">
            <v>KCP Kebumen</v>
          </cell>
          <cell r="M28" t="str">
            <v>3115013305142512780001</v>
          </cell>
          <cell r="N28" t="str">
            <v>0000069601590007397</v>
          </cell>
          <cell r="O28" t="str">
            <v>SR58169</v>
          </cell>
        </row>
        <row r="29">
          <cell r="A29">
            <v>22</v>
          </cell>
          <cell r="B29" t="str">
            <v>AGUS BUDIANTO</v>
          </cell>
          <cell r="C29" t="str">
            <v>L</v>
          </cell>
          <cell r="D29" t="str">
            <v>3305141008830011</v>
          </cell>
          <cell r="E29" t="str">
            <v>PENGEMPON RT 02/RW 02</v>
          </cell>
          <cell r="F29" t="str">
            <v>PANGEMPON</v>
          </cell>
          <cell r="G29" t="str">
            <v>SRUWENG</v>
          </cell>
          <cell r="H29" t="str">
            <v>KEBUMEN</v>
          </cell>
          <cell r="I29" t="str">
            <v>JAWA TENGAH</v>
          </cell>
          <cell r="J29">
            <v>15000000</v>
          </cell>
          <cell r="K29" t="str">
            <v>00696</v>
          </cell>
          <cell r="L29" t="str">
            <v>KCP Kebumen</v>
          </cell>
          <cell r="M29" t="str">
            <v>3115013305141008830011</v>
          </cell>
          <cell r="N29" t="str">
            <v>0000069601590000230</v>
          </cell>
          <cell r="O29" t="str">
            <v>AK77978</v>
          </cell>
        </row>
        <row r="30">
          <cell r="A30">
            <v>23</v>
          </cell>
          <cell r="B30" t="str">
            <v>SRI HARYATI</v>
          </cell>
          <cell r="C30" t="str">
            <v>P</v>
          </cell>
          <cell r="D30" t="str">
            <v>3305145206600006</v>
          </cell>
          <cell r="E30" t="str">
            <v>PENGEMPON RT 02/RW 02</v>
          </cell>
          <cell r="F30" t="str">
            <v>PANGEMPON</v>
          </cell>
          <cell r="G30" t="str">
            <v>SRUWENG</v>
          </cell>
          <cell r="H30" t="str">
            <v>KEBUMEN</v>
          </cell>
          <cell r="I30" t="str">
            <v>JAWA TENGAH</v>
          </cell>
          <cell r="J30">
            <v>15000000</v>
          </cell>
          <cell r="K30" t="str">
            <v>00696</v>
          </cell>
          <cell r="L30" t="str">
            <v>KCP Kebumen</v>
          </cell>
          <cell r="M30" t="str">
            <v>3115013305145206600006</v>
          </cell>
          <cell r="N30" t="str">
            <v>0000069601590008327</v>
          </cell>
          <cell r="O30" t="str">
            <v>SR58262</v>
          </cell>
        </row>
        <row r="31">
          <cell r="A31">
            <v>24</v>
          </cell>
          <cell r="B31" t="str">
            <v>SLAMET HARYANTO</v>
          </cell>
          <cell r="C31" t="str">
            <v>L</v>
          </cell>
          <cell r="D31" t="str">
            <v>3305142001830006</v>
          </cell>
          <cell r="E31" t="str">
            <v>PENGEMPON RT 02/RW 02</v>
          </cell>
          <cell r="F31" t="str">
            <v>PANGEMPON</v>
          </cell>
          <cell r="G31" t="str">
            <v>SRUWENG</v>
          </cell>
          <cell r="H31" t="str">
            <v>KEBUMEN</v>
          </cell>
          <cell r="I31" t="str">
            <v>JAWA TENGAH</v>
          </cell>
          <cell r="J31">
            <v>15000000</v>
          </cell>
          <cell r="K31" t="str">
            <v>00696</v>
          </cell>
          <cell r="L31" t="str">
            <v>KCP Kebumen</v>
          </cell>
          <cell r="M31" t="str">
            <v>3115013305142001830006</v>
          </cell>
          <cell r="N31" t="str">
            <v>0000069601590008026</v>
          </cell>
          <cell r="O31" t="str">
            <v>SR58232</v>
          </cell>
        </row>
        <row r="32">
          <cell r="A32">
            <v>25</v>
          </cell>
          <cell r="B32" t="str">
            <v>KARTIMIN</v>
          </cell>
          <cell r="C32" t="str">
            <v>L</v>
          </cell>
          <cell r="D32" t="str">
            <v>3305142612457594</v>
          </cell>
          <cell r="E32" t="str">
            <v>PENGEMPON RT 03/RW 02</v>
          </cell>
          <cell r="F32" t="str">
            <v>PANGEMPON</v>
          </cell>
          <cell r="G32" t="str">
            <v>SRUWENG</v>
          </cell>
          <cell r="H32" t="str">
            <v>KEBUMEN</v>
          </cell>
          <cell r="I32" t="str">
            <v>JAWA TENGAH</v>
          </cell>
          <cell r="J32">
            <v>15000000</v>
          </cell>
          <cell r="K32" t="str">
            <v>00696</v>
          </cell>
          <cell r="L32" t="str">
            <v>KCP Kebumen</v>
          </cell>
          <cell r="M32" t="str">
            <v>3115013305142612457594</v>
          </cell>
          <cell r="N32" t="str">
            <v>0000069601590001888</v>
          </cell>
          <cell r="O32" t="str">
            <v>K483343</v>
          </cell>
        </row>
        <row r="33">
          <cell r="A33">
            <v>28</v>
          </cell>
          <cell r="B33" t="str">
            <v>SARIJAN</v>
          </cell>
          <cell r="C33" t="str">
            <v>L</v>
          </cell>
          <cell r="D33" t="str">
            <v>3305141009730004</v>
          </cell>
          <cell r="E33" t="str">
            <v>PENGEMPON RT 04/RW 02</v>
          </cell>
          <cell r="F33" t="str">
            <v>PANGEMPON</v>
          </cell>
          <cell r="G33" t="str">
            <v>SRUWENG</v>
          </cell>
          <cell r="H33" t="str">
            <v>KEBUMEN</v>
          </cell>
          <cell r="I33" t="str">
            <v>JAWA TENGAH</v>
          </cell>
          <cell r="J33">
            <v>15000000</v>
          </cell>
          <cell r="K33" t="str">
            <v>00696</v>
          </cell>
          <cell r="L33" t="str">
            <v>KCP Kebumen</v>
          </cell>
          <cell r="M33" t="str">
            <v>3115013305141009730004</v>
          </cell>
          <cell r="N33" t="str">
            <v>0000069601590007151</v>
          </cell>
          <cell r="O33" t="str">
            <v>SR58145</v>
          </cell>
        </row>
        <row r="34">
          <cell r="A34">
            <v>29</v>
          </cell>
          <cell r="B34" t="str">
            <v>SUTARMAN</v>
          </cell>
          <cell r="C34" t="str">
            <v>L</v>
          </cell>
          <cell r="D34" t="str">
            <v>3305140608720001</v>
          </cell>
          <cell r="E34" t="str">
            <v>PENGEMPON RT 04/RW 02</v>
          </cell>
          <cell r="F34" t="str">
            <v>PANGEMPON</v>
          </cell>
          <cell r="G34" t="str">
            <v>SRUWENG</v>
          </cell>
          <cell r="H34" t="str">
            <v>KEBUMEN</v>
          </cell>
          <cell r="I34" t="str">
            <v>JAWA TENGAH</v>
          </cell>
          <cell r="J34">
            <v>15000000</v>
          </cell>
          <cell r="K34" t="str">
            <v>00696</v>
          </cell>
          <cell r="L34" t="str">
            <v>KCP Kebumen</v>
          </cell>
          <cell r="M34" t="str">
            <v>3115013305140608720001</v>
          </cell>
          <cell r="N34" t="str">
            <v>0000069601590009315</v>
          </cell>
          <cell r="O34" t="str">
            <v>SR58361</v>
          </cell>
        </row>
        <row r="35">
          <cell r="A35">
            <v>30</v>
          </cell>
          <cell r="B35" t="str">
            <v>MUKHRODI</v>
          </cell>
          <cell r="C35" t="str">
            <v>L</v>
          </cell>
          <cell r="D35" t="str">
            <v>3305142605420001</v>
          </cell>
          <cell r="E35" t="str">
            <v>PENGEMPON RT 04/RW 02</v>
          </cell>
          <cell r="F35" t="str">
            <v>PANGEMPON</v>
          </cell>
          <cell r="G35" t="str">
            <v>SRUWENG</v>
          </cell>
          <cell r="H35" t="str">
            <v>KEBUMEN</v>
          </cell>
          <cell r="I35" t="str">
            <v>JAWA TENGAH</v>
          </cell>
          <cell r="J35">
            <v>15000000</v>
          </cell>
          <cell r="K35" t="str">
            <v>00696</v>
          </cell>
          <cell r="L35" t="str">
            <v>KCP Kebumen</v>
          </cell>
          <cell r="M35" t="str">
            <v>3115013305142605420001</v>
          </cell>
          <cell r="N35" t="str">
            <v>0000069601590004006</v>
          </cell>
          <cell r="O35" t="str">
            <v>MJ16133</v>
          </cell>
        </row>
        <row r="36">
          <cell r="A36">
            <v>31</v>
          </cell>
          <cell r="B36" t="str">
            <v>SUMARDI</v>
          </cell>
          <cell r="C36" t="str">
            <v>L</v>
          </cell>
          <cell r="D36" t="str">
            <v>3305141305650003</v>
          </cell>
          <cell r="E36" t="str">
            <v>PENGEMPON RT 04/RW 02</v>
          </cell>
          <cell r="F36" t="str">
            <v>PANGEMPON</v>
          </cell>
          <cell r="G36" t="str">
            <v>SRUWENG</v>
          </cell>
          <cell r="H36" t="str">
            <v>KEBUMEN</v>
          </cell>
          <cell r="I36" t="str">
            <v>JAWA TENGAH</v>
          </cell>
          <cell r="J36">
            <v>15000000</v>
          </cell>
          <cell r="K36" t="str">
            <v>00696</v>
          </cell>
          <cell r="L36" t="str">
            <v>KCP Kebumen</v>
          </cell>
          <cell r="M36" t="str">
            <v>3115013305141305650003</v>
          </cell>
          <cell r="N36" t="str">
            <v>0000069601590008694</v>
          </cell>
          <cell r="O36" t="str">
            <v>SR58299</v>
          </cell>
        </row>
        <row r="37">
          <cell r="A37">
            <v>32</v>
          </cell>
          <cell r="B37" t="str">
            <v>RATIMAH</v>
          </cell>
          <cell r="C37" t="str">
            <v>P</v>
          </cell>
          <cell r="D37" t="str">
            <v>3305147112410013</v>
          </cell>
          <cell r="E37" t="str">
            <v>PENGEMPON RT 04/RW 02</v>
          </cell>
          <cell r="F37" t="str">
            <v>PANGEMPON</v>
          </cell>
          <cell r="G37" t="str">
            <v>SRUWENG</v>
          </cell>
          <cell r="H37" t="str">
            <v>KEBUMEN</v>
          </cell>
          <cell r="I37" t="str">
            <v>JAWA TENGAH</v>
          </cell>
          <cell r="J37">
            <v>15000000</v>
          </cell>
          <cell r="K37" t="str">
            <v>00696</v>
          </cell>
          <cell r="L37" t="str">
            <v>KCP Kebumen</v>
          </cell>
          <cell r="M37" t="str">
            <v>3115013305147112410013</v>
          </cell>
          <cell r="N37" t="str">
            <v>0000069601590005531</v>
          </cell>
          <cell r="O37" t="str">
            <v>RB69868</v>
          </cell>
        </row>
        <row r="38">
          <cell r="A38">
            <v>33</v>
          </cell>
          <cell r="B38" t="str">
            <v>SATINEM</v>
          </cell>
          <cell r="C38" t="str">
            <v>P</v>
          </cell>
          <cell r="D38" t="str">
            <v>3305145308270001</v>
          </cell>
          <cell r="E38" t="str">
            <v>PENGEMPON RT 04/RW 02</v>
          </cell>
          <cell r="F38" t="str">
            <v>PANGEMPON</v>
          </cell>
          <cell r="G38" t="str">
            <v>SRUWENG</v>
          </cell>
          <cell r="H38" t="str">
            <v>KEBUMEN</v>
          </cell>
          <cell r="I38" t="str">
            <v>JAWA TENGAH</v>
          </cell>
          <cell r="J38">
            <v>15000000</v>
          </cell>
          <cell r="K38" t="str">
            <v>00696</v>
          </cell>
          <cell r="L38" t="str">
            <v>KCP Kebumen</v>
          </cell>
          <cell r="M38" t="str">
            <v>3115013305145308270001</v>
          </cell>
          <cell r="N38" t="str">
            <v>0000069601590007509</v>
          </cell>
          <cell r="O38" t="str">
            <v>SR58180</v>
          </cell>
        </row>
        <row r="39">
          <cell r="A39">
            <v>34</v>
          </cell>
          <cell r="B39" t="str">
            <v xml:space="preserve">AHMAD WARISIN </v>
          </cell>
          <cell r="C39" t="str">
            <v>L</v>
          </cell>
          <cell r="D39" t="str">
            <v>3305140607540001</v>
          </cell>
          <cell r="E39" t="str">
            <v>PENGEMPON RT 04/RW 02</v>
          </cell>
          <cell r="F39" t="str">
            <v>PANGEMPON</v>
          </cell>
          <cell r="G39" t="str">
            <v>SRUWENG</v>
          </cell>
          <cell r="H39" t="str">
            <v>KEBUMEN</v>
          </cell>
          <cell r="I39" t="str">
            <v>JAWA TENGAH</v>
          </cell>
          <cell r="J39">
            <v>15000000</v>
          </cell>
          <cell r="K39" t="str">
            <v>00696</v>
          </cell>
          <cell r="L39" t="str">
            <v>KCP Kebumen</v>
          </cell>
          <cell r="M39" t="str">
            <v>3115013305140607540001</v>
          </cell>
          <cell r="N39" t="str">
            <v>0000069601590000345</v>
          </cell>
          <cell r="O39" t="str">
            <v>AK77989</v>
          </cell>
        </row>
        <row r="40">
          <cell r="A40">
            <v>35</v>
          </cell>
          <cell r="B40" t="str">
            <v>ANISATUN</v>
          </cell>
          <cell r="C40" t="str">
            <v>P</v>
          </cell>
          <cell r="D40" t="str">
            <v>3305144302860003</v>
          </cell>
          <cell r="E40" t="str">
            <v>PENGEMPON RT 02/RW 02</v>
          </cell>
          <cell r="F40" t="str">
            <v>PANGEMPON</v>
          </cell>
          <cell r="G40" t="str">
            <v>SRUWENG</v>
          </cell>
          <cell r="H40" t="str">
            <v>KEBUMEN</v>
          </cell>
          <cell r="I40" t="str">
            <v>JAWA TENGAH</v>
          </cell>
          <cell r="J40">
            <v>15000000</v>
          </cell>
          <cell r="K40" t="str">
            <v>00696</v>
          </cell>
          <cell r="L40" t="str">
            <v>KCP Kebumen</v>
          </cell>
          <cell r="M40" t="str">
            <v>3115013305144302860003</v>
          </cell>
          <cell r="N40" t="str">
            <v>0000069601590000400</v>
          </cell>
          <cell r="O40" t="str">
            <v>AK77995</v>
          </cell>
        </row>
        <row r="41">
          <cell r="A41">
            <v>36</v>
          </cell>
          <cell r="B41" t="str">
            <v>MISKIYAH</v>
          </cell>
          <cell r="C41" t="str">
            <v>P</v>
          </cell>
          <cell r="D41" t="str">
            <v>3305146005650001</v>
          </cell>
          <cell r="E41" t="str">
            <v>PENGEMPON RT 02/RW 03</v>
          </cell>
          <cell r="F41" t="str">
            <v>PANGEMPON</v>
          </cell>
          <cell r="G41" t="str">
            <v>SRUWENG</v>
          </cell>
          <cell r="H41" t="str">
            <v>KEBUMEN</v>
          </cell>
          <cell r="I41" t="str">
            <v>JAWA TENGAH</v>
          </cell>
          <cell r="J41">
            <v>15000000</v>
          </cell>
          <cell r="K41" t="str">
            <v>00696</v>
          </cell>
          <cell r="L41" t="str">
            <v>KCP Kebumen</v>
          </cell>
          <cell r="M41" t="str">
            <v>3115013305146005650001</v>
          </cell>
          <cell r="N41" t="str">
            <v>0000069601590003555</v>
          </cell>
          <cell r="O41" t="str">
            <v>MJ16088</v>
          </cell>
        </row>
        <row r="42">
          <cell r="A42">
            <v>37</v>
          </cell>
          <cell r="B42" t="str">
            <v>NUR FAOJIAH</v>
          </cell>
          <cell r="C42" t="str">
            <v>P</v>
          </cell>
          <cell r="D42" t="str">
            <v>3305144912790003</v>
          </cell>
          <cell r="E42" t="str">
            <v>PENGEMPON RT 03/RW 03</v>
          </cell>
          <cell r="F42" t="str">
            <v>PANGEMPON</v>
          </cell>
          <cell r="G42" t="str">
            <v>SRUWENG</v>
          </cell>
          <cell r="H42" t="str">
            <v>KEBUMEN</v>
          </cell>
          <cell r="I42" t="str">
            <v>JAWA TENGAH</v>
          </cell>
          <cell r="J42">
            <v>15000000</v>
          </cell>
          <cell r="K42" t="str">
            <v>00696</v>
          </cell>
          <cell r="L42" t="str">
            <v>KCP Kebumen</v>
          </cell>
          <cell r="M42" t="str">
            <v>3115013305144912790003</v>
          </cell>
          <cell r="N42" t="str">
            <v>0000069601590004551</v>
          </cell>
          <cell r="O42" t="str">
            <v>N963076</v>
          </cell>
        </row>
        <row r="43">
          <cell r="A43">
            <v>38</v>
          </cell>
          <cell r="B43" t="str">
            <v>PARIYAH</v>
          </cell>
          <cell r="C43" t="str">
            <v>P</v>
          </cell>
          <cell r="D43" t="str">
            <v>3305145602530001</v>
          </cell>
          <cell r="E43" t="str">
            <v>PENGEMPON RT 03/RW 03</v>
          </cell>
          <cell r="F43" t="str">
            <v>PANGEMPON</v>
          </cell>
          <cell r="G43" t="str">
            <v>SRUWENG</v>
          </cell>
          <cell r="H43" t="str">
            <v>KEBUMEN</v>
          </cell>
          <cell r="I43" t="str">
            <v>JAWA TENGAH</v>
          </cell>
          <cell r="J43">
            <v>15000000</v>
          </cell>
          <cell r="K43" t="str">
            <v>00696</v>
          </cell>
          <cell r="L43" t="str">
            <v>KCP Kebumen</v>
          </cell>
          <cell r="M43" t="str">
            <v>3115013305145602530001</v>
          </cell>
          <cell r="N43" t="str">
            <v>0000069601590004810</v>
          </cell>
          <cell r="O43" t="str">
            <v>P392665</v>
          </cell>
        </row>
        <row r="44">
          <cell r="A44">
            <v>39</v>
          </cell>
          <cell r="B44" t="str">
            <v>KUSNADI</v>
          </cell>
          <cell r="C44" t="str">
            <v>L</v>
          </cell>
          <cell r="D44" t="str">
            <v>3305140312830001</v>
          </cell>
          <cell r="E44" t="str">
            <v>PENGEMPON RT 03/RW 03</v>
          </cell>
          <cell r="F44" t="str">
            <v>PANGEMPON</v>
          </cell>
          <cell r="G44" t="str">
            <v>SRUWENG</v>
          </cell>
          <cell r="H44" t="str">
            <v>KEBUMEN</v>
          </cell>
          <cell r="I44" t="str">
            <v>JAWA TENGAH</v>
          </cell>
          <cell r="J44">
            <v>15000000</v>
          </cell>
          <cell r="K44" t="str">
            <v>00696</v>
          </cell>
          <cell r="L44" t="str">
            <v>KCP Kebumen</v>
          </cell>
          <cell r="M44" t="str">
            <v>3115013305140312830001</v>
          </cell>
          <cell r="N44" t="str">
            <v>0000069601590002444</v>
          </cell>
          <cell r="O44" t="str">
            <v>K483399</v>
          </cell>
        </row>
        <row r="45">
          <cell r="A45">
            <v>40</v>
          </cell>
          <cell r="B45" t="str">
            <v>MOHAMAD MURTAKI</v>
          </cell>
          <cell r="C45" t="str">
            <v>L</v>
          </cell>
          <cell r="D45" t="str">
            <v>3305141105680001</v>
          </cell>
          <cell r="E45" t="str">
            <v>PENGEMPON RT 04/RW 03</v>
          </cell>
          <cell r="F45" t="str">
            <v>PANGEMPON</v>
          </cell>
          <cell r="G45" t="str">
            <v>SRUWENG</v>
          </cell>
          <cell r="H45" t="str">
            <v>KEBUMEN</v>
          </cell>
          <cell r="I45" t="str">
            <v>JAWA TENGAH</v>
          </cell>
          <cell r="J45">
            <v>15000000</v>
          </cell>
          <cell r="K45" t="str">
            <v>00696</v>
          </cell>
          <cell r="L45" t="str">
            <v>KCP Kebumen</v>
          </cell>
          <cell r="M45" t="str">
            <v>3115013305141105680001</v>
          </cell>
          <cell r="N45" t="str">
            <v>0000069601590003694</v>
          </cell>
          <cell r="O45" t="str">
            <v>MJ16102</v>
          </cell>
        </row>
        <row r="46">
          <cell r="A46">
            <v>41</v>
          </cell>
          <cell r="B46" t="str">
            <v>SARMINAH</v>
          </cell>
          <cell r="C46" t="str">
            <v>P</v>
          </cell>
          <cell r="D46" t="str">
            <v>3305147112430039</v>
          </cell>
          <cell r="E46" t="str">
            <v>PENGEMPON RT 04/RW 03</v>
          </cell>
          <cell r="F46" t="str">
            <v>PANGEMPON</v>
          </cell>
          <cell r="G46" t="str">
            <v>SRUWENG</v>
          </cell>
          <cell r="H46" t="str">
            <v>KEBUMEN</v>
          </cell>
          <cell r="I46" t="str">
            <v>JAWA TENGAH</v>
          </cell>
          <cell r="J46">
            <v>15000000</v>
          </cell>
          <cell r="K46" t="str">
            <v>00696</v>
          </cell>
          <cell r="L46" t="str">
            <v>KCP Kebumen</v>
          </cell>
          <cell r="M46" t="str">
            <v>3115013305147112430039</v>
          </cell>
          <cell r="N46" t="str">
            <v>0000069601590007355</v>
          </cell>
          <cell r="O46" t="str">
            <v>SR58165</v>
          </cell>
        </row>
        <row r="47">
          <cell r="A47">
            <v>42</v>
          </cell>
          <cell r="B47" t="str">
            <v>BADIRI</v>
          </cell>
          <cell r="C47" t="str">
            <v>L</v>
          </cell>
          <cell r="D47" t="str">
            <v>3305141005420001</v>
          </cell>
          <cell r="E47" t="str">
            <v>PENGEMPON RT 04/RW 03</v>
          </cell>
          <cell r="F47" t="str">
            <v>PANGEMPON</v>
          </cell>
          <cell r="G47" t="str">
            <v>SRUWENG</v>
          </cell>
          <cell r="H47" t="str">
            <v>KEBUMEN</v>
          </cell>
          <cell r="I47" t="str">
            <v>JAWA TENGAH</v>
          </cell>
          <cell r="J47">
            <v>15000000</v>
          </cell>
          <cell r="K47" t="str">
            <v>00696</v>
          </cell>
          <cell r="L47" t="str">
            <v>KCP Kebumen</v>
          </cell>
          <cell r="M47" t="str">
            <v>3115013305141005420001</v>
          </cell>
          <cell r="N47" t="str">
            <v>0000069601590000531</v>
          </cell>
          <cell r="O47" t="str">
            <v>B409484</v>
          </cell>
        </row>
        <row r="48">
          <cell r="A48">
            <v>43</v>
          </cell>
          <cell r="B48" t="str">
            <v>NURHOLIK</v>
          </cell>
          <cell r="C48" t="str">
            <v>L</v>
          </cell>
          <cell r="D48" t="str">
            <v>3305143011450002</v>
          </cell>
          <cell r="E48" t="str">
            <v>PENGEMPON RT 04/RW 03</v>
          </cell>
          <cell r="F48" t="str">
            <v>PANGEMPON</v>
          </cell>
          <cell r="G48" t="str">
            <v>SRUWENG</v>
          </cell>
          <cell r="H48" t="str">
            <v>KEBUMEN</v>
          </cell>
          <cell r="I48" t="str">
            <v>JAWA TENGAH</v>
          </cell>
          <cell r="J48">
            <v>15000000</v>
          </cell>
          <cell r="K48" t="str">
            <v>00696</v>
          </cell>
          <cell r="L48" t="str">
            <v>KCP Kebumen</v>
          </cell>
          <cell r="M48" t="str">
            <v>3115013305143011450002</v>
          </cell>
          <cell r="N48" t="str">
            <v>0000069601590004632</v>
          </cell>
          <cell r="O48" t="str">
            <v>N963084</v>
          </cell>
        </row>
        <row r="49">
          <cell r="A49">
            <v>44</v>
          </cell>
          <cell r="B49" t="str">
            <v>KUSWATI</v>
          </cell>
          <cell r="C49" t="str">
            <v>P</v>
          </cell>
          <cell r="D49" t="str">
            <v>3305146708700001</v>
          </cell>
          <cell r="E49" t="str">
            <v>PENGEMPON RT 01/RW 04</v>
          </cell>
          <cell r="F49" t="str">
            <v>PANGEMPON</v>
          </cell>
          <cell r="G49" t="str">
            <v>SRUWENG</v>
          </cell>
          <cell r="H49" t="str">
            <v>KEBUMEN</v>
          </cell>
          <cell r="I49" t="str">
            <v>JAWA TENGAH</v>
          </cell>
          <cell r="J49">
            <v>15000000</v>
          </cell>
          <cell r="K49" t="str">
            <v>00696</v>
          </cell>
          <cell r="L49" t="str">
            <v>KCP Kebumen</v>
          </cell>
          <cell r="M49" t="str">
            <v>3115013305146708700001</v>
          </cell>
          <cell r="N49" t="str">
            <v>0000069601590002452</v>
          </cell>
          <cell r="O49" t="str">
            <v>K483400</v>
          </cell>
        </row>
        <row r="50">
          <cell r="A50">
            <v>45</v>
          </cell>
          <cell r="B50" t="str">
            <v>HUMEDI</v>
          </cell>
          <cell r="C50" t="str">
            <v>L</v>
          </cell>
          <cell r="D50" t="str">
            <v>3305140705300002</v>
          </cell>
          <cell r="E50" t="str">
            <v>PENGEMPON RT 02/RW 04</v>
          </cell>
          <cell r="F50" t="str">
            <v>PANGEMPON</v>
          </cell>
          <cell r="G50" t="str">
            <v>SRUWENG</v>
          </cell>
          <cell r="H50" t="str">
            <v>KEBUMEN</v>
          </cell>
          <cell r="I50" t="str">
            <v>JAWA TENGAH</v>
          </cell>
          <cell r="J50">
            <v>15000000</v>
          </cell>
          <cell r="K50" t="str">
            <v>00696</v>
          </cell>
          <cell r="L50" t="str">
            <v>KCP Kebumen</v>
          </cell>
          <cell r="M50" t="str">
            <v>3115013305140705300002</v>
          </cell>
          <cell r="N50" t="str">
            <v>0000069601590001333</v>
          </cell>
          <cell r="O50" t="str">
            <v>H765351</v>
          </cell>
        </row>
        <row r="51">
          <cell r="A51">
            <v>47</v>
          </cell>
          <cell r="B51" t="str">
            <v>MASRURI</v>
          </cell>
          <cell r="C51" t="str">
            <v>L</v>
          </cell>
          <cell r="D51" t="str">
            <v>3305141608830001</v>
          </cell>
          <cell r="E51" t="str">
            <v>PENGEMPON RT 02/RW 04</v>
          </cell>
          <cell r="F51" t="str">
            <v>PANGEMPON</v>
          </cell>
          <cell r="G51" t="str">
            <v>SRUWENG</v>
          </cell>
          <cell r="H51" t="str">
            <v>KEBUMEN</v>
          </cell>
          <cell r="I51" t="str">
            <v>JAWA TENGAH</v>
          </cell>
          <cell r="J51">
            <v>15000000</v>
          </cell>
          <cell r="K51" t="str">
            <v>00696</v>
          </cell>
          <cell r="L51" t="str">
            <v>KCP Kebumen</v>
          </cell>
          <cell r="M51" t="str">
            <v>3115013305141608830001</v>
          </cell>
          <cell r="N51" t="str">
            <v>0000069601590003369</v>
          </cell>
          <cell r="O51" t="str">
            <v>MJ16069</v>
          </cell>
        </row>
        <row r="52">
          <cell r="A52">
            <v>48</v>
          </cell>
          <cell r="B52" t="str">
            <v>ROHIMATUN</v>
          </cell>
          <cell r="C52" t="str">
            <v>P</v>
          </cell>
          <cell r="D52" t="str">
            <v>3305146002550003</v>
          </cell>
          <cell r="E52" t="str">
            <v>PENGEMPON RT 02/RW 04</v>
          </cell>
          <cell r="F52" t="str">
            <v>PANGEMPON</v>
          </cell>
          <cell r="G52" t="str">
            <v>SRUWENG</v>
          </cell>
          <cell r="H52" t="str">
            <v>KEBUMEN</v>
          </cell>
          <cell r="I52" t="str">
            <v>JAWA TENGAH</v>
          </cell>
          <cell r="J52">
            <v>15000000</v>
          </cell>
          <cell r="K52" t="str">
            <v>00696</v>
          </cell>
          <cell r="L52" t="str">
            <v>KCP Kebumen</v>
          </cell>
          <cell r="M52" t="str">
            <v>3115013305146002550003</v>
          </cell>
          <cell r="N52" t="str">
            <v>0000069601590005785</v>
          </cell>
          <cell r="O52" t="str">
            <v>RB69893</v>
          </cell>
        </row>
        <row r="53">
          <cell r="A53">
            <v>49</v>
          </cell>
          <cell r="B53" t="str">
            <v>MASNGUDIN</v>
          </cell>
          <cell r="C53" t="str">
            <v>L</v>
          </cell>
          <cell r="D53" t="str">
            <v>3305141312670001</v>
          </cell>
          <cell r="E53" t="str">
            <v>PENGEMPON RT 02/RW 04</v>
          </cell>
          <cell r="F53" t="str">
            <v>PANGEMPON</v>
          </cell>
          <cell r="G53" t="str">
            <v>SRUWENG</v>
          </cell>
          <cell r="H53" t="str">
            <v>KEBUMEN</v>
          </cell>
          <cell r="I53" t="str">
            <v>JAWA TENGAH</v>
          </cell>
          <cell r="J53">
            <v>15000000</v>
          </cell>
          <cell r="K53" t="str">
            <v>00696</v>
          </cell>
          <cell r="L53" t="str">
            <v>KCP Kebumen</v>
          </cell>
          <cell r="M53" t="str">
            <v>3115013305141312670001</v>
          </cell>
          <cell r="N53" t="str">
            <v>0000069601590003351</v>
          </cell>
          <cell r="O53" t="str">
            <v>MJ16068</v>
          </cell>
        </row>
        <row r="54">
          <cell r="A54">
            <v>50</v>
          </cell>
          <cell r="B54" t="str">
            <v>SALIMIN</v>
          </cell>
          <cell r="C54" t="str">
            <v>L</v>
          </cell>
          <cell r="D54" t="str">
            <v>3305143012470005</v>
          </cell>
          <cell r="E54" t="str">
            <v>PENGEMPON RT 02/RW 04</v>
          </cell>
          <cell r="F54" t="str">
            <v>PANGEMPON</v>
          </cell>
          <cell r="G54" t="str">
            <v>SRUWENG</v>
          </cell>
          <cell r="H54" t="str">
            <v>KEBUMEN</v>
          </cell>
          <cell r="I54" t="str">
            <v>JAWA TENGAH</v>
          </cell>
          <cell r="J54">
            <v>15000000</v>
          </cell>
          <cell r="K54" t="str">
            <v>00696</v>
          </cell>
          <cell r="L54" t="str">
            <v>KCP Kebumen</v>
          </cell>
          <cell r="M54" t="str">
            <v>3115013305143012470005</v>
          </cell>
          <cell r="N54" t="str">
            <v>0000069601590006422</v>
          </cell>
          <cell r="O54" t="str">
            <v>SR58072</v>
          </cell>
        </row>
        <row r="55">
          <cell r="A55">
            <v>51</v>
          </cell>
          <cell r="B55" t="str">
            <v>MU'MININ</v>
          </cell>
          <cell r="C55" t="str">
            <v>L</v>
          </cell>
          <cell r="D55" t="str">
            <v>3305140101630001</v>
          </cell>
          <cell r="E55" t="str">
            <v>PENGEMPON RT 02/RW 04</v>
          </cell>
          <cell r="F55" t="str">
            <v>PANGEMPON</v>
          </cell>
          <cell r="G55" t="str">
            <v>SRUWENG</v>
          </cell>
          <cell r="H55" t="str">
            <v>KEBUMEN</v>
          </cell>
          <cell r="I55" t="str">
            <v>JAWA TENGAH</v>
          </cell>
          <cell r="J55">
            <v>15000000</v>
          </cell>
          <cell r="K55" t="str">
            <v>00696</v>
          </cell>
          <cell r="L55" t="str">
            <v>KCP Kebumen</v>
          </cell>
          <cell r="M55" t="str">
            <v>3115013305140101630001</v>
          </cell>
          <cell r="N55" t="str">
            <v>0000069601590003759</v>
          </cell>
          <cell r="O55" t="str">
            <v>MJ16108</v>
          </cell>
        </row>
        <row r="56">
          <cell r="A56">
            <v>52</v>
          </cell>
          <cell r="B56" t="str">
            <v>ROJIKIN</v>
          </cell>
          <cell r="C56" t="str">
            <v>L</v>
          </cell>
          <cell r="D56" t="str">
            <v>3305141203630001</v>
          </cell>
          <cell r="E56" t="str">
            <v>PENGEMPON RT 02/RW 04</v>
          </cell>
          <cell r="F56" t="str">
            <v>PANGEMPON</v>
          </cell>
          <cell r="G56" t="str">
            <v>SRUWENG</v>
          </cell>
          <cell r="H56" t="str">
            <v>KEBUMEN</v>
          </cell>
          <cell r="I56" t="str">
            <v>JAWA TENGAH</v>
          </cell>
          <cell r="J56">
            <v>15000000</v>
          </cell>
          <cell r="K56" t="str">
            <v>00696</v>
          </cell>
          <cell r="L56" t="str">
            <v>KCP Kebumen</v>
          </cell>
          <cell r="M56" t="str">
            <v>3115013305141203630001</v>
          </cell>
          <cell r="N56" t="str">
            <v>0000069601590005808</v>
          </cell>
          <cell r="O56" t="str">
            <v>RB69895</v>
          </cell>
        </row>
        <row r="57">
          <cell r="A57">
            <v>53</v>
          </cell>
          <cell r="B57" t="str">
            <v>RIYATI</v>
          </cell>
          <cell r="C57" t="str">
            <v>P</v>
          </cell>
          <cell r="D57" t="str">
            <v>3305147011540001</v>
          </cell>
          <cell r="E57" t="str">
            <v>PENGEMPON RT 02/RW 04</v>
          </cell>
          <cell r="F57" t="str">
            <v>PANGEMPON</v>
          </cell>
          <cell r="G57" t="str">
            <v>SRUWENG</v>
          </cell>
          <cell r="H57" t="str">
            <v>KEBUMEN</v>
          </cell>
          <cell r="I57" t="str">
            <v>JAWA TENGAH</v>
          </cell>
          <cell r="J57">
            <v>15000000</v>
          </cell>
          <cell r="K57" t="str">
            <v>00696</v>
          </cell>
          <cell r="L57" t="str">
            <v>KCP Kebumen</v>
          </cell>
          <cell r="M57" t="str">
            <v>3115013305147011540001</v>
          </cell>
          <cell r="N57" t="str">
            <v>0000069601590005688</v>
          </cell>
          <cell r="O57" t="str">
            <v>RB69883</v>
          </cell>
        </row>
        <row r="58">
          <cell r="A58">
            <v>54</v>
          </cell>
          <cell r="B58" t="str">
            <v>PAOZANUDIN</v>
          </cell>
          <cell r="C58" t="str">
            <v>L</v>
          </cell>
          <cell r="D58" t="str">
            <v>3305143101770001</v>
          </cell>
          <cell r="E58" t="str">
            <v>PENGEMPON RT 03/RW 04</v>
          </cell>
          <cell r="F58" t="str">
            <v>PANGEMPON</v>
          </cell>
          <cell r="G58" t="str">
            <v>SRUWENG</v>
          </cell>
          <cell r="H58" t="str">
            <v>KEBUMEN</v>
          </cell>
          <cell r="I58" t="str">
            <v>JAWA TENGAH</v>
          </cell>
          <cell r="J58">
            <v>15000000</v>
          </cell>
          <cell r="K58" t="str">
            <v>00696</v>
          </cell>
          <cell r="L58" t="str">
            <v>KCP Kebumen</v>
          </cell>
          <cell r="M58" t="str">
            <v>3115013305143101770001</v>
          </cell>
          <cell r="N58" t="str">
            <v>0000069601590004771</v>
          </cell>
          <cell r="O58" t="str">
            <v>P392661</v>
          </cell>
        </row>
        <row r="59">
          <cell r="A59">
            <v>55</v>
          </cell>
          <cell r="B59" t="str">
            <v>SAKUN</v>
          </cell>
          <cell r="C59" t="str">
            <v>L</v>
          </cell>
          <cell r="D59" t="str">
            <v>3305142012600003</v>
          </cell>
          <cell r="E59" t="str">
            <v>PENGEMPON RT 03/RW 04</v>
          </cell>
          <cell r="F59" t="str">
            <v>PANGEMPON</v>
          </cell>
          <cell r="G59" t="str">
            <v>SRUWENG</v>
          </cell>
          <cell r="H59" t="str">
            <v>KEBUMEN</v>
          </cell>
          <cell r="I59" t="str">
            <v>JAWA TENGAH</v>
          </cell>
          <cell r="J59">
            <v>15000000</v>
          </cell>
          <cell r="K59" t="str">
            <v>00696</v>
          </cell>
          <cell r="L59" t="str">
            <v>KCP Kebumen</v>
          </cell>
          <cell r="M59" t="str">
            <v>3115013305142012600003</v>
          </cell>
          <cell r="N59" t="str">
            <v>0000069601590006333</v>
          </cell>
          <cell r="O59" t="str">
            <v>SR58063</v>
          </cell>
        </row>
        <row r="60">
          <cell r="A60">
            <v>56</v>
          </cell>
          <cell r="B60" t="str">
            <v>KASMAN</v>
          </cell>
          <cell r="C60" t="str">
            <v>L</v>
          </cell>
          <cell r="D60" t="str">
            <v>3305143112320007</v>
          </cell>
          <cell r="E60" t="str">
            <v>PENGEMPON RT 03/RW 04</v>
          </cell>
          <cell r="F60" t="str">
            <v>PANGEMPON</v>
          </cell>
          <cell r="G60" t="str">
            <v>SRUWENG</v>
          </cell>
          <cell r="H60" t="str">
            <v>KEBUMEN</v>
          </cell>
          <cell r="I60" t="str">
            <v>JAWA TENGAH</v>
          </cell>
          <cell r="J60">
            <v>15000000</v>
          </cell>
          <cell r="K60" t="str">
            <v>00696</v>
          </cell>
          <cell r="L60" t="str">
            <v>KCP Kebumen</v>
          </cell>
          <cell r="M60" t="str">
            <v>3115013305143112320007</v>
          </cell>
          <cell r="N60" t="str">
            <v>0000069601590002054</v>
          </cell>
          <cell r="O60" t="str">
            <v>K483360</v>
          </cell>
        </row>
        <row r="61">
          <cell r="A61">
            <v>57</v>
          </cell>
          <cell r="B61" t="str">
            <v>KHAMIDI</v>
          </cell>
          <cell r="C61" t="str">
            <v>L</v>
          </cell>
          <cell r="D61" t="str">
            <v>3305142210570001</v>
          </cell>
          <cell r="E61" t="str">
            <v>PENGEMPON RT 03/RW 04</v>
          </cell>
          <cell r="F61" t="str">
            <v>PANGEMPON</v>
          </cell>
          <cell r="G61" t="str">
            <v>SRUWENG</v>
          </cell>
          <cell r="H61" t="str">
            <v>KEBUMEN</v>
          </cell>
          <cell r="I61" t="str">
            <v>JAWA TENGAH</v>
          </cell>
          <cell r="J61">
            <v>15000000</v>
          </cell>
          <cell r="K61" t="str">
            <v>00696</v>
          </cell>
          <cell r="L61" t="str">
            <v>KCP Kebumen</v>
          </cell>
          <cell r="M61" t="str">
            <v>3115013305142210570001</v>
          </cell>
          <cell r="N61" t="str">
            <v>0000069601590002313</v>
          </cell>
          <cell r="O61" t="str">
            <v>K483386</v>
          </cell>
        </row>
        <row r="62">
          <cell r="A62">
            <v>58</v>
          </cell>
          <cell r="B62" t="str">
            <v>PARIMI</v>
          </cell>
          <cell r="C62" t="str">
            <v>P</v>
          </cell>
          <cell r="D62" t="str">
            <v>3305144512650002</v>
          </cell>
          <cell r="E62" t="str">
            <v>PENGEMPON RT 03/RW 04</v>
          </cell>
          <cell r="F62" t="str">
            <v>PANGEMPON</v>
          </cell>
          <cell r="G62" t="str">
            <v>SRUWENG</v>
          </cell>
          <cell r="H62" t="str">
            <v>KEBUMEN</v>
          </cell>
          <cell r="I62" t="str">
            <v>JAWA TENGAH</v>
          </cell>
          <cell r="J62">
            <v>15000000</v>
          </cell>
          <cell r="K62" t="str">
            <v>00696</v>
          </cell>
          <cell r="L62" t="str">
            <v>KCP Kebumen</v>
          </cell>
          <cell r="M62" t="str">
            <v>3115013305144512650002</v>
          </cell>
          <cell r="N62" t="str">
            <v>0000069601590004789</v>
          </cell>
          <cell r="O62" t="str">
            <v>P392662</v>
          </cell>
        </row>
        <row r="63">
          <cell r="A63">
            <v>59</v>
          </cell>
          <cell r="B63" t="str">
            <v>SARKINAH</v>
          </cell>
          <cell r="C63" t="str">
            <v>P</v>
          </cell>
          <cell r="D63" t="str">
            <v>3305146304420001</v>
          </cell>
          <cell r="E63" t="str">
            <v>PENGEMPON RT 03/RW 04</v>
          </cell>
          <cell r="F63" t="str">
            <v>PANGEMPON</v>
          </cell>
          <cell r="G63" t="str">
            <v>SRUWENG</v>
          </cell>
          <cell r="H63" t="str">
            <v>KEBUMEN</v>
          </cell>
          <cell r="I63" t="str">
            <v>JAWA TENGAH</v>
          </cell>
          <cell r="J63">
            <v>15000000</v>
          </cell>
          <cell r="K63" t="str">
            <v>00696</v>
          </cell>
          <cell r="L63" t="str">
            <v>KCP Kebumen</v>
          </cell>
          <cell r="M63" t="str">
            <v>3115013305146304420001</v>
          </cell>
          <cell r="N63" t="str">
            <v>0000069601590007313</v>
          </cell>
          <cell r="O63" t="str">
            <v>SR58161</v>
          </cell>
        </row>
        <row r="64">
          <cell r="A64">
            <v>60</v>
          </cell>
          <cell r="B64" t="str">
            <v>TARSAN</v>
          </cell>
          <cell r="C64" t="str">
            <v>L</v>
          </cell>
          <cell r="D64" t="str">
            <v>3305140206440002</v>
          </cell>
          <cell r="E64" t="str">
            <v>PENGEMPON RT 03/RW 04</v>
          </cell>
          <cell r="F64" t="str">
            <v>PANGEMPON</v>
          </cell>
          <cell r="G64" t="str">
            <v>SRUWENG</v>
          </cell>
          <cell r="H64" t="str">
            <v>KEBUMEN</v>
          </cell>
          <cell r="I64" t="str">
            <v>JAWA TENGAH</v>
          </cell>
          <cell r="J64">
            <v>15000000</v>
          </cell>
          <cell r="K64" t="str">
            <v>00696</v>
          </cell>
          <cell r="L64" t="str">
            <v>KCP Kebumen</v>
          </cell>
          <cell r="M64" t="str">
            <v>3115013305140206440002</v>
          </cell>
          <cell r="N64" t="str">
            <v>0000069601590009577</v>
          </cell>
          <cell r="O64" t="str">
            <v>T577798</v>
          </cell>
        </row>
        <row r="65">
          <cell r="A65">
            <v>61</v>
          </cell>
          <cell r="B65" t="str">
            <v xml:space="preserve">SAMIRAH </v>
          </cell>
          <cell r="C65" t="str">
            <v>P</v>
          </cell>
          <cell r="D65" t="str">
            <v>3305146705470002</v>
          </cell>
          <cell r="E65" t="str">
            <v>PENGEMPON RT 03/RW 04</v>
          </cell>
          <cell r="F65" t="str">
            <v>PANGEMPON</v>
          </cell>
          <cell r="G65" t="str">
            <v>SRUWENG</v>
          </cell>
          <cell r="H65" t="str">
            <v>KEBUMEN</v>
          </cell>
          <cell r="I65" t="str">
            <v>JAWA TENGAH</v>
          </cell>
          <cell r="J65">
            <v>15000000</v>
          </cell>
          <cell r="K65" t="str">
            <v>00696</v>
          </cell>
          <cell r="L65" t="str">
            <v>KCP Kebumen</v>
          </cell>
          <cell r="M65" t="str">
            <v>3115013305146705470002</v>
          </cell>
          <cell r="N65" t="str">
            <v>0000069601590006668</v>
          </cell>
          <cell r="O65" t="str">
            <v>SR58096</v>
          </cell>
        </row>
        <row r="66">
          <cell r="A66">
            <v>62</v>
          </cell>
          <cell r="B66" t="str">
            <v>AHMAD IHSAN</v>
          </cell>
          <cell r="C66" t="str">
            <v>L</v>
          </cell>
          <cell r="D66" t="str">
            <v>3305141611840001</v>
          </cell>
          <cell r="E66" t="str">
            <v>PENGEMPON RT 03/RW 04</v>
          </cell>
          <cell r="F66" t="str">
            <v>PANGEMPON</v>
          </cell>
          <cell r="G66" t="str">
            <v>SRUWENG</v>
          </cell>
          <cell r="H66" t="str">
            <v>KEBUMEN</v>
          </cell>
          <cell r="I66" t="str">
            <v>JAWA TENGAH</v>
          </cell>
          <cell r="J66">
            <v>15000000</v>
          </cell>
          <cell r="K66" t="str">
            <v>00696</v>
          </cell>
          <cell r="L66" t="str">
            <v>KCP Kebumen</v>
          </cell>
          <cell r="M66" t="str">
            <v>3115013305141611840001</v>
          </cell>
          <cell r="N66" t="str">
            <v>0000069601590000272</v>
          </cell>
          <cell r="O66" t="str">
            <v>AK77982</v>
          </cell>
        </row>
        <row r="67">
          <cell r="A67">
            <v>63</v>
          </cell>
          <cell r="B67" t="str">
            <v>MAHMUDIN</v>
          </cell>
          <cell r="C67" t="str">
            <v>L</v>
          </cell>
          <cell r="D67" t="str">
            <v>3305141205750002</v>
          </cell>
          <cell r="E67" t="str">
            <v>PENGEMPON RT 03/RW 04</v>
          </cell>
          <cell r="F67" t="str">
            <v>PANGEMPON</v>
          </cell>
          <cell r="G67" t="str">
            <v>SRUWENG</v>
          </cell>
          <cell r="H67" t="str">
            <v>KEBUMEN</v>
          </cell>
          <cell r="I67" t="str">
            <v>JAWA TENGAH</v>
          </cell>
          <cell r="J67">
            <v>15000000</v>
          </cell>
          <cell r="K67" t="str">
            <v>00696</v>
          </cell>
          <cell r="L67" t="str">
            <v>KCP Kebumen</v>
          </cell>
          <cell r="M67" t="str">
            <v>3115013305141205750002</v>
          </cell>
          <cell r="N67" t="str">
            <v>0000069601590003068</v>
          </cell>
          <cell r="O67" t="str">
            <v>MJ16039</v>
          </cell>
        </row>
        <row r="68">
          <cell r="A68">
            <v>64</v>
          </cell>
          <cell r="B68" t="str">
            <v>SALIMIN</v>
          </cell>
          <cell r="C68" t="str">
            <v>L</v>
          </cell>
          <cell r="D68" t="str">
            <v>3305143112600002</v>
          </cell>
          <cell r="E68" t="str">
            <v>PENGEMPON RT 03/RW 04</v>
          </cell>
          <cell r="F68" t="str">
            <v>PANGEMPON</v>
          </cell>
          <cell r="G68" t="str">
            <v>SRUWENG</v>
          </cell>
          <cell r="H68" t="str">
            <v>KEBUMEN</v>
          </cell>
          <cell r="I68" t="str">
            <v>JAWA TENGAH</v>
          </cell>
          <cell r="J68">
            <v>15000000</v>
          </cell>
          <cell r="K68" t="str">
            <v>00696</v>
          </cell>
          <cell r="L68" t="str">
            <v>KCP Kebumen</v>
          </cell>
          <cell r="M68" t="str">
            <v>3115013305143112600002</v>
          </cell>
          <cell r="N68" t="str">
            <v>0000069601590006430</v>
          </cell>
          <cell r="O68" t="str">
            <v>SR58073</v>
          </cell>
        </row>
        <row r="69">
          <cell r="A69">
            <v>65</v>
          </cell>
          <cell r="B69" t="str">
            <v>NUR FATIMAH AZAHRA</v>
          </cell>
          <cell r="C69" t="str">
            <v>P</v>
          </cell>
          <cell r="D69" t="str">
            <v>3305145302880004</v>
          </cell>
          <cell r="E69" t="str">
            <v>PENGEMPON RT 03/RW 04</v>
          </cell>
          <cell r="F69" t="str">
            <v>PANGEMPON</v>
          </cell>
          <cell r="G69" t="str">
            <v>SRUWENG</v>
          </cell>
          <cell r="H69" t="str">
            <v>KEBUMEN</v>
          </cell>
          <cell r="I69" t="str">
            <v>JAWA TENGAH</v>
          </cell>
          <cell r="J69">
            <v>15000000</v>
          </cell>
          <cell r="K69" t="str">
            <v>00696</v>
          </cell>
          <cell r="L69" t="str">
            <v>KCP Kebumen</v>
          </cell>
          <cell r="M69" t="str">
            <v>3115013305145302880004</v>
          </cell>
          <cell r="N69" t="str">
            <v>0000069601590004569</v>
          </cell>
          <cell r="O69" t="str">
            <v>N963077</v>
          </cell>
        </row>
        <row r="70">
          <cell r="A70">
            <v>66</v>
          </cell>
          <cell r="B70" t="str">
            <v>SUNARTO</v>
          </cell>
          <cell r="C70" t="str">
            <v>L</v>
          </cell>
          <cell r="D70" t="str">
            <v>3305143112650016</v>
          </cell>
          <cell r="E70" t="str">
            <v>PENGEMPON RT 03/RW 04</v>
          </cell>
          <cell r="F70" t="str">
            <v>PANGEMPON</v>
          </cell>
          <cell r="G70" t="str">
            <v>SRUWENG</v>
          </cell>
          <cell r="H70" t="str">
            <v>KEBUMEN</v>
          </cell>
          <cell r="I70" t="str">
            <v>JAWA TENGAH</v>
          </cell>
          <cell r="J70">
            <v>15000000</v>
          </cell>
          <cell r="K70" t="str">
            <v>00696</v>
          </cell>
          <cell r="L70" t="str">
            <v>KCP Kebumen</v>
          </cell>
          <cell r="M70" t="str">
            <v>3115013305143112650016</v>
          </cell>
          <cell r="N70" t="str">
            <v>0000069601590009006</v>
          </cell>
          <cell r="O70" t="str">
            <v>SR58330</v>
          </cell>
        </row>
        <row r="71">
          <cell r="A71">
            <v>67</v>
          </cell>
          <cell r="B71" t="str">
            <v>DULSALAM</v>
          </cell>
          <cell r="C71" t="str">
            <v>L</v>
          </cell>
          <cell r="D71" t="str">
            <v>3305143011270002</v>
          </cell>
          <cell r="E71" t="str">
            <v>PENGEMPON RT 03/RW 04</v>
          </cell>
          <cell r="F71" t="str">
            <v>PANGEMPON</v>
          </cell>
          <cell r="G71" t="str">
            <v>SRUWENG</v>
          </cell>
          <cell r="H71" t="str">
            <v>KEBUMEN</v>
          </cell>
          <cell r="I71" t="str">
            <v>JAWA TENGAH</v>
          </cell>
          <cell r="J71">
            <v>15000000</v>
          </cell>
          <cell r="K71" t="str">
            <v>00696</v>
          </cell>
          <cell r="L71" t="str">
            <v>KCP Kebumen</v>
          </cell>
          <cell r="M71" t="str">
            <v>3115013305143011270002</v>
          </cell>
          <cell r="N71" t="str">
            <v>0000069601590001082</v>
          </cell>
          <cell r="O71" t="str">
            <v>D944618</v>
          </cell>
        </row>
        <row r="72">
          <cell r="A72">
            <v>68</v>
          </cell>
          <cell r="B72" t="str">
            <v xml:space="preserve">S0DIKIN </v>
          </cell>
          <cell r="C72" t="str">
            <v>L</v>
          </cell>
          <cell r="D72" t="str">
            <v>3305142105840003</v>
          </cell>
          <cell r="E72" t="str">
            <v>PENGEMPON RT 03/RW 04</v>
          </cell>
          <cell r="F72" t="str">
            <v>PANGEMPON</v>
          </cell>
          <cell r="G72" t="str">
            <v>SRUWENG</v>
          </cell>
          <cell r="H72" t="str">
            <v>KEBUMEN</v>
          </cell>
          <cell r="I72" t="str">
            <v>JAWA TENGAH</v>
          </cell>
          <cell r="J72">
            <v>15000000</v>
          </cell>
          <cell r="K72" t="str">
            <v>00696</v>
          </cell>
          <cell r="L72" t="str">
            <v>KCP Kebumen</v>
          </cell>
          <cell r="M72" t="str">
            <v>3115013305142105840003</v>
          </cell>
          <cell r="N72" t="str">
            <v>0000069601590008092</v>
          </cell>
          <cell r="O72" t="str">
            <v>SR58239</v>
          </cell>
        </row>
        <row r="73">
          <cell r="A73">
            <v>69</v>
          </cell>
          <cell r="B73" t="str">
            <v>KHALIMI</v>
          </cell>
          <cell r="C73" t="str">
            <v>L</v>
          </cell>
          <cell r="D73" t="str">
            <v>3305141406440001</v>
          </cell>
          <cell r="E73" t="str">
            <v>PENGEMPON RT 03/RW 04</v>
          </cell>
          <cell r="F73" t="str">
            <v>PANGEMPON</v>
          </cell>
          <cell r="G73" t="str">
            <v>SRUWENG</v>
          </cell>
          <cell r="H73" t="str">
            <v>KEBUMEN</v>
          </cell>
          <cell r="I73" t="str">
            <v>JAWA TENGAH</v>
          </cell>
          <cell r="J73">
            <v>15000000</v>
          </cell>
          <cell r="K73" t="str">
            <v>00696</v>
          </cell>
          <cell r="L73" t="str">
            <v>KCP Kebumen</v>
          </cell>
          <cell r="M73" t="str">
            <v>3115013305141406440001</v>
          </cell>
          <cell r="N73" t="str">
            <v>0000069601590002305</v>
          </cell>
          <cell r="O73" t="str">
            <v>K483385</v>
          </cell>
        </row>
        <row r="74">
          <cell r="A74">
            <v>70</v>
          </cell>
          <cell r="B74" t="str">
            <v>IMIN HARYANTO</v>
          </cell>
          <cell r="C74" t="str">
            <v>L</v>
          </cell>
          <cell r="D74" t="str">
            <v>3305143112670028</v>
          </cell>
          <cell r="E74" t="str">
            <v>PENGEMPON RT 04/RW 04</v>
          </cell>
          <cell r="F74" t="str">
            <v>PANGEMPON</v>
          </cell>
          <cell r="G74" t="str">
            <v>SRUWENG</v>
          </cell>
          <cell r="H74" t="str">
            <v>KEBUMEN</v>
          </cell>
          <cell r="I74" t="str">
            <v>JAWA TENGAH</v>
          </cell>
          <cell r="J74">
            <v>15000000</v>
          </cell>
          <cell r="K74" t="str">
            <v>00696</v>
          </cell>
          <cell r="L74" t="str">
            <v>KCP Kebumen</v>
          </cell>
          <cell r="M74" t="str">
            <v>3115013305143112670028</v>
          </cell>
          <cell r="N74" t="str">
            <v>0000069601590001406</v>
          </cell>
          <cell r="O74" t="str">
            <v>I672804</v>
          </cell>
        </row>
        <row r="75">
          <cell r="A75">
            <v>71</v>
          </cell>
          <cell r="B75" t="str">
            <v>MARYAM</v>
          </cell>
          <cell r="C75" t="str">
            <v>P</v>
          </cell>
          <cell r="D75" t="str">
            <v>3305145103430001</v>
          </cell>
          <cell r="E75" t="str">
            <v>PENGEMPON RT 03/RW 04</v>
          </cell>
          <cell r="F75" t="str">
            <v>PANGEMPON</v>
          </cell>
          <cell r="G75" t="str">
            <v>SRUWENG</v>
          </cell>
          <cell r="H75" t="str">
            <v>KEBUMEN</v>
          </cell>
          <cell r="I75" t="str">
            <v>JAWA TENGAH</v>
          </cell>
          <cell r="J75">
            <v>15000000</v>
          </cell>
          <cell r="K75" t="str">
            <v>00696</v>
          </cell>
          <cell r="L75" t="str">
            <v>KCP Kebumen</v>
          </cell>
          <cell r="M75" t="str">
            <v>3115013305145103430001</v>
          </cell>
          <cell r="N75" t="str">
            <v>0000069601590003327</v>
          </cell>
          <cell r="O75" t="str">
            <v>MJ16065</v>
          </cell>
        </row>
        <row r="76">
          <cell r="A76">
            <v>72</v>
          </cell>
          <cell r="B76" t="str">
            <v>SITI ROKHMAH</v>
          </cell>
          <cell r="C76" t="str">
            <v>L</v>
          </cell>
          <cell r="D76" t="str">
            <v>3305145505850006</v>
          </cell>
          <cell r="E76" t="str">
            <v>PENGEMPON RT 03/RW 04</v>
          </cell>
          <cell r="F76" t="str">
            <v>PANGEMPON</v>
          </cell>
          <cell r="G76" t="str">
            <v>SRUWENG</v>
          </cell>
          <cell r="H76" t="str">
            <v>KEBUMEN</v>
          </cell>
          <cell r="I76" t="str">
            <v>JAWA TENGAH</v>
          </cell>
          <cell r="J76">
            <v>15000000</v>
          </cell>
          <cell r="K76" t="str">
            <v>00696</v>
          </cell>
          <cell r="L76" t="str">
            <v>KCP Kebumen</v>
          </cell>
          <cell r="M76" t="str">
            <v>3115013305145505850006</v>
          </cell>
          <cell r="N76" t="str">
            <v>0000069601590007923</v>
          </cell>
          <cell r="O76" t="str">
            <v>SR58222</v>
          </cell>
        </row>
        <row r="77">
          <cell r="A77">
            <v>73</v>
          </cell>
          <cell r="B77" t="str">
            <v>MUHRONI</v>
          </cell>
          <cell r="C77" t="str">
            <v>L</v>
          </cell>
          <cell r="D77" t="str">
            <v>3305142809400001</v>
          </cell>
          <cell r="E77" t="str">
            <v>PENGEMPON RT 03/RW 04</v>
          </cell>
          <cell r="F77" t="str">
            <v>PANGEMPON</v>
          </cell>
          <cell r="G77" t="str">
            <v>SRUWENG</v>
          </cell>
          <cell r="H77" t="str">
            <v>KEBUMEN</v>
          </cell>
          <cell r="I77" t="str">
            <v>JAWA TENGAH</v>
          </cell>
          <cell r="J77">
            <v>15000000</v>
          </cell>
          <cell r="K77" t="str">
            <v>00696</v>
          </cell>
          <cell r="L77" t="str">
            <v>KCP Kebumen</v>
          </cell>
          <cell r="M77" t="str">
            <v>3115013305142809400001</v>
          </cell>
          <cell r="N77" t="str">
            <v>0000069601590003903</v>
          </cell>
          <cell r="O77" t="str">
            <v>MJ16123</v>
          </cell>
        </row>
        <row r="78">
          <cell r="A78">
            <v>74</v>
          </cell>
          <cell r="B78" t="str">
            <v>TASIYEM</v>
          </cell>
          <cell r="C78" t="str">
            <v>P</v>
          </cell>
          <cell r="D78" t="str">
            <v>3305145505750002</v>
          </cell>
          <cell r="E78" t="str">
            <v>PENGEMPON RT 03/RW 04</v>
          </cell>
          <cell r="F78" t="str">
            <v>PANGEMPON</v>
          </cell>
          <cell r="G78" t="str">
            <v>SRUWENG</v>
          </cell>
          <cell r="H78" t="str">
            <v>KEBUMEN</v>
          </cell>
          <cell r="I78" t="str">
            <v>JAWA TENGAH</v>
          </cell>
          <cell r="J78">
            <v>15000000</v>
          </cell>
          <cell r="K78" t="str">
            <v>00696</v>
          </cell>
          <cell r="L78" t="str">
            <v>KCP Kebumen</v>
          </cell>
          <cell r="M78" t="str">
            <v>3115013305145505750002</v>
          </cell>
          <cell r="N78" t="str">
            <v>0000069601590009705</v>
          </cell>
          <cell r="O78" t="str">
            <v>T577811</v>
          </cell>
        </row>
        <row r="79">
          <cell r="A79">
            <v>75</v>
          </cell>
          <cell r="B79" t="str">
            <v>PARIMIN</v>
          </cell>
          <cell r="C79" t="str">
            <v>L</v>
          </cell>
          <cell r="D79" t="str">
            <v>3305141804490002</v>
          </cell>
          <cell r="E79" t="str">
            <v>PENGEMPON RT 03/RW 04</v>
          </cell>
          <cell r="F79" t="str">
            <v>PANGEMPON</v>
          </cell>
          <cell r="G79" t="str">
            <v>SRUWENG</v>
          </cell>
          <cell r="H79" t="str">
            <v>KEBUMEN</v>
          </cell>
          <cell r="I79" t="str">
            <v>JAWA TENGAH</v>
          </cell>
          <cell r="J79">
            <v>15000000</v>
          </cell>
          <cell r="K79" t="str">
            <v>00696</v>
          </cell>
          <cell r="L79" t="str">
            <v>KCP Kebumen</v>
          </cell>
          <cell r="M79" t="str">
            <v>3115013305141804490002</v>
          </cell>
          <cell r="N79" t="str">
            <v>0000069601590004797</v>
          </cell>
          <cell r="O79" t="str">
            <v>P392663</v>
          </cell>
        </row>
        <row r="80">
          <cell r="A80">
            <v>76</v>
          </cell>
          <cell r="B80" t="str">
            <v>WATINEM</v>
          </cell>
          <cell r="C80" t="str">
            <v>P</v>
          </cell>
          <cell r="D80" t="str">
            <v>3305145303630005</v>
          </cell>
          <cell r="E80" t="str">
            <v>PENGEMPON RT 03/RW 04</v>
          </cell>
          <cell r="F80" t="str">
            <v>PANGEMPON</v>
          </cell>
          <cell r="G80" t="str">
            <v>SRUWENG</v>
          </cell>
          <cell r="H80" t="str">
            <v>KEBUMEN</v>
          </cell>
          <cell r="I80" t="str">
            <v>JAWA TENGAH</v>
          </cell>
          <cell r="J80">
            <v>15000000</v>
          </cell>
          <cell r="K80" t="str">
            <v>00696</v>
          </cell>
          <cell r="L80" t="str">
            <v>KCP Kebumen</v>
          </cell>
          <cell r="M80" t="str">
            <v>3115013305145303630005</v>
          </cell>
          <cell r="N80" t="str">
            <v>0000069601590010641</v>
          </cell>
          <cell r="O80" t="str">
            <v>W399087</v>
          </cell>
        </row>
        <row r="81">
          <cell r="A81">
            <v>77</v>
          </cell>
          <cell r="B81" t="str">
            <v>ROKHIMAN</v>
          </cell>
          <cell r="C81" t="str">
            <v>L</v>
          </cell>
          <cell r="D81" t="str">
            <v>3305141506820003</v>
          </cell>
          <cell r="E81" t="str">
            <v>PENGEMPON RT 04/RW 04</v>
          </cell>
          <cell r="F81" t="str">
            <v>PANGEMPON</v>
          </cell>
          <cell r="G81" t="str">
            <v>SRUWENG</v>
          </cell>
          <cell r="H81" t="str">
            <v>KEBUMEN</v>
          </cell>
          <cell r="I81" t="str">
            <v>JAWA TENGAH</v>
          </cell>
          <cell r="J81">
            <v>15000000</v>
          </cell>
          <cell r="K81" t="str">
            <v>00696</v>
          </cell>
          <cell r="L81" t="str">
            <v>KCP Kebumen</v>
          </cell>
          <cell r="M81" t="str">
            <v>3115013305141506820003</v>
          </cell>
          <cell r="N81" t="str">
            <v>0000069601590005824</v>
          </cell>
          <cell r="O81" t="str">
            <v>RB69897</v>
          </cell>
        </row>
        <row r="82">
          <cell r="A82">
            <v>78</v>
          </cell>
          <cell r="B82" t="str">
            <v>KASMINI</v>
          </cell>
          <cell r="C82" t="str">
            <v>P</v>
          </cell>
          <cell r="D82" t="str">
            <v>3305144602680002</v>
          </cell>
          <cell r="E82" t="str">
            <v>PENGEMPON RT 03/RW 04</v>
          </cell>
          <cell r="F82" t="str">
            <v>PANGEMPON</v>
          </cell>
          <cell r="G82" t="str">
            <v>SRUWENG</v>
          </cell>
          <cell r="H82" t="str">
            <v>KEBUMEN</v>
          </cell>
          <cell r="I82" t="str">
            <v>JAWA TENGAH</v>
          </cell>
          <cell r="J82">
            <v>15000000</v>
          </cell>
          <cell r="K82" t="str">
            <v>00696</v>
          </cell>
          <cell r="L82" t="str">
            <v>KCP Kebumen</v>
          </cell>
          <cell r="M82" t="str">
            <v>3115013305144602680002</v>
          </cell>
          <cell r="N82" t="str">
            <v>0000069601590002096</v>
          </cell>
          <cell r="O82" t="str">
            <v>K483364</v>
          </cell>
        </row>
        <row r="83">
          <cell r="A83">
            <v>80</v>
          </cell>
          <cell r="B83" t="str">
            <v>SOLIHUDIN</v>
          </cell>
          <cell r="C83" t="str">
            <v>L</v>
          </cell>
          <cell r="D83" t="str">
            <v>3305141510790005</v>
          </cell>
          <cell r="E83" t="str">
            <v>PENGEMPON RT 04/RW 04</v>
          </cell>
          <cell r="F83" t="str">
            <v>PANGEMPON</v>
          </cell>
          <cell r="G83" t="str">
            <v>SRUWENG</v>
          </cell>
          <cell r="H83" t="str">
            <v>KEBUMEN</v>
          </cell>
          <cell r="I83" t="str">
            <v>JAWA TENGAH</v>
          </cell>
          <cell r="J83">
            <v>15000000</v>
          </cell>
          <cell r="K83" t="str">
            <v>00696</v>
          </cell>
          <cell r="L83" t="str">
            <v>KCP Kebumen</v>
          </cell>
          <cell r="M83" t="str">
            <v>3115013305141510790005</v>
          </cell>
          <cell r="N83" t="str">
            <v>0000069601590008204</v>
          </cell>
          <cell r="O83" t="str">
            <v>SR58250</v>
          </cell>
        </row>
        <row r="84">
          <cell r="A84">
            <v>81</v>
          </cell>
          <cell r="B84" t="str">
            <v>MUSRINGAH</v>
          </cell>
          <cell r="C84" t="str">
            <v>P</v>
          </cell>
          <cell r="D84" t="str">
            <v>3305146105460002</v>
          </cell>
          <cell r="E84" t="str">
            <v>PENGEMPON RT 04/RW 04</v>
          </cell>
          <cell r="F84" t="str">
            <v>PANGEMPON</v>
          </cell>
          <cell r="G84" t="str">
            <v>SRUWENG</v>
          </cell>
          <cell r="H84" t="str">
            <v>KEBUMEN</v>
          </cell>
          <cell r="I84" t="str">
            <v>JAWA TENGAH</v>
          </cell>
          <cell r="J84">
            <v>15000000</v>
          </cell>
          <cell r="K84" t="str">
            <v>00696</v>
          </cell>
          <cell r="L84" t="str">
            <v>KCP Kebumen</v>
          </cell>
          <cell r="M84" t="str">
            <v>3115013305146105460002</v>
          </cell>
          <cell r="N84" t="str">
            <v>0000069601590004242</v>
          </cell>
          <cell r="O84" t="str">
            <v>MJ16157</v>
          </cell>
        </row>
        <row r="85">
          <cell r="A85">
            <v>82</v>
          </cell>
          <cell r="B85" t="str">
            <v>NUR FAIKUN</v>
          </cell>
          <cell r="C85" t="str">
            <v>L</v>
          </cell>
          <cell r="D85" t="str">
            <v>3305141203720002</v>
          </cell>
          <cell r="E85" t="str">
            <v>PENGEMPON RT 04/RW 04</v>
          </cell>
          <cell r="F85" t="str">
            <v>PANGEMPON</v>
          </cell>
          <cell r="G85" t="str">
            <v>SRUWENG</v>
          </cell>
          <cell r="H85" t="str">
            <v>KEBUMEN</v>
          </cell>
          <cell r="I85" t="str">
            <v>JAWA TENGAH</v>
          </cell>
          <cell r="J85">
            <v>15000000</v>
          </cell>
          <cell r="K85" t="str">
            <v>00696</v>
          </cell>
          <cell r="L85" t="str">
            <v>KCP Kebumen</v>
          </cell>
          <cell r="M85" t="str">
            <v>3115013305141203720002</v>
          </cell>
          <cell r="N85" t="str">
            <v>0000069601590004543</v>
          </cell>
          <cell r="O85" t="str">
            <v>N963075</v>
          </cell>
        </row>
        <row r="86">
          <cell r="A86">
            <v>83</v>
          </cell>
          <cell r="B86" t="str">
            <v>NASIHUDIN</v>
          </cell>
          <cell r="C86" t="str">
            <v>L</v>
          </cell>
          <cell r="D86" t="str">
            <v>3305142103680001</v>
          </cell>
          <cell r="E86" t="str">
            <v>PENGEMPON RT 04/RW 04</v>
          </cell>
          <cell r="F86" t="str">
            <v>PANGEMPON</v>
          </cell>
          <cell r="G86" t="str">
            <v>SRUWENG</v>
          </cell>
          <cell r="H86" t="str">
            <v>KEBUMEN</v>
          </cell>
          <cell r="I86" t="str">
            <v>JAWA TENGAH</v>
          </cell>
          <cell r="J86">
            <v>15000000</v>
          </cell>
          <cell r="K86" t="str">
            <v>00696</v>
          </cell>
          <cell r="L86" t="str">
            <v>KCP Kebumen</v>
          </cell>
          <cell r="M86" t="str">
            <v>3115013305142103680001</v>
          </cell>
          <cell r="N86" t="str">
            <v>0000069601590004381</v>
          </cell>
          <cell r="O86" t="str">
            <v>N963059</v>
          </cell>
        </row>
        <row r="87">
          <cell r="A87">
            <v>84</v>
          </cell>
          <cell r="B87" t="str">
            <v>SOLIHUN</v>
          </cell>
          <cell r="C87" t="str">
            <v>L</v>
          </cell>
          <cell r="D87" t="str">
            <v>3305141102820003</v>
          </cell>
          <cell r="E87" t="str">
            <v>PENGEMPON RT 04/RW 04</v>
          </cell>
          <cell r="F87" t="str">
            <v>PANGEMPON</v>
          </cell>
          <cell r="G87" t="str">
            <v>SRUWENG</v>
          </cell>
          <cell r="H87" t="str">
            <v>KEBUMEN</v>
          </cell>
          <cell r="I87" t="str">
            <v>JAWA TENGAH</v>
          </cell>
          <cell r="J87">
            <v>15000000</v>
          </cell>
          <cell r="K87" t="str">
            <v>00696</v>
          </cell>
          <cell r="L87" t="str">
            <v>KCP Kebumen</v>
          </cell>
          <cell r="M87" t="str">
            <v>3115013305141102820003</v>
          </cell>
          <cell r="N87" t="str">
            <v>0000069601590008220</v>
          </cell>
          <cell r="O87" t="str">
            <v>SR58252</v>
          </cell>
        </row>
        <row r="88">
          <cell r="A88">
            <v>85</v>
          </cell>
          <cell r="B88" t="str">
            <v>SATIMAN</v>
          </cell>
          <cell r="C88" t="str">
            <v>L</v>
          </cell>
          <cell r="D88" t="str">
            <v>3305143112390014</v>
          </cell>
          <cell r="E88" t="str">
            <v>PENGEMPON RT 04/RW 04</v>
          </cell>
          <cell r="F88" t="str">
            <v>PANGEMPON</v>
          </cell>
          <cell r="G88" t="str">
            <v>SRUWENG</v>
          </cell>
          <cell r="H88" t="str">
            <v>KEBUMEN</v>
          </cell>
          <cell r="I88" t="str">
            <v>JAWA TENGAH</v>
          </cell>
          <cell r="J88">
            <v>15000000</v>
          </cell>
          <cell r="K88" t="str">
            <v>00696</v>
          </cell>
          <cell r="L88" t="str">
            <v>KCP Kebumen</v>
          </cell>
          <cell r="M88" t="str">
            <v>3115013305143112390014</v>
          </cell>
          <cell r="N88" t="str">
            <v>0000069601590007452</v>
          </cell>
          <cell r="O88" t="str">
            <v>SR58175</v>
          </cell>
        </row>
        <row r="89">
          <cell r="A89">
            <v>86</v>
          </cell>
          <cell r="B89" t="str">
            <v>SODIKIN</v>
          </cell>
          <cell r="C89" t="str">
            <v>L</v>
          </cell>
          <cell r="D89" t="str">
            <v>3305140810670002</v>
          </cell>
          <cell r="E89" t="str">
            <v>PENGEMPON RT 01/RW 05</v>
          </cell>
          <cell r="F89" t="str">
            <v>PANGEMPON</v>
          </cell>
          <cell r="G89" t="str">
            <v>SRUWENG</v>
          </cell>
          <cell r="H89" t="str">
            <v>KEBUMEN</v>
          </cell>
          <cell r="I89" t="str">
            <v>JAWA TENGAH</v>
          </cell>
          <cell r="J89">
            <v>15000000</v>
          </cell>
          <cell r="K89" t="str">
            <v>00696</v>
          </cell>
          <cell r="L89" t="str">
            <v>KCP Kebumen</v>
          </cell>
          <cell r="M89" t="str">
            <v>3115013305140810670002</v>
          </cell>
          <cell r="N89" t="str">
            <v>0000069601590008084</v>
          </cell>
          <cell r="O89" t="str">
            <v>SR58238</v>
          </cell>
        </row>
        <row r="90">
          <cell r="A90">
            <v>87</v>
          </cell>
          <cell r="B90" t="str">
            <v>SOLIHUDIN</v>
          </cell>
          <cell r="C90" t="str">
            <v>L</v>
          </cell>
          <cell r="D90" t="str">
            <v>3305142604850003</v>
          </cell>
          <cell r="E90" t="str">
            <v>PENGEMPON RT 01/RW 05</v>
          </cell>
          <cell r="F90" t="str">
            <v>PANGEMPON</v>
          </cell>
          <cell r="G90" t="str">
            <v>SRUWENG</v>
          </cell>
          <cell r="H90" t="str">
            <v>KEBUMEN</v>
          </cell>
          <cell r="I90" t="str">
            <v>JAWA TENGAH</v>
          </cell>
          <cell r="J90">
            <v>15000000</v>
          </cell>
          <cell r="K90" t="str">
            <v>00696</v>
          </cell>
          <cell r="L90" t="str">
            <v>KCP Kebumen</v>
          </cell>
          <cell r="M90" t="str">
            <v>3115013305142604850003</v>
          </cell>
          <cell r="N90" t="str">
            <v>0000069601590008212</v>
          </cell>
          <cell r="O90" t="str">
            <v>SR58251</v>
          </cell>
        </row>
        <row r="91">
          <cell r="A91">
            <v>88</v>
          </cell>
          <cell r="B91" t="str">
            <v>SITI BAENGATUN</v>
          </cell>
          <cell r="C91" t="str">
            <v>P</v>
          </cell>
          <cell r="D91" t="str">
            <v>3305145606770001</v>
          </cell>
          <cell r="E91" t="str">
            <v>PEMGEMPON RT 01/RW 05</v>
          </cell>
          <cell r="F91" t="str">
            <v>PANGEMPON</v>
          </cell>
          <cell r="G91" t="str">
            <v>SRUWENG</v>
          </cell>
          <cell r="H91" t="str">
            <v>KEBUMEN</v>
          </cell>
          <cell r="I91" t="str">
            <v>JAWA TENGAH</v>
          </cell>
          <cell r="J91">
            <v>15000000</v>
          </cell>
          <cell r="K91" t="str">
            <v>00696</v>
          </cell>
          <cell r="L91" t="str">
            <v>KCP Kebumen</v>
          </cell>
          <cell r="M91" t="str">
            <v>3115013305145606770001</v>
          </cell>
          <cell r="N91" t="str">
            <v>0000069601590007868</v>
          </cell>
          <cell r="O91" t="str">
            <v>SR58216</v>
          </cell>
        </row>
        <row r="92">
          <cell r="A92">
            <v>89</v>
          </cell>
          <cell r="B92" t="str">
            <v>SOMADI</v>
          </cell>
          <cell r="C92" t="str">
            <v>L</v>
          </cell>
          <cell r="D92" t="str">
            <v>3305140201260001</v>
          </cell>
          <cell r="E92" t="str">
            <v>PENGEMPON RT 02/RW 05</v>
          </cell>
          <cell r="F92" t="str">
            <v>PANGEMPON</v>
          </cell>
          <cell r="G92" t="str">
            <v>SRUWENG</v>
          </cell>
          <cell r="H92" t="str">
            <v>KEBUMEN</v>
          </cell>
          <cell r="I92" t="str">
            <v>JAWA TENGAH</v>
          </cell>
          <cell r="J92">
            <v>15000000</v>
          </cell>
          <cell r="K92" t="str">
            <v>00696</v>
          </cell>
          <cell r="L92" t="str">
            <v>KCP Kebumen</v>
          </cell>
          <cell r="M92" t="str">
            <v>3115013305140201260001</v>
          </cell>
          <cell r="N92" t="str">
            <v>0000069601590008254</v>
          </cell>
          <cell r="O92" t="str">
            <v>SR58255</v>
          </cell>
        </row>
        <row r="93">
          <cell r="A93">
            <v>90</v>
          </cell>
          <cell r="B93" t="str">
            <v>MUFIDUN</v>
          </cell>
          <cell r="C93" t="str">
            <v>L</v>
          </cell>
          <cell r="D93" t="str">
            <v>3305141508850001</v>
          </cell>
          <cell r="E93" t="str">
            <v>PENGEMPON RT 02/RW 05</v>
          </cell>
          <cell r="F93" t="str">
            <v>PANGEMPON</v>
          </cell>
          <cell r="G93" t="str">
            <v>SRUWENG</v>
          </cell>
          <cell r="H93" t="str">
            <v>KEBUMEN</v>
          </cell>
          <cell r="I93" t="str">
            <v>JAWA TENGAH</v>
          </cell>
          <cell r="J93">
            <v>15000000</v>
          </cell>
          <cell r="K93" t="str">
            <v>00696</v>
          </cell>
          <cell r="L93" t="str">
            <v>KCP Kebumen</v>
          </cell>
          <cell r="M93" t="str">
            <v>3115013305141508850001</v>
          </cell>
          <cell r="N93" t="str">
            <v>0000069601590003783</v>
          </cell>
          <cell r="O93" t="str">
            <v>MJ16111</v>
          </cell>
        </row>
        <row r="94">
          <cell r="A94">
            <v>91</v>
          </cell>
          <cell r="B94" t="str">
            <v>RATIMIN</v>
          </cell>
          <cell r="C94" t="str">
            <v>L</v>
          </cell>
          <cell r="D94" t="str">
            <v>3305140707550002</v>
          </cell>
          <cell r="E94" t="str">
            <v>PENGEMPON RT 02/RW 05</v>
          </cell>
          <cell r="F94" t="str">
            <v>PANGEMPON</v>
          </cell>
          <cell r="G94" t="str">
            <v>SRUWENG</v>
          </cell>
          <cell r="H94" t="str">
            <v>KEBUMEN</v>
          </cell>
          <cell r="I94" t="str">
            <v>JAWA TENGAH</v>
          </cell>
          <cell r="J94">
            <v>15000000</v>
          </cell>
          <cell r="K94" t="str">
            <v>00696</v>
          </cell>
          <cell r="L94" t="str">
            <v>KCP Kebumen</v>
          </cell>
          <cell r="M94" t="str">
            <v>3115013305140707550002</v>
          </cell>
          <cell r="N94" t="str">
            <v>0000069601590005557</v>
          </cell>
          <cell r="O94" t="str">
            <v>RB69870</v>
          </cell>
        </row>
        <row r="95">
          <cell r="A95">
            <v>92</v>
          </cell>
          <cell r="B95" t="str">
            <v>UDINANTO</v>
          </cell>
          <cell r="C95" t="str">
            <v>L</v>
          </cell>
          <cell r="D95" t="str">
            <v>3305141709690001</v>
          </cell>
          <cell r="E95" t="str">
            <v>PENGEMPON RT 02/RW 05</v>
          </cell>
          <cell r="F95" t="str">
            <v>PANGEMPON</v>
          </cell>
          <cell r="G95" t="str">
            <v>SRUWENG</v>
          </cell>
          <cell r="H95" t="str">
            <v>KEBUMEN</v>
          </cell>
          <cell r="I95" t="str">
            <v>JAWA TENGAH</v>
          </cell>
          <cell r="J95">
            <v>15000000</v>
          </cell>
          <cell r="K95" t="str">
            <v>00696</v>
          </cell>
          <cell r="L95" t="str">
            <v>KCP Kebumen</v>
          </cell>
          <cell r="M95" t="str">
            <v>3115013305141709690001</v>
          </cell>
          <cell r="N95" t="str">
            <v>0000069601590010170</v>
          </cell>
          <cell r="O95" t="str">
            <v>U170896</v>
          </cell>
        </row>
        <row r="96">
          <cell r="A96">
            <v>93</v>
          </cell>
          <cell r="B96" t="str">
            <v>SARIMUN</v>
          </cell>
          <cell r="C96" t="str">
            <v>L</v>
          </cell>
          <cell r="D96" t="str">
            <v>3305143112690020</v>
          </cell>
          <cell r="E96" t="str">
            <v>PENGEMPON RT 02/RW 05</v>
          </cell>
          <cell r="F96" t="str">
            <v>PANGEMPON</v>
          </cell>
          <cell r="G96" t="str">
            <v>SRUWENG</v>
          </cell>
          <cell r="H96" t="str">
            <v>KEBUMEN</v>
          </cell>
          <cell r="I96" t="str">
            <v>JAWA TENGAH</v>
          </cell>
          <cell r="J96">
            <v>15000000</v>
          </cell>
          <cell r="K96" t="str">
            <v>00696</v>
          </cell>
          <cell r="L96" t="str">
            <v>KCP Kebumen</v>
          </cell>
          <cell r="M96" t="str">
            <v>3115013305143112690020</v>
          </cell>
          <cell r="N96" t="str">
            <v>0000069601590007216</v>
          </cell>
          <cell r="O96" t="str">
            <v>SR58151</v>
          </cell>
        </row>
        <row r="97">
          <cell r="A97">
            <v>94</v>
          </cell>
          <cell r="B97" t="str">
            <v>NUR KHOLIS</v>
          </cell>
          <cell r="C97" t="str">
            <v>L</v>
          </cell>
          <cell r="D97" t="str">
            <v>3305140910810004</v>
          </cell>
          <cell r="E97" t="str">
            <v>PENGEMPON RT 02/RW 05</v>
          </cell>
          <cell r="F97" t="str">
            <v>PANGEMPON</v>
          </cell>
          <cell r="G97" t="str">
            <v>SRUWENG</v>
          </cell>
          <cell r="H97" t="str">
            <v>KEBUMEN</v>
          </cell>
          <cell r="I97" t="str">
            <v>JAWA TENGAH</v>
          </cell>
          <cell r="J97">
            <v>15000000</v>
          </cell>
          <cell r="K97" t="str">
            <v>00696</v>
          </cell>
          <cell r="L97" t="str">
            <v>KCP Kebumen</v>
          </cell>
          <cell r="M97" t="str">
            <v>3115013305140910810004</v>
          </cell>
          <cell r="N97" t="str">
            <v>0000069601590004585</v>
          </cell>
          <cell r="O97" t="str">
            <v>N963079</v>
          </cell>
        </row>
        <row r="98">
          <cell r="A98">
            <v>95</v>
          </cell>
          <cell r="B98" t="str">
            <v>SAKIMIN</v>
          </cell>
          <cell r="C98" t="str">
            <v>L</v>
          </cell>
          <cell r="D98" t="str">
            <v>3305141210490001</v>
          </cell>
          <cell r="E98" t="str">
            <v>PENGEMPON RT 03/RW 05</v>
          </cell>
          <cell r="F98" t="str">
            <v>PANGEMPON</v>
          </cell>
          <cell r="G98" t="str">
            <v>SRUWENG</v>
          </cell>
          <cell r="H98" t="str">
            <v>KEBUMEN</v>
          </cell>
          <cell r="I98" t="str">
            <v>JAWA TENGAH</v>
          </cell>
          <cell r="J98">
            <v>15000000</v>
          </cell>
          <cell r="K98" t="str">
            <v>00696</v>
          </cell>
          <cell r="L98" t="str">
            <v>KCP Kebumen</v>
          </cell>
          <cell r="M98" t="str">
            <v>3115013305141210490001</v>
          </cell>
          <cell r="N98" t="str">
            <v>0000069601590006286</v>
          </cell>
          <cell r="O98" t="str">
            <v>SR58058</v>
          </cell>
        </row>
        <row r="99">
          <cell r="A99">
            <v>96</v>
          </cell>
          <cell r="B99" t="str">
            <v>SURYATI</v>
          </cell>
          <cell r="C99" t="str">
            <v>P</v>
          </cell>
          <cell r="D99" t="str">
            <v>3305144505590006</v>
          </cell>
          <cell r="E99" t="str">
            <v>PENGEMPON RT 03/RW 05</v>
          </cell>
          <cell r="F99" t="str">
            <v>PANGEMPON</v>
          </cell>
          <cell r="G99" t="str">
            <v>SRUWENG</v>
          </cell>
          <cell r="H99" t="str">
            <v>KEBUMEN</v>
          </cell>
          <cell r="I99" t="str">
            <v>JAWA TENGAH</v>
          </cell>
          <cell r="J99">
            <v>15000000</v>
          </cell>
          <cell r="K99" t="str">
            <v>00696</v>
          </cell>
          <cell r="L99" t="str">
            <v>KCP Kebumen</v>
          </cell>
          <cell r="M99" t="str">
            <v>3115013305144505590006</v>
          </cell>
          <cell r="N99" t="str">
            <v>0000069601590009292</v>
          </cell>
          <cell r="O99" t="str">
            <v>SR58359</v>
          </cell>
        </row>
        <row r="100">
          <cell r="A100">
            <v>97</v>
          </cell>
          <cell r="B100" t="str">
            <v>KASAN</v>
          </cell>
          <cell r="C100" t="str">
            <v>L</v>
          </cell>
          <cell r="D100" t="str">
            <v>3305141608660003</v>
          </cell>
          <cell r="E100" t="str">
            <v>PENGEMPON RT 03/RW 05</v>
          </cell>
          <cell r="F100" t="str">
            <v>PANGEMPON</v>
          </cell>
          <cell r="G100" t="str">
            <v>SRUWENG</v>
          </cell>
          <cell r="H100" t="str">
            <v>KEBUMEN</v>
          </cell>
          <cell r="I100" t="str">
            <v>JAWA TENGAH</v>
          </cell>
          <cell r="J100">
            <v>15000000</v>
          </cell>
          <cell r="K100" t="str">
            <v>00696</v>
          </cell>
          <cell r="L100" t="str">
            <v>KCP Kebumen</v>
          </cell>
          <cell r="M100" t="str">
            <v>3115013305141608660003</v>
          </cell>
          <cell r="N100" t="str">
            <v>0000069601590001927</v>
          </cell>
          <cell r="O100" t="str">
            <v>K483347</v>
          </cell>
        </row>
        <row r="101">
          <cell r="A101">
            <v>98</v>
          </cell>
          <cell r="B101" t="str">
            <v>SUPARJO</v>
          </cell>
          <cell r="C101" t="str">
            <v>L</v>
          </cell>
          <cell r="D101" t="str">
            <v>3305141108860005</v>
          </cell>
          <cell r="E101" t="str">
            <v>PENGEMPON RT 03/RW 05</v>
          </cell>
          <cell r="F101" t="str">
            <v>PANGEMPON</v>
          </cell>
          <cell r="G101" t="str">
            <v>SRUWENG</v>
          </cell>
          <cell r="H101" t="str">
            <v>KEBUMEN</v>
          </cell>
          <cell r="I101" t="str">
            <v>JAWA TENGAH</v>
          </cell>
          <cell r="J101">
            <v>15000000</v>
          </cell>
          <cell r="K101" t="str">
            <v>00696</v>
          </cell>
          <cell r="L101" t="str">
            <v>KCP Kebumen</v>
          </cell>
          <cell r="M101" t="str">
            <v>3115013305141108860005</v>
          </cell>
          <cell r="N101" t="str">
            <v>0000069601590009030</v>
          </cell>
          <cell r="O101" t="str">
            <v>SR58333</v>
          </cell>
        </row>
        <row r="102">
          <cell r="A102">
            <v>99</v>
          </cell>
          <cell r="B102" t="str">
            <v>TRIYONO</v>
          </cell>
          <cell r="C102" t="str">
            <v>L</v>
          </cell>
          <cell r="D102" t="str">
            <v>3305142301810002</v>
          </cell>
          <cell r="E102" t="str">
            <v>PENGEMPON RT 04/RW 05</v>
          </cell>
          <cell r="F102" t="str">
            <v>PANGEMPON</v>
          </cell>
          <cell r="G102" t="str">
            <v>SRUWENG</v>
          </cell>
          <cell r="H102" t="str">
            <v>KEBUMEN</v>
          </cell>
          <cell r="I102" t="str">
            <v>JAWA TENGAH</v>
          </cell>
          <cell r="J102">
            <v>15000000</v>
          </cell>
          <cell r="K102" t="str">
            <v>00696</v>
          </cell>
          <cell r="L102" t="str">
            <v>KCP Kebumen</v>
          </cell>
          <cell r="M102" t="str">
            <v>3115013305142301810002</v>
          </cell>
          <cell r="N102" t="str">
            <v>0000069601590009894</v>
          </cell>
          <cell r="O102" t="str">
            <v>T577830</v>
          </cell>
        </row>
        <row r="103">
          <cell r="A103">
            <v>100</v>
          </cell>
          <cell r="B103" t="str">
            <v>RUKIYAH</v>
          </cell>
          <cell r="C103" t="str">
            <v>P</v>
          </cell>
          <cell r="D103" t="str">
            <v>3305145108760001</v>
          </cell>
          <cell r="E103" t="str">
            <v>PENGEMPON RT 04/RW 05</v>
          </cell>
          <cell r="F103" t="str">
            <v>PANGEMPON</v>
          </cell>
          <cell r="G103" t="str">
            <v>SRUWENG</v>
          </cell>
          <cell r="H103" t="str">
            <v>KEBUMEN</v>
          </cell>
          <cell r="I103" t="str">
            <v>JAWA TENGAH</v>
          </cell>
          <cell r="J103">
            <v>15000000</v>
          </cell>
          <cell r="K103" t="str">
            <v>00696</v>
          </cell>
          <cell r="L103" t="str">
            <v>KCP Kebumen</v>
          </cell>
          <cell r="M103" t="str">
            <v>3115013305145108760001</v>
          </cell>
          <cell r="N103" t="str">
            <v>0000069601590005866</v>
          </cell>
          <cell r="O103" t="str">
            <v>RB69901</v>
          </cell>
        </row>
        <row r="104">
          <cell r="A104">
            <v>101</v>
          </cell>
          <cell r="B104" t="str">
            <v>NGALIMIN</v>
          </cell>
          <cell r="C104" t="str">
            <v>L</v>
          </cell>
          <cell r="D104" t="str">
            <v>3305140902470001</v>
          </cell>
          <cell r="E104" t="str">
            <v>PENGEMPON RT 04/RW 05</v>
          </cell>
          <cell r="F104" t="str">
            <v>PANGEMPON</v>
          </cell>
          <cell r="G104" t="str">
            <v>SRUWENG</v>
          </cell>
          <cell r="H104" t="str">
            <v>KEBUMEN</v>
          </cell>
          <cell r="I104" t="str">
            <v>JAWA TENGAH</v>
          </cell>
          <cell r="J104">
            <v>15000000</v>
          </cell>
          <cell r="K104" t="str">
            <v>00696</v>
          </cell>
          <cell r="L104" t="str">
            <v>KCP Kebumen</v>
          </cell>
          <cell r="M104" t="str">
            <v>3115013305140902470001</v>
          </cell>
          <cell r="N104" t="str">
            <v>0000069601590004454</v>
          </cell>
          <cell r="O104" t="str">
            <v>N963066</v>
          </cell>
        </row>
        <row r="105">
          <cell r="A105">
            <v>103</v>
          </cell>
          <cell r="B105" t="str">
            <v>SODIRAN</v>
          </cell>
          <cell r="C105" t="str">
            <v>L</v>
          </cell>
          <cell r="D105" t="str">
            <v>3305140711570002</v>
          </cell>
          <cell r="E105" t="str">
            <v>PENGEMPON RT 04/RW 05</v>
          </cell>
          <cell r="F105" t="str">
            <v>PANGEMPON</v>
          </cell>
          <cell r="G105" t="str">
            <v>SRUWENG</v>
          </cell>
          <cell r="H105" t="str">
            <v>KEBUMEN</v>
          </cell>
          <cell r="I105" t="str">
            <v>JAWA TENGAH</v>
          </cell>
          <cell r="J105">
            <v>15000000</v>
          </cell>
          <cell r="K105" t="str">
            <v>00696</v>
          </cell>
          <cell r="L105" t="str">
            <v>KCP Kebumen</v>
          </cell>
          <cell r="M105" t="str">
            <v>3115013305140711570002</v>
          </cell>
          <cell r="N105" t="str">
            <v>0000069601590008149</v>
          </cell>
          <cell r="O105" t="str">
            <v>SR58244</v>
          </cell>
        </row>
        <row r="106">
          <cell r="A106">
            <v>104</v>
          </cell>
          <cell r="B106" t="str">
            <v>UMUL LATIFAH</v>
          </cell>
          <cell r="C106" t="str">
            <v>P</v>
          </cell>
          <cell r="D106" t="str">
            <v>3305145603830002</v>
          </cell>
          <cell r="E106" t="str">
            <v>PENGEMPON RT 04/RW 05</v>
          </cell>
          <cell r="F106" t="str">
            <v>PANGEMPON</v>
          </cell>
          <cell r="G106" t="str">
            <v>SRUWENG</v>
          </cell>
          <cell r="H106" t="str">
            <v>KEBUMEN</v>
          </cell>
          <cell r="I106" t="str">
            <v>JAWA TENGAH</v>
          </cell>
          <cell r="J106">
            <v>15000000</v>
          </cell>
          <cell r="K106" t="str">
            <v>00696</v>
          </cell>
          <cell r="L106" t="str">
            <v>KCP Kebumen</v>
          </cell>
          <cell r="M106" t="str">
            <v>3115013305145603830002</v>
          </cell>
          <cell r="N106" t="str">
            <v>0000069601590010188</v>
          </cell>
          <cell r="O106" t="str">
            <v>U170897</v>
          </cell>
        </row>
        <row r="107">
          <cell r="A107">
            <v>105</v>
          </cell>
          <cell r="B107" t="str">
            <v>RUWIYATUN</v>
          </cell>
          <cell r="C107" t="str">
            <v>P</v>
          </cell>
          <cell r="D107" t="str">
            <v>3305144906740003</v>
          </cell>
          <cell r="E107" t="str">
            <v>PENGEMPON RT 04/RW 05</v>
          </cell>
          <cell r="F107" t="str">
            <v>PANGEMPON</v>
          </cell>
          <cell r="G107" t="str">
            <v>SRUWENG</v>
          </cell>
          <cell r="H107" t="str">
            <v>KEBUMEN</v>
          </cell>
          <cell r="I107" t="str">
            <v>JAWA TENGAH</v>
          </cell>
          <cell r="J107">
            <v>30000000</v>
          </cell>
          <cell r="K107" t="str">
            <v>00696</v>
          </cell>
          <cell r="L107" t="str">
            <v>KCP Kebumen</v>
          </cell>
          <cell r="M107" t="str">
            <v>3114013305144906740003</v>
          </cell>
          <cell r="N107" t="str">
            <v>0000069601590005971</v>
          </cell>
          <cell r="O107" t="str">
            <v>RB69912</v>
          </cell>
        </row>
        <row r="108">
          <cell r="A108">
            <v>106</v>
          </cell>
          <cell r="B108" t="str">
            <v>DARIMUN</v>
          </cell>
          <cell r="C108" t="str">
            <v>L</v>
          </cell>
          <cell r="D108" t="str">
            <v>3305140905730003</v>
          </cell>
          <cell r="E108" t="str">
            <v>PENGEMPON RT 04/RW 05</v>
          </cell>
          <cell r="F108" t="str">
            <v>PANGEMPON</v>
          </cell>
          <cell r="G108" t="str">
            <v>SRUWENG</v>
          </cell>
          <cell r="H108" t="str">
            <v>KEBUMEN</v>
          </cell>
          <cell r="I108" t="str">
            <v>JAWA TENGAH</v>
          </cell>
          <cell r="J108">
            <v>15000000</v>
          </cell>
          <cell r="K108" t="str">
            <v>00696</v>
          </cell>
          <cell r="L108" t="str">
            <v>KCP Kebumen</v>
          </cell>
          <cell r="M108" t="str">
            <v>3115013305140905730003</v>
          </cell>
          <cell r="N108" t="str">
            <v>0000069601590000696</v>
          </cell>
          <cell r="O108" t="str">
            <v>D944579</v>
          </cell>
        </row>
        <row r="109">
          <cell r="A109">
            <v>107</v>
          </cell>
          <cell r="B109" t="str">
            <v>ADMAN</v>
          </cell>
          <cell r="C109" t="str">
            <v>L</v>
          </cell>
          <cell r="D109" t="str">
            <v>3305143112370011</v>
          </cell>
          <cell r="E109" t="str">
            <v>PENGEMPON RT 04/RW 05</v>
          </cell>
          <cell r="F109" t="str">
            <v>PANGEMPON</v>
          </cell>
          <cell r="G109" t="str">
            <v>SRUWENG</v>
          </cell>
          <cell r="H109" t="str">
            <v>KEBUMEN</v>
          </cell>
          <cell r="I109" t="str">
            <v>JAWA TENGAH</v>
          </cell>
          <cell r="J109">
            <v>15000000</v>
          </cell>
          <cell r="K109" t="str">
            <v>00696</v>
          </cell>
          <cell r="L109" t="str">
            <v>KCP Kebumen</v>
          </cell>
          <cell r="M109" t="str">
            <v>3115013305143112370011</v>
          </cell>
          <cell r="N109" t="str">
            <v>0000069601590000191</v>
          </cell>
          <cell r="O109" t="str">
            <v>AK77974</v>
          </cell>
        </row>
        <row r="110">
          <cell r="A110">
            <v>108</v>
          </cell>
          <cell r="B110" t="str">
            <v>SATIMIN</v>
          </cell>
          <cell r="C110" t="str">
            <v>L</v>
          </cell>
          <cell r="D110" t="str">
            <v>3305143112390006</v>
          </cell>
          <cell r="E110" t="str">
            <v>PENGEMPON RT 04/RW 05</v>
          </cell>
          <cell r="F110" t="str">
            <v>PANGEMPON</v>
          </cell>
          <cell r="G110" t="str">
            <v>SRUWENG</v>
          </cell>
          <cell r="H110" t="str">
            <v>KEBUMEN</v>
          </cell>
          <cell r="I110" t="str">
            <v>JAWA TENGAH</v>
          </cell>
          <cell r="J110">
            <v>15000000</v>
          </cell>
          <cell r="K110" t="str">
            <v>00696</v>
          </cell>
          <cell r="L110" t="str">
            <v>KCP Kebumen</v>
          </cell>
          <cell r="M110" t="str">
            <v>3115013305143112390006</v>
          </cell>
          <cell r="N110" t="str">
            <v>0000069601590007460</v>
          </cell>
          <cell r="O110" t="str">
            <v>SR58176</v>
          </cell>
        </row>
        <row r="111">
          <cell r="A111">
            <v>109</v>
          </cell>
          <cell r="B111" t="str">
            <v>SURATMIN</v>
          </cell>
          <cell r="C111" t="str">
            <v>L</v>
          </cell>
          <cell r="D111" t="str">
            <v>3305143112420047</v>
          </cell>
          <cell r="E111" t="str">
            <v>PENGEMPON RT 04/RW 05</v>
          </cell>
          <cell r="F111" t="str">
            <v>PANGEMPON</v>
          </cell>
          <cell r="G111" t="str">
            <v>SRUWENG</v>
          </cell>
          <cell r="H111" t="str">
            <v>KEBUMEN</v>
          </cell>
          <cell r="I111" t="str">
            <v>JAWA TENGAH</v>
          </cell>
          <cell r="J111">
            <v>15000000</v>
          </cell>
          <cell r="K111" t="str">
            <v>00696</v>
          </cell>
          <cell r="L111" t="str">
            <v>KCP Kebumen</v>
          </cell>
          <cell r="M111" t="str">
            <v>3115013305143112420047</v>
          </cell>
          <cell r="N111" t="str">
            <v>0000069601590009179</v>
          </cell>
          <cell r="O111" t="str">
            <v>SR58347</v>
          </cell>
        </row>
        <row r="112">
          <cell r="A112">
            <v>110</v>
          </cell>
          <cell r="B112" t="str">
            <v>SAMIDIN</v>
          </cell>
          <cell r="C112" t="str">
            <v>L</v>
          </cell>
          <cell r="D112" t="str">
            <v>3305141405780004</v>
          </cell>
          <cell r="E112" t="str">
            <v>PENGEMPON RT 04/RW 06</v>
          </cell>
          <cell r="F112" t="str">
            <v>PANGEMPON</v>
          </cell>
          <cell r="G112" t="str">
            <v>SRUWENG</v>
          </cell>
          <cell r="H112" t="str">
            <v>KEBUMEN</v>
          </cell>
          <cell r="I112" t="str">
            <v>JAWA TENGAH</v>
          </cell>
          <cell r="J112">
            <v>20000000</v>
          </cell>
          <cell r="K112" t="str">
            <v>00696</v>
          </cell>
          <cell r="L112" t="str">
            <v>KCP Kebumen</v>
          </cell>
          <cell r="M112" t="str">
            <v>3114013305141405780004</v>
          </cell>
          <cell r="N112" t="str">
            <v>0000069601590006537</v>
          </cell>
          <cell r="O112" t="str">
            <v>SR58083</v>
          </cell>
        </row>
      </sheetData>
      <sheetData sheetId="2">
        <row r="6">
          <cell r="A6">
            <v>1</v>
          </cell>
          <cell r="B6" t="str">
            <v>SUMARYONO</v>
          </cell>
          <cell r="C6" t="str">
            <v>L</v>
          </cell>
          <cell r="D6" t="str">
            <v>3305141711640002</v>
          </cell>
          <cell r="E6" t="str">
            <v>PENGEMPON KIDUL RT 03/RW 01</v>
          </cell>
          <cell r="F6" t="str">
            <v>PENGEMPON</v>
          </cell>
          <cell r="G6" t="str">
            <v>SRUWENG</v>
          </cell>
          <cell r="H6" t="str">
            <v>KEBUMEN</v>
          </cell>
          <cell r="I6" t="str">
            <v>JAWA TENGAH</v>
          </cell>
          <cell r="J6">
            <v>15000000</v>
          </cell>
          <cell r="K6">
            <v>50</v>
          </cell>
          <cell r="L6" t="str">
            <v>KARYAWAN SWASTA</v>
          </cell>
          <cell r="M6">
            <v>600000</v>
          </cell>
          <cell r="N6">
            <v>3</v>
          </cell>
          <cell r="O6" t="str">
            <v>Tidak Layak</v>
          </cell>
          <cell r="P6" t="str">
            <v>Tidak Layak</v>
          </cell>
          <cell r="Q6" t="str">
            <v>Tidak Layak</v>
          </cell>
          <cell r="R6">
            <v>60</v>
          </cell>
          <cell r="S6">
            <v>0</v>
          </cell>
          <cell r="T6" t="str">
            <v>YUDO SUDOMO</v>
          </cell>
          <cell r="U6">
            <v>0</v>
          </cell>
          <cell r="V6" t="str">
            <v>(0287) 3872017</v>
          </cell>
          <cell r="W6" t="str">
            <v>SIGIT KARSENO</v>
          </cell>
          <cell r="X6">
            <v>0</v>
          </cell>
          <cell r="Y6" t="str">
            <v>NIP :19680424 199803 1011</v>
          </cell>
          <cell r="Z6" t="str">
            <v>Moh. Amirudin, S.IP, MM</v>
          </cell>
          <cell r="AA6" t="str">
            <v>Himawan T P, S.Sos</v>
          </cell>
          <cell r="AB6" t="str">
            <v>0000069601590008822</v>
          </cell>
          <cell r="AC6">
            <v>3086</v>
          </cell>
          <cell r="AD6">
            <v>7.6434100000000003</v>
          </cell>
          <cell r="AE6" t="str">
            <v>109,62642</v>
          </cell>
          <cell r="AF6" t="str">
            <v>Surat Keterangan Pejabat</v>
          </cell>
          <cell r="AG6" t="str">
            <v>Listrik &amp; Air Bersih</v>
          </cell>
          <cell r="AH6" t="str">
            <v>GENTENG/USUK/RENG LAPUK</v>
          </cell>
          <cell r="AI6" t="str">
            <v>TANAH</v>
          </cell>
          <cell r="AJ6" t="str">
            <v>PAPAN/ BILIK BAMBU</v>
          </cell>
          <cell r="AK6" t="str">
            <v>GENTENG/USUK/RENG</v>
          </cell>
          <cell r="AL6">
            <v>90</v>
          </cell>
          <cell r="AM6" t="str">
            <v>RABAT BETON</v>
          </cell>
          <cell r="AN6">
            <v>56</v>
          </cell>
          <cell r="AO6" t="str">
            <v>BATA MERAH/ BATAKO</v>
          </cell>
          <cell r="AP6">
            <v>90</v>
          </cell>
          <cell r="AQ6" t="str">
            <v>Pengempon, ____ Oktober 2015</v>
          </cell>
          <cell r="AR6" t="str">
            <v>SUTOMO</v>
          </cell>
          <cell r="AS6" t="str">
            <v>NURUL IMAN</v>
          </cell>
          <cell r="AT6" t="str">
            <v>MUNCUL BARU</v>
          </cell>
          <cell r="AU6" t="str">
            <v>Jl. Simpang lima Rt.3/Rw.1 Kec.Pejagoan</v>
          </cell>
          <cell r="AV6" t="str">
            <v>Mohamad Mansur</v>
          </cell>
          <cell r="AW6" t="str">
            <v>BTN KCP KEBUMEN</v>
          </cell>
          <cell r="AX6" t="str">
            <v>'00696</v>
          </cell>
          <cell r="AY6" t="str">
            <v>00696-01-50-000542-4</v>
          </cell>
        </row>
        <row r="7">
          <cell r="A7">
            <v>2</v>
          </cell>
          <cell r="B7" t="str">
            <v>SUTOMO</v>
          </cell>
          <cell r="C7" t="str">
            <v>L</v>
          </cell>
          <cell r="D7" t="str">
            <v>3305141612740003</v>
          </cell>
          <cell r="E7" t="str">
            <v>PENGEMPON KIDUL RT 03/RW 01</v>
          </cell>
          <cell r="F7" t="str">
            <v>PENGEMPON</v>
          </cell>
          <cell r="G7" t="str">
            <v>SRUWENG</v>
          </cell>
          <cell r="H7" t="str">
            <v>KEBUMEN</v>
          </cell>
          <cell r="I7" t="str">
            <v>JAWA TENGAH</v>
          </cell>
          <cell r="J7">
            <v>15000000</v>
          </cell>
          <cell r="K7">
            <v>40</v>
          </cell>
          <cell r="L7" t="str">
            <v>BURUH HARIAN LEPAS</v>
          </cell>
          <cell r="M7">
            <v>500000</v>
          </cell>
          <cell r="N7">
            <v>3</v>
          </cell>
          <cell r="O7" t="str">
            <v>Tidak Layak</v>
          </cell>
          <cell r="P7" t="str">
            <v>Tidak Layak</v>
          </cell>
          <cell r="Q7" t="str">
            <v>Tidak Layak</v>
          </cell>
          <cell r="R7">
            <v>36</v>
          </cell>
          <cell r="S7">
            <v>0</v>
          </cell>
          <cell r="T7" t="str">
            <v>YUDO SUDOMO</v>
          </cell>
          <cell r="U7">
            <v>0</v>
          </cell>
          <cell r="V7" t="str">
            <v>(0287) 3872017</v>
          </cell>
          <cell r="W7" t="str">
            <v>SIGIT KARSENO</v>
          </cell>
          <cell r="X7">
            <v>0</v>
          </cell>
          <cell r="Y7" t="str">
            <v>NIP :19680424 199803 1011</v>
          </cell>
          <cell r="Z7" t="str">
            <v>Moh. Amirudin, S.IP, MM</v>
          </cell>
          <cell r="AA7" t="str">
            <v>Himawan T P, S.Sos</v>
          </cell>
          <cell r="AB7" t="str">
            <v>0000069601590009404</v>
          </cell>
          <cell r="AC7">
            <v>3086</v>
          </cell>
          <cell r="AD7">
            <v>7.6436500000000001</v>
          </cell>
          <cell r="AE7" t="str">
            <v>109,6264</v>
          </cell>
          <cell r="AF7" t="str">
            <v>Surat Keterangan Pejabat</v>
          </cell>
          <cell r="AG7" t="str">
            <v>Air Bersih &amp; MCK</v>
          </cell>
          <cell r="AH7" t="str">
            <v>GENTENG/USUK/RENG LAPUK</v>
          </cell>
          <cell r="AI7" t="str">
            <v>TANAH</v>
          </cell>
          <cell r="AJ7" t="str">
            <v>PAPAN/ BILIK BAMBU</v>
          </cell>
          <cell r="AK7" t="str">
            <v>GENTENG/USUK/RENG</v>
          </cell>
          <cell r="AL7">
            <v>88</v>
          </cell>
          <cell r="AM7" t="str">
            <v>RABAT BETON</v>
          </cell>
          <cell r="AN7">
            <v>54</v>
          </cell>
          <cell r="AO7" t="str">
            <v>BATA MERAH/ BATAKO</v>
          </cell>
          <cell r="AP7">
            <v>90</v>
          </cell>
          <cell r="AQ7" t="str">
            <v>Pengempon, ____ Oktober 2015</v>
          </cell>
          <cell r="AR7" t="str">
            <v>SUTOMO</v>
          </cell>
          <cell r="AS7" t="str">
            <v>NURUL IMAN</v>
          </cell>
          <cell r="AT7" t="str">
            <v>MUNCUL BARU</v>
          </cell>
          <cell r="AU7" t="str">
            <v>Jl. Simpang lima Rt.3/Rw.1 Kec.Pejagoan</v>
          </cell>
          <cell r="AV7" t="str">
            <v>Mohamad Mansur</v>
          </cell>
          <cell r="AW7" t="str">
            <v>BTN KCP KEBUMEN</v>
          </cell>
          <cell r="AX7" t="str">
            <v>'00696</v>
          </cell>
          <cell r="AY7" t="str">
            <v>00696-01-50-000542-4</v>
          </cell>
        </row>
        <row r="8">
          <cell r="A8">
            <v>3</v>
          </cell>
          <cell r="B8" t="str">
            <v>SIDIK</v>
          </cell>
          <cell r="C8" t="str">
            <v>L</v>
          </cell>
          <cell r="D8" t="str">
            <v>3305143112640012</v>
          </cell>
          <cell r="E8" t="str">
            <v>PENGEMPON RT 04/RW 01</v>
          </cell>
          <cell r="F8" t="str">
            <v>PENGEMPON</v>
          </cell>
          <cell r="G8" t="str">
            <v>SRUWENG</v>
          </cell>
          <cell r="H8" t="str">
            <v>KEBUMEN</v>
          </cell>
          <cell r="I8" t="str">
            <v>JAWA TENGAH</v>
          </cell>
          <cell r="J8">
            <v>15000000</v>
          </cell>
          <cell r="K8">
            <v>50</v>
          </cell>
          <cell r="L8" t="str">
            <v>BURUH HARIAN LEPAS</v>
          </cell>
          <cell r="M8">
            <v>200000</v>
          </cell>
          <cell r="N8">
            <v>1</v>
          </cell>
          <cell r="O8" t="str">
            <v>Tidak Layak</v>
          </cell>
          <cell r="P8" t="str">
            <v>Tidak Layak</v>
          </cell>
          <cell r="Q8" t="str">
            <v>Tidak Layak</v>
          </cell>
          <cell r="R8">
            <v>50</v>
          </cell>
          <cell r="S8">
            <v>0</v>
          </cell>
          <cell r="T8" t="str">
            <v>YUDO SUDOMO</v>
          </cell>
          <cell r="U8">
            <v>0</v>
          </cell>
          <cell r="V8" t="str">
            <v>(0287) 3872017</v>
          </cell>
          <cell r="W8" t="str">
            <v>SIGIT KARSENO</v>
          </cell>
          <cell r="X8">
            <v>0</v>
          </cell>
          <cell r="Y8" t="str">
            <v>NIP :19680424 199803 1011</v>
          </cell>
          <cell r="Z8" t="str">
            <v>Moh. Amirudin, S.IP, MM</v>
          </cell>
          <cell r="AA8" t="str">
            <v>Himawan T P, S.Sos</v>
          </cell>
          <cell r="AB8" t="str">
            <v>0000069601590007745</v>
          </cell>
          <cell r="AC8">
            <v>3086</v>
          </cell>
          <cell r="AD8">
            <v>7.6411499999999997</v>
          </cell>
          <cell r="AE8" t="str">
            <v>109,62927</v>
          </cell>
          <cell r="AF8" t="str">
            <v>Surat Keterangan Pejabat</v>
          </cell>
          <cell r="AG8" t="str">
            <v>Air Bersih</v>
          </cell>
          <cell r="AH8" t="str">
            <v>GENTENG/USUK/RENG LAPUK</v>
          </cell>
          <cell r="AI8" t="str">
            <v>TANAH</v>
          </cell>
          <cell r="AJ8" t="str">
            <v>PAPAN/ BILIK BAMBU</v>
          </cell>
          <cell r="AK8" t="str">
            <v>GENTENG/USUK/RENG</v>
          </cell>
          <cell r="AL8">
            <v>88</v>
          </cell>
          <cell r="AM8" t="str">
            <v>RABAT BETON</v>
          </cell>
          <cell r="AN8">
            <v>54</v>
          </cell>
          <cell r="AO8" t="str">
            <v>BATA MERAH/ BATAKO</v>
          </cell>
          <cell r="AP8">
            <v>90</v>
          </cell>
          <cell r="AQ8" t="str">
            <v>Pengempon, ____ Oktober 2015</v>
          </cell>
          <cell r="AR8" t="str">
            <v>SUTOMO</v>
          </cell>
          <cell r="AS8" t="str">
            <v>NURUL IMAN</v>
          </cell>
          <cell r="AT8" t="str">
            <v>MUNCUL BARU</v>
          </cell>
          <cell r="AU8" t="str">
            <v>Jl. Simpang lima Rt.3/Rw.1 Kec.Pejagoan</v>
          </cell>
          <cell r="AV8" t="str">
            <v>Mohamad Mansur</v>
          </cell>
          <cell r="AW8" t="str">
            <v>BTN KCP KEBUMEN</v>
          </cell>
          <cell r="AX8" t="str">
            <v>'00696</v>
          </cell>
          <cell r="AY8" t="str">
            <v>00696-01-50-000542-4</v>
          </cell>
        </row>
        <row r="9">
          <cell r="A9">
            <v>4</v>
          </cell>
          <cell r="B9" t="str">
            <v>AHMAD JAHUDIN</v>
          </cell>
          <cell r="C9" t="str">
            <v>L</v>
          </cell>
          <cell r="D9" t="str">
            <v>3305143011590001</v>
          </cell>
          <cell r="E9" t="str">
            <v>PENGEMPON RT 04/RW 01</v>
          </cell>
          <cell r="F9" t="str">
            <v>PENGEMPON</v>
          </cell>
          <cell r="G9" t="str">
            <v>SRUWENG</v>
          </cell>
          <cell r="H9" t="str">
            <v>KEBUMEN</v>
          </cell>
          <cell r="I9" t="str">
            <v>JAWA TENGAH</v>
          </cell>
          <cell r="J9">
            <v>15000000</v>
          </cell>
          <cell r="K9">
            <v>55</v>
          </cell>
          <cell r="L9" t="str">
            <v>BURUH HARIAN LEPAS</v>
          </cell>
          <cell r="M9">
            <v>600000</v>
          </cell>
          <cell r="N9">
            <v>7</v>
          </cell>
          <cell r="O9" t="str">
            <v>Tidak Layak</v>
          </cell>
          <cell r="P9" t="str">
            <v>Tidak Layak</v>
          </cell>
          <cell r="Q9" t="str">
            <v>Tidak Layak</v>
          </cell>
          <cell r="R9">
            <v>54</v>
          </cell>
          <cell r="S9">
            <v>0</v>
          </cell>
          <cell r="T9" t="str">
            <v>YUDO SUDOMO</v>
          </cell>
          <cell r="U9">
            <v>0</v>
          </cell>
          <cell r="V9" t="str">
            <v>(0287) 3872017</v>
          </cell>
          <cell r="W9" t="str">
            <v>SIGIT KARSENO</v>
          </cell>
          <cell r="X9">
            <v>0</v>
          </cell>
          <cell r="Y9" t="str">
            <v>NIP :19680424 199803 1011</v>
          </cell>
          <cell r="Z9" t="str">
            <v>Moh. Amirudin, S.IP, MM</v>
          </cell>
          <cell r="AA9" t="str">
            <v>Himawan T P, S.Sos</v>
          </cell>
          <cell r="AB9" t="str">
            <v>0000069601590000280</v>
          </cell>
          <cell r="AC9">
            <v>3086</v>
          </cell>
          <cell r="AD9">
            <v>7.6414400000000002</v>
          </cell>
          <cell r="AE9" t="str">
            <v>109,63005</v>
          </cell>
          <cell r="AF9" t="str">
            <v>Surat Keterangan Pejabat</v>
          </cell>
          <cell r="AG9" t="str">
            <v>Listrik</v>
          </cell>
          <cell r="AH9" t="str">
            <v>GENTENG/USUK/RENG LAPUK</v>
          </cell>
          <cell r="AI9" t="str">
            <v>TANAH</v>
          </cell>
          <cell r="AJ9" t="str">
            <v>PAPAN/ BILIK BAMBU</v>
          </cell>
          <cell r="AK9" t="str">
            <v>GENTENG/USUK/RENG</v>
          </cell>
          <cell r="AL9">
            <v>90</v>
          </cell>
          <cell r="AM9" t="str">
            <v>RABAT BETON</v>
          </cell>
          <cell r="AN9">
            <v>56</v>
          </cell>
          <cell r="AO9" t="str">
            <v>BATA MERAH/ BATAKO</v>
          </cell>
          <cell r="AP9">
            <v>90</v>
          </cell>
          <cell r="AQ9" t="str">
            <v>Pengempon, ____ Oktober 2015</v>
          </cell>
          <cell r="AR9" t="str">
            <v>SUTOMO</v>
          </cell>
          <cell r="AS9" t="str">
            <v>NURUL IMAN</v>
          </cell>
          <cell r="AT9" t="str">
            <v>MUNCUL BARU</v>
          </cell>
          <cell r="AU9" t="str">
            <v>Jl. Simpang lima Rt.3/Rw.1 Kec.Pejagoan</v>
          </cell>
          <cell r="AV9" t="str">
            <v>Mohamad Mansur</v>
          </cell>
          <cell r="AW9" t="str">
            <v>BTN KCP KEBUMEN</v>
          </cell>
          <cell r="AX9" t="str">
            <v>'00696</v>
          </cell>
          <cell r="AY9" t="str">
            <v>00696-01-50-000542-4</v>
          </cell>
        </row>
        <row r="10">
          <cell r="A10">
            <v>5</v>
          </cell>
          <cell r="B10" t="str">
            <v>MUKSON</v>
          </cell>
          <cell r="C10" t="str">
            <v>L</v>
          </cell>
          <cell r="D10" t="str">
            <v>3305140802740001</v>
          </cell>
          <cell r="E10" t="str">
            <v>PENGEMPON RT 04/RW 01</v>
          </cell>
          <cell r="F10" t="str">
            <v>PENGEMPON</v>
          </cell>
          <cell r="G10" t="str">
            <v>SRUWENG</v>
          </cell>
          <cell r="H10" t="str">
            <v>KEBUMEN</v>
          </cell>
          <cell r="I10" t="str">
            <v>JAWA TENGAH</v>
          </cell>
          <cell r="J10">
            <v>15000000</v>
          </cell>
          <cell r="K10">
            <v>55</v>
          </cell>
          <cell r="L10" t="str">
            <v>BURUH HARIAN LEPAS</v>
          </cell>
          <cell r="M10">
            <v>500000</v>
          </cell>
          <cell r="N10">
            <v>1</v>
          </cell>
          <cell r="O10" t="str">
            <v>Tidak Layak</v>
          </cell>
          <cell r="P10" t="str">
            <v>Tidak Layak</v>
          </cell>
          <cell r="Q10" t="str">
            <v>Tidak Layak</v>
          </cell>
          <cell r="R10">
            <v>56</v>
          </cell>
          <cell r="S10">
            <v>0</v>
          </cell>
          <cell r="T10" t="str">
            <v>YUDO SUDOMO</v>
          </cell>
          <cell r="U10">
            <v>0</v>
          </cell>
          <cell r="V10" t="str">
            <v>(0287) 3872017</v>
          </cell>
          <cell r="W10" t="str">
            <v>SIGIT KARSENO</v>
          </cell>
          <cell r="X10">
            <v>0</v>
          </cell>
          <cell r="Y10" t="str">
            <v>NIP :19680424 199803 1011</v>
          </cell>
          <cell r="Z10" t="str">
            <v>Moh. Amirudin, S.IP, MM</v>
          </cell>
          <cell r="AA10" t="str">
            <v>Himawan T P, S.Sos</v>
          </cell>
          <cell r="AB10" t="str">
            <v>0000069601590004022</v>
          </cell>
          <cell r="AC10">
            <v>3086</v>
          </cell>
          <cell r="AD10">
            <v>7.6414</v>
          </cell>
          <cell r="AE10" t="str">
            <v>109,63029</v>
          </cell>
          <cell r="AF10" t="str">
            <v>Surat Keterangan Pejabat</v>
          </cell>
          <cell r="AG10" t="str">
            <v>Tidak Ada</v>
          </cell>
          <cell r="AH10" t="str">
            <v>GENTENG/USUK/RENG LAPUK</v>
          </cell>
          <cell r="AI10" t="str">
            <v>TANAH</v>
          </cell>
          <cell r="AJ10" t="str">
            <v>PAPAN/ BILIK BAMBU</v>
          </cell>
          <cell r="AK10" t="str">
            <v>GENTENG/USUK/RENG</v>
          </cell>
          <cell r="AL10">
            <v>88</v>
          </cell>
          <cell r="AM10" t="str">
            <v>RABAT BETON</v>
          </cell>
          <cell r="AN10">
            <v>54</v>
          </cell>
          <cell r="AO10" t="str">
            <v>BATA MERAH/ BATAKO</v>
          </cell>
          <cell r="AP10">
            <v>90</v>
          </cell>
          <cell r="AQ10" t="str">
            <v>Pengempon, ____ Oktober 2015</v>
          </cell>
          <cell r="AR10" t="str">
            <v>SUTOMO</v>
          </cell>
          <cell r="AS10" t="str">
            <v>NURUL IMAN</v>
          </cell>
          <cell r="AT10" t="str">
            <v>MUNCUL BARU</v>
          </cell>
          <cell r="AU10" t="str">
            <v>Jl. Simpang lima Rt.3/Rw.1 Kec.Pejagoan</v>
          </cell>
          <cell r="AV10" t="str">
            <v>Mohamad Mansur</v>
          </cell>
          <cell r="AW10" t="str">
            <v>BTN KCP KEBUMEN</v>
          </cell>
          <cell r="AX10" t="str">
            <v>'00696</v>
          </cell>
          <cell r="AY10" t="str">
            <v>00696-01-50-000542-4</v>
          </cell>
        </row>
        <row r="11">
          <cell r="A11">
            <v>6</v>
          </cell>
          <cell r="B11" t="str">
            <v>WAKINGAH</v>
          </cell>
          <cell r="C11" t="str">
            <v>P</v>
          </cell>
          <cell r="D11" t="str">
            <v>3305146405530001</v>
          </cell>
          <cell r="E11" t="str">
            <v>PENGEMPON RT 04/RW 01</v>
          </cell>
          <cell r="F11" t="str">
            <v>PENGEMPON</v>
          </cell>
          <cell r="G11" t="str">
            <v>SRUWENG</v>
          </cell>
          <cell r="H11" t="str">
            <v>KEBUMEN</v>
          </cell>
          <cell r="I11" t="str">
            <v>JAWA TENGAH</v>
          </cell>
          <cell r="J11">
            <v>15000000</v>
          </cell>
          <cell r="K11">
            <v>61</v>
          </cell>
          <cell r="L11" t="str">
            <v>BURUH HARIAN LEPAS</v>
          </cell>
          <cell r="M11">
            <v>400000</v>
          </cell>
          <cell r="N11">
            <v>1</v>
          </cell>
          <cell r="O11" t="str">
            <v>Tidak Layak</v>
          </cell>
          <cell r="P11" t="str">
            <v>Tidak Layak</v>
          </cell>
          <cell r="Q11" t="str">
            <v>Tidak Layak</v>
          </cell>
          <cell r="R11">
            <v>72</v>
          </cell>
          <cell r="S11">
            <v>0</v>
          </cell>
          <cell r="T11" t="str">
            <v>YUDO SUDOMO</v>
          </cell>
          <cell r="U11">
            <v>0</v>
          </cell>
          <cell r="V11" t="str">
            <v>(0287) 3872017</v>
          </cell>
          <cell r="W11" t="str">
            <v>SIGIT KARSENO</v>
          </cell>
          <cell r="X11">
            <v>0</v>
          </cell>
          <cell r="Y11" t="str">
            <v>NIP :19680424 199803 1011</v>
          </cell>
          <cell r="Z11" t="str">
            <v>Moh. Amirudin, S.IP, MM</v>
          </cell>
          <cell r="AA11" t="str">
            <v>Himawan T P, S.Sos</v>
          </cell>
          <cell r="AB11" t="str">
            <v>0000069601590010269</v>
          </cell>
          <cell r="AC11">
            <v>3086</v>
          </cell>
          <cell r="AD11">
            <v>7.6389699999999996</v>
          </cell>
          <cell r="AE11" t="str">
            <v>109,63007</v>
          </cell>
          <cell r="AF11" t="str">
            <v>Surat Keterangan Pejabat</v>
          </cell>
          <cell r="AG11" t="str">
            <v>Listrik &amp; Air Bersih &amp; MCK</v>
          </cell>
          <cell r="AH11" t="str">
            <v>GENTENG/USUK/RENG LAPUK</v>
          </cell>
          <cell r="AI11" t="str">
            <v>TANAH</v>
          </cell>
          <cell r="AJ11" t="str">
            <v>PAPAN/ BILIK BAMBU</v>
          </cell>
          <cell r="AK11" t="str">
            <v>GENTENG/USUK/RENG</v>
          </cell>
          <cell r="AL11">
            <v>90</v>
          </cell>
          <cell r="AM11" t="str">
            <v>RABAT BETON</v>
          </cell>
          <cell r="AN11">
            <v>56</v>
          </cell>
          <cell r="AO11" t="str">
            <v>BATA MERAH/ BATAKO</v>
          </cell>
          <cell r="AP11">
            <v>90</v>
          </cell>
          <cell r="AQ11" t="str">
            <v>Pengempon, ____ Oktober 2015</v>
          </cell>
          <cell r="AR11" t="str">
            <v>SUTOMO</v>
          </cell>
          <cell r="AS11" t="str">
            <v>NURUL IMAN</v>
          </cell>
          <cell r="AT11" t="str">
            <v>MUNCUL BARU</v>
          </cell>
          <cell r="AU11" t="str">
            <v>Jl. Simpang lima Rt.3/Rw.1 Kec.Pejagoan</v>
          </cell>
          <cell r="AV11" t="str">
            <v>Mohamad Mansur</v>
          </cell>
          <cell r="AW11" t="str">
            <v>BTN KCP KEBUMEN</v>
          </cell>
          <cell r="AX11" t="str">
            <v>'00696</v>
          </cell>
          <cell r="AY11" t="str">
            <v>00696-01-50-000542-4</v>
          </cell>
        </row>
        <row r="12">
          <cell r="A12">
            <v>7</v>
          </cell>
          <cell r="B12" t="str">
            <v>SARINGAH</v>
          </cell>
          <cell r="C12" t="str">
            <v>P</v>
          </cell>
          <cell r="D12" t="str">
            <v>3305145304550001</v>
          </cell>
          <cell r="E12" t="str">
            <v>PENGEMPON CINGKRANG RT 04/RW 01</v>
          </cell>
          <cell r="F12" t="str">
            <v>PENGEMPON</v>
          </cell>
          <cell r="G12" t="str">
            <v>SRUWENG</v>
          </cell>
          <cell r="H12" t="str">
            <v>KEBUMEN</v>
          </cell>
          <cell r="I12" t="str">
            <v>JAWA TENGAH</v>
          </cell>
          <cell r="J12">
            <v>15000000</v>
          </cell>
          <cell r="K12">
            <v>59</v>
          </cell>
          <cell r="L12" t="str">
            <v>BURUH HARIAN LEPAS</v>
          </cell>
          <cell r="M12">
            <v>600000</v>
          </cell>
          <cell r="N12">
            <v>2</v>
          </cell>
          <cell r="O12" t="str">
            <v>Tidak Layak</v>
          </cell>
          <cell r="P12" t="str">
            <v>Tidak Layak</v>
          </cell>
          <cell r="Q12" t="str">
            <v>Tidak Layak</v>
          </cell>
          <cell r="R12">
            <v>54</v>
          </cell>
          <cell r="S12">
            <v>0</v>
          </cell>
          <cell r="T12" t="str">
            <v>YUDO SUDOMO</v>
          </cell>
          <cell r="U12">
            <v>0</v>
          </cell>
          <cell r="V12" t="str">
            <v>(0287) 3872017</v>
          </cell>
          <cell r="W12" t="str">
            <v>SIGIT KARSENO</v>
          </cell>
          <cell r="X12">
            <v>0</v>
          </cell>
          <cell r="Y12" t="str">
            <v>NIP :19680424 199803 1011</v>
          </cell>
          <cell r="Z12" t="str">
            <v>Moh. Amirudin, S.IP, MM</v>
          </cell>
          <cell r="AA12" t="str">
            <v>Himawan T P, S.Sos</v>
          </cell>
          <cell r="AB12" t="str">
            <v>0000069601590007258</v>
          </cell>
          <cell r="AC12">
            <v>3086</v>
          </cell>
          <cell r="AD12">
            <v>7.6392199999999999</v>
          </cell>
          <cell r="AE12" t="str">
            <v>109,62912</v>
          </cell>
          <cell r="AF12" t="str">
            <v>Surat Keterangan Pejabat</v>
          </cell>
          <cell r="AG12" t="str">
            <v>Tidak Ada</v>
          </cell>
          <cell r="AH12" t="str">
            <v>GENTENG/USUK/RENG LAPUK</v>
          </cell>
          <cell r="AI12" t="str">
            <v>TANAH</v>
          </cell>
          <cell r="AJ12" t="str">
            <v>PAPAN/ BILIK BAMBU</v>
          </cell>
          <cell r="AK12" t="str">
            <v>GENTENG/USUK/RENG</v>
          </cell>
          <cell r="AL12">
            <v>90</v>
          </cell>
          <cell r="AM12" t="str">
            <v>RABAT BETON</v>
          </cell>
          <cell r="AN12">
            <v>56</v>
          </cell>
          <cell r="AO12" t="str">
            <v>BATA MERAH/ BATAKO</v>
          </cell>
          <cell r="AP12">
            <v>90</v>
          </cell>
          <cell r="AQ12" t="str">
            <v>Pengempon, ____ Oktober 2015</v>
          </cell>
          <cell r="AR12" t="str">
            <v>SUTOMO</v>
          </cell>
          <cell r="AS12" t="str">
            <v>NURUL IMAN</v>
          </cell>
          <cell r="AT12" t="str">
            <v>MUNCUL BARU</v>
          </cell>
          <cell r="AU12" t="str">
            <v>Jl. Simpang lima Rt.3/Rw.1 Kec.Pejagoan</v>
          </cell>
          <cell r="AV12" t="str">
            <v>Mohamad Mansur</v>
          </cell>
          <cell r="AW12" t="str">
            <v>BTN KCP KEBUMEN</v>
          </cell>
          <cell r="AX12" t="str">
            <v>'00696</v>
          </cell>
          <cell r="AY12" t="str">
            <v>00696-01-50-000542-4</v>
          </cell>
        </row>
        <row r="13">
          <cell r="A13">
            <v>8</v>
          </cell>
          <cell r="B13" t="str">
            <v>MUNASIR</v>
          </cell>
          <cell r="C13" t="str">
            <v>L</v>
          </cell>
          <cell r="D13" t="str">
            <v>3305143112400027</v>
          </cell>
          <cell r="E13" t="str">
            <v>PENGEMPON RT 01/RW 02</v>
          </cell>
          <cell r="F13" t="str">
            <v>PENGEMPON</v>
          </cell>
          <cell r="G13" t="str">
            <v>SRUWENG</v>
          </cell>
          <cell r="H13" t="str">
            <v>KEBUMEN</v>
          </cell>
          <cell r="I13" t="str">
            <v>JAWA TENGAH</v>
          </cell>
          <cell r="J13">
            <v>15000000</v>
          </cell>
          <cell r="K13">
            <v>74</v>
          </cell>
          <cell r="L13" t="str">
            <v>PETANI/PEKEBUN</v>
          </cell>
          <cell r="M13">
            <v>600000</v>
          </cell>
          <cell r="N13">
            <v>2</v>
          </cell>
          <cell r="O13" t="str">
            <v>Tidak Layak</v>
          </cell>
          <cell r="P13" t="str">
            <v>Tidak Layak</v>
          </cell>
          <cell r="Q13" t="str">
            <v>Tidak Layak</v>
          </cell>
          <cell r="R13">
            <v>54</v>
          </cell>
          <cell r="S13">
            <v>0</v>
          </cell>
          <cell r="T13" t="str">
            <v>YUDO SUDOMO</v>
          </cell>
          <cell r="U13">
            <v>0</v>
          </cell>
          <cell r="V13" t="str">
            <v>(0287) 3872017</v>
          </cell>
          <cell r="W13" t="str">
            <v>SIGIT KARSENO</v>
          </cell>
          <cell r="X13">
            <v>0</v>
          </cell>
          <cell r="Y13" t="str">
            <v>NIP :19680424 199803 1011</v>
          </cell>
          <cell r="Z13" t="str">
            <v>Moh. Amirudin, S.IP, MM</v>
          </cell>
          <cell r="AA13" t="str">
            <v>Himawan T P, S.Sos</v>
          </cell>
          <cell r="AB13" t="str">
            <v>0000069601590004098</v>
          </cell>
          <cell r="AC13">
            <v>3086</v>
          </cell>
          <cell r="AD13">
            <v>7.6396699999999997</v>
          </cell>
          <cell r="AE13" t="str">
            <v>109,62568</v>
          </cell>
          <cell r="AF13" t="str">
            <v>Surat Keterangan Pejabat</v>
          </cell>
          <cell r="AG13" t="str">
            <v>Air Bersih &amp; MCK</v>
          </cell>
          <cell r="AH13" t="str">
            <v>GENTENG/USUK/RENG LAPUK</v>
          </cell>
          <cell r="AI13" t="str">
            <v>TANAH</v>
          </cell>
          <cell r="AJ13" t="str">
            <v>PAPAN/ BILIK BAMBU</v>
          </cell>
          <cell r="AK13" t="str">
            <v>GENTENG/USUK/RENG</v>
          </cell>
          <cell r="AL13">
            <v>90</v>
          </cell>
          <cell r="AM13" t="str">
            <v>RABAT BETON</v>
          </cell>
          <cell r="AN13">
            <v>56</v>
          </cell>
          <cell r="AO13" t="str">
            <v>BATA MERAH/ BATAKO</v>
          </cell>
          <cell r="AP13">
            <v>90</v>
          </cell>
          <cell r="AQ13" t="str">
            <v>Pengempon, ____ Oktober 2015</v>
          </cell>
          <cell r="AR13" t="str">
            <v>SUTARMAN</v>
          </cell>
          <cell r="AS13" t="str">
            <v>KUANG</v>
          </cell>
          <cell r="AT13" t="str">
            <v>MUNCUL BARU</v>
          </cell>
          <cell r="AU13" t="str">
            <v>Jl. Simpang lima Rt.3/Rw.1 Kec.Pejagoan</v>
          </cell>
          <cell r="AV13" t="str">
            <v>Mohamad Mansur</v>
          </cell>
          <cell r="AW13" t="str">
            <v>BTN KCP KEBUMEN</v>
          </cell>
          <cell r="AX13" t="str">
            <v>'00696</v>
          </cell>
          <cell r="AY13" t="str">
            <v>00696-01-50-000542-4</v>
          </cell>
        </row>
        <row r="14">
          <cell r="A14">
            <v>9</v>
          </cell>
          <cell r="B14" t="str">
            <v>NASRIYATUN</v>
          </cell>
          <cell r="C14" t="str">
            <v>P</v>
          </cell>
          <cell r="D14" t="str">
            <v>3305145608720001</v>
          </cell>
          <cell r="E14" t="str">
            <v>PENGEMPON LOR RT 01/RW 02</v>
          </cell>
          <cell r="F14" t="str">
            <v>PENGEMPON</v>
          </cell>
          <cell r="G14" t="str">
            <v>SRUWENG</v>
          </cell>
          <cell r="H14" t="str">
            <v>KEBUMEN</v>
          </cell>
          <cell r="I14" t="str">
            <v>JAWA TENGAH</v>
          </cell>
          <cell r="J14">
            <v>15000000</v>
          </cell>
          <cell r="K14">
            <v>42</v>
          </cell>
          <cell r="L14" t="str">
            <v>MENGURUS RUMAH TANGGA</v>
          </cell>
          <cell r="M14">
            <v>400000</v>
          </cell>
          <cell r="N14">
            <v>3</v>
          </cell>
          <cell r="O14" t="str">
            <v>Tidak Layak</v>
          </cell>
          <cell r="P14" t="str">
            <v>Tidak Layak</v>
          </cell>
          <cell r="Q14" t="str">
            <v>Tidak Layak</v>
          </cell>
          <cell r="R14">
            <v>54</v>
          </cell>
          <cell r="S14">
            <v>0</v>
          </cell>
          <cell r="T14" t="str">
            <v>YUDO SUDOMO</v>
          </cell>
          <cell r="U14">
            <v>0</v>
          </cell>
          <cell r="V14" t="str">
            <v>(0287) 3872017</v>
          </cell>
          <cell r="W14" t="str">
            <v>SIGIT KARSENO</v>
          </cell>
          <cell r="X14">
            <v>0</v>
          </cell>
          <cell r="Y14" t="str">
            <v>NIP :19680424 199803 1011</v>
          </cell>
          <cell r="Z14" t="str">
            <v>Moh. Amirudin, S.IP, MM</v>
          </cell>
          <cell r="AA14" t="str">
            <v>Himawan T P, S.Sos</v>
          </cell>
          <cell r="AB14" t="str">
            <v>0000069601590004404</v>
          </cell>
          <cell r="AC14">
            <v>3086</v>
          </cell>
          <cell r="AD14">
            <v>7.6395099999999996</v>
          </cell>
          <cell r="AE14" t="str">
            <v>109,62447</v>
          </cell>
          <cell r="AF14" t="str">
            <v>Surat Keterangan Pejabat</v>
          </cell>
          <cell r="AG14" t="str">
            <v>Listrik</v>
          </cell>
          <cell r="AH14" t="str">
            <v>GENTENG/USUK/RENG LAPUK</v>
          </cell>
          <cell r="AI14" t="str">
            <v>TANAH</v>
          </cell>
          <cell r="AJ14" t="str">
            <v>PAPAN/ BILIK BAMBU</v>
          </cell>
          <cell r="AK14" t="str">
            <v>GENTENG/USUK/RENG</v>
          </cell>
          <cell r="AL14">
            <v>90</v>
          </cell>
          <cell r="AM14" t="str">
            <v>RABAT BETON</v>
          </cell>
          <cell r="AN14">
            <v>56</v>
          </cell>
          <cell r="AO14" t="str">
            <v>BATA MERAH/ BATAKO</v>
          </cell>
          <cell r="AP14">
            <v>90</v>
          </cell>
          <cell r="AQ14" t="str">
            <v>Pengempon, ____ Oktober 2015</v>
          </cell>
          <cell r="AR14" t="str">
            <v>SUTARMAN</v>
          </cell>
          <cell r="AS14" t="str">
            <v>KUANG</v>
          </cell>
          <cell r="AT14" t="str">
            <v>MUNCUL BARU</v>
          </cell>
          <cell r="AU14" t="str">
            <v>Jl. Simpang lima Rt.3/Rw.1 Kec.Pejagoan</v>
          </cell>
          <cell r="AV14" t="str">
            <v>Mohamad Mansur</v>
          </cell>
          <cell r="AW14" t="str">
            <v>BTN KCP KEBUMEN</v>
          </cell>
          <cell r="AX14" t="str">
            <v>'00696</v>
          </cell>
          <cell r="AY14" t="str">
            <v>00696-01-50-000542-4</v>
          </cell>
        </row>
        <row r="15">
          <cell r="A15">
            <v>10</v>
          </cell>
          <cell r="B15" t="str">
            <v>MUDAKIR</v>
          </cell>
          <cell r="C15" t="str">
            <v>L</v>
          </cell>
          <cell r="D15" t="str">
            <v>3305140406580001</v>
          </cell>
          <cell r="E15" t="str">
            <v>PENGEMPON RT 01/RW 02</v>
          </cell>
          <cell r="F15" t="str">
            <v>PENGEMPON</v>
          </cell>
          <cell r="G15" t="str">
            <v>SRUWENG</v>
          </cell>
          <cell r="H15" t="str">
            <v>KEBUMEN</v>
          </cell>
          <cell r="I15" t="str">
            <v>JAWA TENGAH</v>
          </cell>
          <cell r="J15">
            <v>15000000</v>
          </cell>
          <cell r="K15">
            <v>56</v>
          </cell>
          <cell r="L15" t="str">
            <v>BURUH HARIAN LEPAS</v>
          </cell>
          <cell r="M15">
            <v>450000</v>
          </cell>
          <cell r="N15">
            <v>6</v>
          </cell>
          <cell r="O15" t="str">
            <v>Tidak Layak</v>
          </cell>
          <cell r="P15" t="str">
            <v>Tidak Layak</v>
          </cell>
          <cell r="Q15" t="str">
            <v>Tidak Layak</v>
          </cell>
          <cell r="R15">
            <v>54</v>
          </cell>
          <cell r="S15">
            <v>0</v>
          </cell>
          <cell r="T15" t="str">
            <v>YUDO SUDOMO</v>
          </cell>
          <cell r="U15">
            <v>0</v>
          </cell>
          <cell r="V15" t="str">
            <v>(0287) 3872017</v>
          </cell>
          <cell r="W15" t="str">
            <v>SIGIT KARSENO</v>
          </cell>
          <cell r="X15">
            <v>0</v>
          </cell>
          <cell r="Y15" t="str">
            <v>NIP :19680424 199803 1011</v>
          </cell>
          <cell r="Z15" t="str">
            <v>Moh. Amirudin, S.IP, MM</v>
          </cell>
          <cell r="AA15" t="str">
            <v>Himawan T P, S.Sos</v>
          </cell>
          <cell r="AB15" t="str">
            <v>0000069601590003775</v>
          </cell>
          <cell r="AC15">
            <v>3086</v>
          </cell>
          <cell r="AD15">
            <v>7.6393700000000004</v>
          </cell>
          <cell r="AE15" t="str">
            <v>109,62541</v>
          </cell>
          <cell r="AF15" t="str">
            <v>Surat Keterangan Pejabat</v>
          </cell>
          <cell r="AG15" t="str">
            <v>Tidak Ada</v>
          </cell>
          <cell r="AH15" t="str">
            <v>GENTENG/USUK/RENG LAPUK</v>
          </cell>
          <cell r="AI15" t="str">
            <v>TANAH</v>
          </cell>
          <cell r="AJ15" t="str">
            <v>PAPAN/ BILIK BAMBU</v>
          </cell>
          <cell r="AK15" t="str">
            <v>GENTENG/USUK/RENG</v>
          </cell>
          <cell r="AL15">
            <v>88</v>
          </cell>
          <cell r="AM15" t="str">
            <v>RABAT BETON</v>
          </cell>
          <cell r="AN15">
            <v>54</v>
          </cell>
          <cell r="AO15" t="str">
            <v>BATA MERAH/ BATAKO</v>
          </cell>
          <cell r="AP15">
            <v>90</v>
          </cell>
          <cell r="AQ15" t="str">
            <v>Pengempon, ____ Oktober 2015</v>
          </cell>
          <cell r="AR15" t="str">
            <v>SUTARMAN</v>
          </cell>
          <cell r="AS15" t="str">
            <v>KUANG</v>
          </cell>
          <cell r="AT15" t="str">
            <v>MUNCUL BARU</v>
          </cell>
          <cell r="AU15" t="str">
            <v>Jl. Simpang lima Rt.3/Rw.1 Kec.Pejagoan</v>
          </cell>
          <cell r="AV15" t="str">
            <v>Mohamad Mansur</v>
          </cell>
          <cell r="AW15" t="str">
            <v>BTN KCP KEBUMEN</v>
          </cell>
          <cell r="AX15" t="str">
            <v>'00696</v>
          </cell>
          <cell r="AY15" t="str">
            <v>00696-01-50-000542-4</v>
          </cell>
        </row>
        <row r="16">
          <cell r="A16">
            <v>11</v>
          </cell>
          <cell r="B16" t="str">
            <v>NAFINGATUN</v>
          </cell>
          <cell r="C16" t="str">
            <v>P</v>
          </cell>
          <cell r="D16" t="str">
            <v>3305144906630002</v>
          </cell>
          <cell r="E16" t="str">
            <v>PENGEMPON RT 03/RW 01</v>
          </cell>
          <cell r="F16" t="str">
            <v>PENGEMPON</v>
          </cell>
          <cell r="G16" t="str">
            <v>SRUWENG</v>
          </cell>
          <cell r="H16" t="str">
            <v>KEBUMEN</v>
          </cell>
          <cell r="I16" t="str">
            <v>JAWA TENGAH</v>
          </cell>
          <cell r="J16">
            <v>15000000</v>
          </cell>
          <cell r="K16">
            <v>51</v>
          </cell>
          <cell r="L16" t="str">
            <v>BURUH HARIAN LEPAS</v>
          </cell>
          <cell r="M16">
            <v>350000</v>
          </cell>
          <cell r="N16">
            <v>3</v>
          </cell>
          <cell r="O16" t="str">
            <v>Tidak Layak</v>
          </cell>
          <cell r="P16" t="str">
            <v>Tidak Layak</v>
          </cell>
          <cell r="Q16" t="str">
            <v>Tidak Layak</v>
          </cell>
          <cell r="R16">
            <v>81</v>
          </cell>
          <cell r="S16">
            <v>0</v>
          </cell>
          <cell r="T16" t="str">
            <v>YUDO SUDOMO</v>
          </cell>
          <cell r="U16">
            <v>0</v>
          </cell>
          <cell r="V16" t="str">
            <v>(0287) 3872017</v>
          </cell>
          <cell r="W16" t="str">
            <v>SIGIT KARSENO</v>
          </cell>
          <cell r="X16">
            <v>0</v>
          </cell>
          <cell r="Y16" t="str">
            <v>NIP :19680424 199803 1011</v>
          </cell>
          <cell r="Z16" t="str">
            <v>Moh. Amirudin, S.IP, MM</v>
          </cell>
          <cell r="AA16" t="str">
            <v>Himawan T P, S.Sos</v>
          </cell>
          <cell r="AB16" t="str">
            <v>0000069601590004307</v>
          </cell>
          <cell r="AC16">
            <v>3086</v>
          </cell>
          <cell r="AD16">
            <v>7.6454399999999998</v>
          </cell>
          <cell r="AE16" t="str">
            <v>109,62684</v>
          </cell>
          <cell r="AF16" t="str">
            <v>Surat Keterangan Pejabat</v>
          </cell>
          <cell r="AG16" t="str">
            <v>Tidak Ada</v>
          </cell>
          <cell r="AH16" t="str">
            <v>GENTENG/USUK/RENG LAPUK</v>
          </cell>
          <cell r="AI16" t="str">
            <v>TANAH</v>
          </cell>
          <cell r="AJ16" t="str">
            <v>PAPAN/ BILIK BAMBU</v>
          </cell>
          <cell r="AK16" t="str">
            <v>GENTENG/USUK/RENG</v>
          </cell>
          <cell r="AL16">
            <v>88</v>
          </cell>
          <cell r="AM16" t="str">
            <v>RABAT BETON</v>
          </cell>
          <cell r="AN16">
            <v>54</v>
          </cell>
          <cell r="AO16" t="str">
            <v>BATA MERAH/ BATAKO</v>
          </cell>
          <cell r="AP16">
            <v>90</v>
          </cell>
          <cell r="AQ16" t="str">
            <v>Pengempon, ____ Oktober 2015</v>
          </cell>
          <cell r="AR16" t="str">
            <v>SUTOMO</v>
          </cell>
          <cell r="AS16" t="str">
            <v>NURUL IMAN</v>
          </cell>
          <cell r="AT16" t="str">
            <v>MUNCUL BARU</v>
          </cell>
          <cell r="AU16" t="str">
            <v>Jl. Simpang lima Rt.3/Rw.1 Kec.Pejagoan</v>
          </cell>
          <cell r="AV16" t="str">
            <v>Mohamad Mansur</v>
          </cell>
          <cell r="AW16" t="str">
            <v>BTN KCP KEBUMEN</v>
          </cell>
          <cell r="AX16" t="str">
            <v>'00696</v>
          </cell>
          <cell r="AY16" t="str">
            <v>00696-01-50-000542-4</v>
          </cell>
        </row>
        <row r="17">
          <cell r="A17">
            <v>12</v>
          </cell>
          <cell r="B17" t="str">
            <v>ROHAEDI</v>
          </cell>
          <cell r="C17" t="str">
            <v>L</v>
          </cell>
          <cell r="D17" t="str">
            <v>3305140605840001</v>
          </cell>
          <cell r="E17" t="str">
            <v>PENGEMPON RT 01/RW 02</v>
          </cell>
          <cell r="F17" t="str">
            <v>PENGEMPON</v>
          </cell>
          <cell r="G17" t="str">
            <v>SRUWENG</v>
          </cell>
          <cell r="H17" t="str">
            <v>KEBUMEN</v>
          </cell>
          <cell r="I17" t="str">
            <v>JAWA TENGAH</v>
          </cell>
          <cell r="J17">
            <v>15000000</v>
          </cell>
          <cell r="K17">
            <v>30</v>
          </cell>
          <cell r="L17" t="str">
            <v>BURUH HARIAN LEPAS</v>
          </cell>
          <cell r="M17">
            <v>700000</v>
          </cell>
          <cell r="N17">
            <v>4</v>
          </cell>
          <cell r="O17" t="str">
            <v>Tidak Layak</v>
          </cell>
          <cell r="P17" t="str">
            <v>Tidak Layak</v>
          </cell>
          <cell r="Q17" t="str">
            <v>Tidak Layak</v>
          </cell>
          <cell r="R17">
            <v>36</v>
          </cell>
          <cell r="S17">
            <v>0</v>
          </cell>
          <cell r="T17" t="str">
            <v>YUDO SUDOMO</v>
          </cell>
          <cell r="U17">
            <v>0</v>
          </cell>
          <cell r="V17" t="str">
            <v>(0287) 3872017</v>
          </cell>
          <cell r="W17" t="str">
            <v>SIGIT KARSENO</v>
          </cell>
          <cell r="X17">
            <v>0</v>
          </cell>
          <cell r="Y17" t="str">
            <v>NIP :19680424 199803 1011</v>
          </cell>
          <cell r="Z17" t="str">
            <v>Moh. Amirudin, S.IP, MM</v>
          </cell>
          <cell r="AA17" t="str">
            <v>Himawan T P, S.Sos</v>
          </cell>
          <cell r="AB17" t="str">
            <v>0000069601590005751</v>
          </cell>
          <cell r="AC17">
            <v>3086</v>
          </cell>
          <cell r="AD17">
            <v>7.63774</v>
          </cell>
          <cell r="AE17" t="str">
            <v>109,62588</v>
          </cell>
          <cell r="AF17" t="str">
            <v>Surat Keterangan Pejabat</v>
          </cell>
          <cell r="AG17" t="str">
            <v>Listrik</v>
          </cell>
          <cell r="AH17" t="str">
            <v>GENTENG/USUK/RENG LAPUK</v>
          </cell>
          <cell r="AI17" t="str">
            <v>TANAH</v>
          </cell>
          <cell r="AJ17" t="str">
            <v>PAPAN/ BILIK BAMBU</v>
          </cell>
          <cell r="AK17" t="str">
            <v>GENTENG/USUK/RENG</v>
          </cell>
          <cell r="AL17">
            <v>88</v>
          </cell>
          <cell r="AM17" t="str">
            <v>RABAT BETON</v>
          </cell>
          <cell r="AN17">
            <v>54</v>
          </cell>
          <cell r="AO17" t="str">
            <v>BATA MERAH/ BATAKO</v>
          </cell>
          <cell r="AP17">
            <v>90</v>
          </cell>
          <cell r="AQ17" t="str">
            <v>Pengempon, ____ Oktober 2015</v>
          </cell>
          <cell r="AR17" t="str">
            <v>SUTARMAN</v>
          </cell>
          <cell r="AS17" t="str">
            <v>KUANG</v>
          </cell>
          <cell r="AT17" t="str">
            <v>MUNCUL BARU</v>
          </cell>
          <cell r="AU17" t="str">
            <v>Jl. Simpang lima Rt.3/Rw.1 Kec.Pejagoan</v>
          </cell>
          <cell r="AV17" t="str">
            <v>Mohamad Mansur</v>
          </cell>
          <cell r="AW17" t="str">
            <v>BTN KCP KEBUMEN</v>
          </cell>
          <cell r="AX17" t="str">
            <v>'00696</v>
          </cell>
          <cell r="AY17" t="str">
            <v>00696-01-50-000542-4</v>
          </cell>
        </row>
        <row r="18">
          <cell r="A18">
            <v>13</v>
          </cell>
          <cell r="B18" t="str">
            <v>WAKHIRUDIN</v>
          </cell>
          <cell r="C18" t="str">
            <v>L</v>
          </cell>
          <cell r="D18" t="str">
            <v>3305141108700004</v>
          </cell>
          <cell r="E18" t="str">
            <v>PENGEMPON RT 02/RW 02</v>
          </cell>
          <cell r="F18" t="str">
            <v>PENGEMPON</v>
          </cell>
          <cell r="G18" t="str">
            <v>SRUWENG</v>
          </cell>
          <cell r="H18" t="str">
            <v>KEBUMEN</v>
          </cell>
          <cell r="I18" t="str">
            <v>JAWA TENGAH</v>
          </cell>
          <cell r="J18">
            <v>15000000</v>
          </cell>
          <cell r="K18">
            <v>44</v>
          </cell>
          <cell r="L18" t="str">
            <v>BURUH HARIAN LEPAS</v>
          </cell>
          <cell r="M18">
            <v>600000</v>
          </cell>
          <cell r="N18">
            <v>1</v>
          </cell>
          <cell r="O18" t="str">
            <v>Tidak Layak</v>
          </cell>
          <cell r="P18" t="str">
            <v>Tidak Layak</v>
          </cell>
          <cell r="Q18" t="str">
            <v>Tidak Layak</v>
          </cell>
          <cell r="R18">
            <v>54</v>
          </cell>
          <cell r="S18">
            <v>0</v>
          </cell>
          <cell r="T18" t="str">
            <v>YUDO SUDOMO</v>
          </cell>
          <cell r="U18">
            <v>0</v>
          </cell>
          <cell r="V18" t="str">
            <v>(0287) 3872017</v>
          </cell>
          <cell r="W18" t="str">
            <v>SIGIT KARSENO</v>
          </cell>
          <cell r="X18">
            <v>0</v>
          </cell>
          <cell r="Y18" t="str">
            <v>NIP :19680424 199803 1011</v>
          </cell>
          <cell r="Z18" t="str">
            <v>Moh. Amirudin, S.IP, MM</v>
          </cell>
          <cell r="AA18" t="str">
            <v>Himawan T P, S.Sos</v>
          </cell>
          <cell r="AB18" t="str">
            <v>0000069601590010251</v>
          </cell>
          <cell r="AC18">
            <v>3086</v>
          </cell>
          <cell r="AD18">
            <v>7.6361600000000003</v>
          </cell>
          <cell r="AE18" t="str">
            <v>109,62799</v>
          </cell>
          <cell r="AF18" t="str">
            <v>Surat Keterangan Pejabat</v>
          </cell>
          <cell r="AG18" t="str">
            <v>Tidak Ada</v>
          </cell>
          <cell r="AH18" t="str">
            <v>GENTENG/USUK/RENG LAPUK</v>
          </cell>
          <cell r="AI18" t="str">
            <v>TANAH</v>
          </cell>
          <cell r="AJ18" t="str">
            <v>PAPAN/ BILIK BAMBU</v>
          </cell>
          <cell r="AK18" t="str">
            <v>GENTENG/USUK/RENG</v>
          </cell>
          <cell r="AL18">
            <v>88</v>
          </cell>
          <cell r="AM18" t="str">
            <v>RABAT BETON</v>
          </cell>
          <cell r="AN18">
            <v>54</v>
          </cell>
          <cell r="AO18" t="str">
            <v>BATA MERAH/ BATAKO</v>
          </cell>
          <cell r="AP18">
            <v>90</v>
          </cell>
          <cell r="AQ18" t="str">
            <v>Pengempon, ____ Oktober 2015</v>
          </cell>
          <cell r="AR18" t="str">
            <v>SLAMET HARYANTO</v>
          </cell>
          <cell r="AS18" t="str">
            <v>GUNUNG TUGEL</v>
          </cell>
          <cell r="AT18" t="str">
            <v>MUNCUL BARU</v>
          </cell>
          <cell r="AU18" t="str">
            <v>Jl. Simpang lima Rt.3/Rw.1 Kec.Pejagoan</v>
          </cell>
          <cell r="AV18" t="str">
            <v>Mohamad Mansur</v>
          </cell>
          <cell r="AW18" t="str">
            <v>BTN KCP KEBUMEN</v>
          </cell>
          <cell r="AX18" t="str">
            <v>'00696</v>
          </cell>
          <cell r="AY18" t="str">
            <v>00696-01-50-000542-4</v>
          </cell>
        </row>
        <row r="19">
          <cell r="A19">
            <v>14</v>
          </cell>
          <cell r="B19" t="str">
            <v>KATIYO</v>
          </cell>
          <cell r="C19" t="str">
            <v>L</v>
          </cell>
          <cell r="D19" t="str">
            <v>3305141610540001</v>
          </cell>
          <cell r="E19" t="str">
            <v>PENGEMPON RT 02/RW 02</v>
          </cell>
          <cell r="F19" t="str">
            <v>PENGEMPON</v>
          </cell>
          <cell r="G19" t="str">
            <v>SRUWENG</v>
          </cell>
          <cell r="H19" t="str">
            <v>KEBUMEN</v>
          </cell>
          <cell r="I19" t="str">
            <v>JAWA TENGAH</v>
          </cell>
          <cell r="J19">
            <v>15000000</v>
          </cell>
          <cell r="K19">
            <v>60</v>
          </cell>
          <cell r="L19" t="str">
            <v>BURUH HARIAN LEPAS</v>
          </cell>
          <cell r="M19">
            <v>300000</v>
          </cell>
          <cell r="N19">
            <v>3</v>
          </cell>
          <cell r="O19" t="str">
            <v>Tidak Layak</v>
          </cell>
          <cell r="P19" t="str">
            <v>Tidak Layak</v>
          </cell>
          <cell r="Q19" t="str">
            <v>Tidak Layak</v>
          </cell>
          <cell r="R19">
            <v>81</v>
          </cell>
          <cell r="S19">
            <v>0</v>
          </cell>
          <cell r="T19" t="str">
            <v>YUDO SUDOMO</v>
          </cell>
          <cell r="U19">
            <v>0</v>
          </cell>
          <cell r="V19" t="str">
            <v>(0287) 3872017</v>
          </cell>
          <cell r="W19" t="str">
            <v>SIGIT KARSENO</v>
          </cell>
          <cell r="X19">
            <v>0</v>
          </cell>
          <cell r="Y19" t="str">
            <v>NIP :19680424 199803 1011</v>
          </cell>
          <cell r="Z19" t="str">
            <v>Moh. Amirudin, S.IP, MM</v>
          </cell>
          <cell r="AA19" t="str">
            <v>Himawan T P, S.Sos</v>
          </cell>
          <cell r="AB19" t="str">
            <v>0000069601590002282</v>
          </cell>
          <cell r="AC19">
            <v>3086</v>
          </cell>
          <cell r="AD19">
            <v>7.63598</v>
          </cell>
          <cell r="AE19" t="str">
            <v>109,62745</v>
          </cell>
          <cell r="AF19" t="str">
            <v>Surat Keterangan Pejabat</v>
          </cell>
          <cell r="AG19" t="str">
            <v>Listrik</v>
          </cell>
          <cell r="AH19" t="str">
            <v>GENTENG/USUK/RENG LAPUK</v>
          </cell>
          <cell r="AI19" t="str">
            <v>TANAH</v>
          </cell>
          <cell r="AJ19" t="str">
            <v>PAPAN/ BILIK BAMBU</v>
          </cell>
          <cell r="AK19" t="str">
            <v>GENTENG/USUK/RENG</v>
          </cell>
          <cell r="AL19">
            <v>88</v>
          </cell>
          <cell r="AM19" t="str">
            <v>RABAT BETON</v>
          </cell>
          <cell r="AN19">
            <v>54</v>
          </cell>
          <cell r="AO19" t="str">
            <v>BATA MERAH/ BATAKO</v>
          </cell>
          <cell r="AP19">
            <v>90</v>
          </cell>
          <cell r="AQ19" t="str">
            <v>Pengempon, ____ Oktober 2015</v>
          </cell>
          <cell r="AR19" t="str">
            <v>SLAMET HARYANTO</v>
          </cell>
          <cell r="AS19" t="str">
            <v>GUNUNG TUGEL</v>
          </cell>
          <cell r="AT19" t="str">
            <v>MUNCUL BARU</v>
          </cell>
          <cell r="AU19" t="str">
            <v>Jl. Simpang lima Rt.3/Rw.1 Kec.Pejagoan</v>
          </cell>
          <cell r="AV19" t="str">
            <v>Mohamad Mansur</v>
          </cell>
          <cell r="AW19" t="str">
            <v>BTN KCP KEBUMEN</v>
          </cell>
          <cell r="AX19" t="str">
            <v>'00696</v>
          </cell>
          <cell r="AY19" t="str">
            <v>00696-01-50-000542-4</v>
          </cell>
        </row>
        <row r="20">
          <cell r="A20">
            <v>15</v>
          </cell>
          <cell r="B20" t="str">
            <v>MANISAH</v>
          </cell>
          <cell r="C20" t="str">
            <v>P</v>
          </cell>
          <cell r="D20" t="str">
            <v>3305147112590002</v>
          </cell>
          <cell r="E20" t="str">
            <v>PENGEMPON RT 02/RW 02</v>
          </cell>
          <cell r="F20" t="str">
            <v>PENGEMPON</v>
          </cell>
          <cell r="G20" t="str">
            <v>SRUWENG</v>
          </cell>
          <cell r="H20" t="str">
            <v>KEBUMEN</v>
          </cell>
          <cell r="I20" t="str">
            <v>JAWA TENGAH</v>
          </cell>
          <cell r="J20">
            <v>15000000</v>
          </cell>
          <cell r="K20">
            <v>55</v>
          </cell>
          <cell r="L20" t="str">
            <v>MENGURUS RUMAH TANGGA</v>
          </cell>
          <cell r="M20">
            <v>200000</v>
          </cell>
          <cell r="N20">
            <v>1</v>
          </cell>
          <cell r="O20" t="str">
            <v>Tidak Layak</v>
          </cell>
          <cell r="P20" t="str">
            <v>Tidak Layak</v>
          </cell>
          <cell r="Q20" t="str">
            <v>Tidak Layak</v>
          </cell>
          <cell r="R20">
            <v>54</v>
          </cell>
          <cell r="S20">
            <v>0</v>
          </cell>
          <cell r="T20" t="str">
            <v>YUDO SUDOMO</v>
          </cell>
          <cell r="U20">
            <v>0</v>
          </cell>
          <cell r="V20" t="str">
            <v>(0287) 3872017</v>
          </cell>
          <cell r="W20" t="str">
            <v>SIGIT KARSENO</v>
          </cell>
          <cell r="X20">
            <v>0</v>
          </cell>
          <cell r="Y20" t="str">
            <v>NIP :19680424 199803 1011</v>
          </cell>
          <cell r="Z20" t="str">
            <v>Moh. Amirudin, S.IP, MM</v>
          </cell>
          <cell r="AA20" t="str">
            <v>Himawan T P, S.Sos</v>
          </cell>
          <cell r="AB20" t="str">
            <v>0000069601590003149</v>
          </cell>
          <cell r="AC20">
            <v>3086</v>
          </cell>
          <cell r="AD20">
            <v>7.6372499999999999</v>
          </cell>
          <cell r="AE20" t="str">
            <v>109,62412</v>
          </cell>
          <cell r="AF20" t="str">
            <v>Surat Keterangan Pejabat</v>
          </cell>
          <cell r="AG20" t="str">
            <v>Tidak Ada</v>
          </cell>
          <cell r="AH20" t="str">
            <v>GENTENG/USUK/RENG LAPUK</v>
          </cell>
          <cell r="AI20" t="str">
            <v>TANAH</v>
          </cell>
          <cell r="AJ20" t="str">
            <v>PAPAN/ BILIK BAMBU</v>
          </cell>
          <cell r="AK20" t="str">
            <v>GENTENG/USUK/RENG</v>
          </cell>
          <cell r="AL20">
            <v>88</v>
          </cell>
          <cell r="AM20" t="str">
            <v>RABAT BETON</v>
          </cell>
          <cell r="AN20">
            <v>54</v>
          </cell>
          <cell r="AO20" t="str">
            <v>BATA MERAH/ BATAKO</v>
          </cell>
          <cell r="AP20">
            <v>90</v>
          </cell>
          <cell r="AQ20" t="str">
            <v>Pengempon, ____ Oktober 2015</v>
          </cell>
          <cell r="AR20" t="str">
            <v>SLAMET HARYANTO</v>
          </cell>
          <cell r="AS20" t="str">
            <v>GUNUNG TUGEL</v>
          </cell>
          <cell r="AT20" t="str">
            <v>MUNCUL BARU</v>
          </cell>
          <cell r="AU20" t="str">
            <v>Jl. Simpang lima Rt.3/Rw.1 Kec.Pejagoan</v>
          </cell>
          <cell r="AV20" t="str">
            <v>Mohamad Mansur</v>
          </cell>
          <cell r="AW20" t="str">
            <v>BTN KCP KEBUMEN</v>
          </cell>
          <cell r="AX20" t="str">
            <v>'00696</v>
          </cell>
          <cell r="AY20" t="str">
            <v>00696-01-50-000542-4</v>
          </cell>
        </row>
        <row r="21">
          <cell r="A21">
            <v>16</v>
          </cell>
          <cell r="B21" t="str">
            <v>WASITAH</v>
          </cell>
          <cell r="C21" t="str">
            <v>P</v>
          </cell>
          <cell r="D21" t="str">
            <v>3305147112500024</v>
          </cell>
          <cell r="E21" t="str">
            <v>PENGEMPON RT 02/RW 02</v>
          </cell>
          <cell r="F21" t="str">
            <v>PENGEMPON</v>
          </cell>
          <cell r="G21" t="str">
            <v>SRUWENG</v>
          </cell>
          <cell r="H21" t="str">
            <v>KEBUMEN</v>
          </cell>
          <cell r="I21" t="str">
            <v>JAWA TENGAH</v>
          </cell>
          <cell r="J21">
            <v>15000000</v>
          </cell>
          <cell r="K21">
            <v>64</v>
          </cell>
          <cell r="L21" t="str">
            <v>BURUH HARIAN LEPAS</v>
          </cell>
          <cell r="M21">
            <v>450000</v>
          </cell>
          <cell r="N21">
            <v>1</v>
          </cell>
          <cell r="O21" t="str">
            <v>Tidak Layak</v>
          </cell>
          <cell r="P21" t="str">
            <v>Tidak Layak</v>
          </cell>
          <cell r="Q21" t="str">
            <v>Tidak Layak</v>
          </cell>
          <cell r="R21">
            <v>36</v>
          </cell>
          <cell r="S21">
            <v>0</v>
          </cell>
          <cell r="T21" t="str">
            <v>YUDO SUDOMO</v>
          </cell>
          <cell r="U21">
            <v>0</v>
          </cell>
          <cell r="V21" t="str">
            <v>(0287) 3872017</v>
          </cell>
          <cell r="W21" t="str">
            <v>SIGIT KARSENO</v>
          </cell>
          <cell r="X21">
            <v>0</v>
          </cell>
          <cell r="Y21" t="str">
            <v>NIP :19680424 199803 1011</v>
          </cell>
          <cell r="Z21" t="str">
            <v>Moh. Amirudin, S.IP, MM</v>
          </cell>
          <cell r="AA21" t="str">
            <v>Himawan T P, S.Sos</v>
          </cell>
          <cell r="AB21" t="e">
            <v>#N/A</v>
          </cell>
          <cell r="AC21">
            <v>3086</v>
          </cell>
          <cell r="AD21">
            <v>7.6350600000000002</v>
          </cell>
          <cell r="AE21" t="str">
            <v>109,62756</v>
          </cell>
          <cell r="AF21" t="str">
            <v>Surat Keterangan Pejabat</v>
          </cell>
          <cell r="AG21" t="str">
            <v>Tidak Ada</v>
          </cell>
          <cell r="AH21">
            <v>0</v>
          </cell>
          <cell r="AI21">
            <v>0</v>
          </cell>
          <cell r="AJ21">
            <v>0</v>
          </cell>
          <cell r="AQ21">
            <v>0</v>
          </cell>
          <cell r="AR21" t="str">
            <v>_______________</v>
          </cell>
          <cell r="AS21">
            <v>0</v>
          </cell>
          <cell r="AT21">
            <v>0</v>
          </cell>
          <cell r="AU21">
            <v>0</v>
          </cell>
          <cell r="AV21">
            <v>0</v>
          </cell>
          <cell r="AY21">
            <v>0</v>
          </cell>
        </row>
        <row r="22">
          <cell r="A22">
            <v>17</v>
          </cell>
          <cell r="B22" t="str">
            <v>MADKASRI</v>
          </cell>
          <cell r="C22" t="str">
            <v>L</v>
          </cell>
          <cell r="D22" t="str">
            <v>3305143007370001</v>
          </cell>
          <cell r="E22" t="str">
            <v>PENGEMPON RT 02/RW 02</v>
          </cell>
          <cell r="F22" t="str">
            <v>PENGEMPON</v>
          </cell>
          <cell r="G22" t="str">
            <v>SRUWENG</v>
          </cell>
          <cell r="H22" t="str">
            <v>KEBUMEN</v>
          </cell>
          <cell r="I22" t="str">
            <v>JAWA TENGAH</v>
          </cell>
          <cell r="J22">
            <v>15000000</v>
          </cell>
          <cell r="K22">
            <v>77</v>
          </cell>
          <cell r="L22" t="str">
            <v>PETANI/PEKEBUN</v>
          </cell>
          <cell r="M22">
            <v>250000</v>
          </cell>
          <cell r="N22">
            <v>1</v>
          </cell>
          <cell r="O22" t="str">
            <v>Tidak Layak</v>
          </cell>
          <cell r="P22" t="str">
            <v>Tidak Layak</v>
          </cell>
          <cell r="Q22" t="str">
            <v>Tidak Layak</v>
          </cell>
          <cell r="R22">
            <v>81</v>
          </cell>
          <cell r="S22">
            <v>0</v>
          </cell>
          <cell r="T22" t="str">
            <v>YUDO SUDOMO</v>
          </cell>
          <cell r="U22">
            <v>0</v>
          </cell>
          <cell r="V22" t="str">
            <v>(0287) 3872017</v>
          </cell>
          <cell r="W22" t="str">
            <v>SIGIT KARSENO</v>
          </cell>
          <cell r="X22">
            <v>0</v>
          </cell>
          <cell r="Y22" t="str">
            <v>NIP :19680424 199803 1011</v>
          </cell>
          <cell r="Z22" t="str">
            <v>Moh. Amirudin, S.IP, MM</v>
          </cell>
          <cell r="AA22" t="str">
            <v>Himawan T P, S.Sos</v>
          </cell>
          <cell r="AB22" t="str">
            <v>0000069601590002973</v>
          </cell>
          <cell r="AC22">
            <v>3086</v>
          </cell>
          <cell r="AD22">
            <v>7.6353600000000004</v>
          </cell>
          <cell r="AE22" t="str">
            <v>109,62691</v>
          </cell>
          <cell r="AF22" t="str">
            <v>Surat Keterangan Pejabat</v>
          </cell>
          <cell r="AG22" t="str">
            <v>Tidak Ada</v>
          </cell>
          <cell r="AH22" t="str">
            <v>GENTENG/USUK/RENG LAPUK</v>
          </cell>
          <cell r="AI22" t="str">
            <v>TANAH</v>
          </cell>
          <cell r="AJ22" t="str">
            <v>PAPAN/ BILIK BAMBU</v>
          </cell>
          <cell r="AK22" t="str">
            <v>GENTENG/USUK/RENG</v>
          </cell>
          <cell r="AL22">
            <v>88</v>
          </cell>
          <cell r="AM22" t="str">
            <v>RABAT BETON</v>
          </cell>
          <cell r="AN22">
            <v>54</v>
          </cell>
          <cell r="AO22" t="str">
            <v>BATA MERAH/ BATAKO</v>
          </cell>
          <cell r="AP22">
            <v>90</v>
          </cell>
          <cell r="AQ22" t="str">
            <v>Pengempon, ____ Oktober 2015</v>
          </cell>
          <cell r="AR22" t="str">
            <v>SLAMET HARYANTO</v>
          </cell>
          <cell r="AS22" t="str">
            <v>GUNUNG TUGEL</v>
          </cell>
          <cell r="AT22" t="str">
            <v>MUNCUL BARU</v>
          </cell>
          <cell r="AU22" t="str">
            <v>Jl. Simpang lima Rt.3/Rw.1 Kec.Pejagoan</v>
          </cell>
          <cell r="AV22" t="str">
            <v>Mohamad Mansur</v>
          </cell>
          <cell r="AW22" t="str">
            <v>BTN KCP KEBUMEN</v>
          </cell>
          <cell r="AX22" t="str">
            <v>'00696</v>
          </cell>
          <cell r="AY22" t="str">
            <v>00696-01-50-000542-4</v>
          </cell>
        </row>
        <row r="23">
          <cell r="A23">
            <v>18</v>
          </cell>
          <cell r="B23" t="str">
            <v>SADIRAN</v>
          </cell>
          <cell r="C23" t="str">
            <v>L</v>
          </cell>
          <cell r="D23" t="str">
            <v>3305143112480010</v>
          </cell>
          <cell r="E23" t="str">
            <v>PENGEMPON RT 02/RW 02</v>
          </cell>
          <cell r="F23" t="str">
            <v>PENGEMPON</v>
          </cell>
          <cell r="G23" t="str">
            <v>SRUWENG</v>
          </cell>
          <cell r="H23" t="str">
            <v>KEBUMEN</v>
          </cell>
          <cell r="I23" t="str">
            <v>JAWA TENGAH</v>
          </cell>
          <cell r="J23">
            <v>15000000</v>
          </cell>
          <cell r="K23">
            <v>66</v>
          </cell>
          <cell r="L23" t="str">
            <v>WIRASWASTA</v>
          </cell>
          <cell r="M23">
            <v>550000</v>
          </cell>
          <cell r="N23">
            <v>1</v>
          </cell>
          <cell r="O23" t="str">
            <v>Tidak Layak</v>
          </cell>
          <cell r="P23" t="str">
            <v>Tidak Layak</v>
          </cell>
          <cell r="Q23" t="str">
            <v>Tidak Layak</v>
          </cell>
          <cell r="R23">
            <v>81</v>
          </cell>
          <cell r="S23">
            <v>0</v>
          </cell>
          <cell r="T23" t="str">
            <v>YUDO SUDOMO</v>
          </cell>
          <cell r="U23">
            <v>0</v>
          </cell>
          <cell r="V23" t="str">
            <v>(0287) 3872017</v>
          </cell>
          <cell r="W23" t="str">
            <v>SIGIT KARSENO</v>
          </cell>
          <cell r="X23">
            <v>0</v>
          </cell>
          <cell r="Y23" t="str">
            <v>NIP :19680424 199803 1011</v>
          </cell>
          <cell r="Z23" t="str">
            <v>Moh. Amirudin, S.IP, MM</v>
          </cell>
          <cell r="AA23" t="str">
            <v>Himawan T P, S.Sos</v>
          </cell>
          <cell r="AB23" t="str">
            <v>0000069601590006032</v>
          </cell>
          <cell r="AC23">
            <v>3086</v>
          </cell>
          <cell r="AD23">
            <v>7.6355700000000004</v>
          </cell>
          <cell r="AE23" t="str">
            <v>109,62778</v>
          </cell>
          <cell r="AF23" t="str">
            <v>Surat Keterangan Pejabat</v>
          </cell>
          <cell r="AG23" t="str">
            <v>Listrik</v>
          </cell>
          <cell r="AH23" t="str">
            <v>GENTENG/USUK/RENG LAPUK</v>
          </cell>
          <cell r="AI23" t="str">
            <v>TANAH</v>
          </cell>
          <cell r="AJ23" t="str">
            <v>PAPAN/ BILIK BAMBU</v>
          </cell>
          <cell r="AK23" t="str">
            <v>GENTENG/USUK/RENG</v>
          </cell>
          <cell r="AL23">
            <v>88</v>
          </cell>
          <cell r="AM23" t="str">
            <v>RABAT BETON</v>
          </cell>
          <cell r="AN23">
            <v>54</v>
          </cell>
          <cell r="AO23" t="str">
            <v>BATA MERAH/ BATAKO</v>
          </cell>
          <cell r="AP23">
            <v>90</v>
          </cell>
          <cell r="AQ23" t="str">
            <v>Pengempon, ____ Oktober 2015</v>
          </cell>
          <cell r="AR23" t="str">
            <v>SLAMET HARYANTO</v>
          </cell>
          <cell r="AS23" t="str">
            <v>GUNUNG TUGEL</v>
          </cell>
          <cell r="AT23" t="str">
            <v>MUNCUL BARU</v>
          </cell>
          <cell r="AU23" t="str">
            <v>Jl. Simpang lima Rt.3/Rw.1 Kec.Pejagoan</v>
          </cell>
          <cell r="AV23" t="str">
            <v>Mohamad Mansur</v>
          </cell>
          <cell r="AW23" t="str">
            <v>BTN KCP KEBUMEN</v>
          </cell>
          <cell r="AX23" t="str">
            <v>'00696</v>
          </cell>
          <cell r="AY23" t="str">
            <v>00696-01-50-000542-4</v>
          </cell>
        </row>
        <row r="24">
          <cell r="A24">
            <v>19</v>
          </cell>
          <cell r="B24" t="str">
            <v>SURATIYAH</v>
          </cell>
          <cell r="C24" t="str">
            <v>P</v>
          </cell>
          <cell r="D24" t="str">
            <v>3305145403740002</v>
          </cell>
          <cell r="E24" t="str">
            <v>PENGEMPON RT 02/RW 02</v>
          </cell>
          <cell r="F24" t="str">
            <v>PENGEMPON</v>
          </cell>
          <cell r="G24" t="str">
            <v>SRUWENG</v>
          </cell>
          <cell r="H24" t="str">
            <v>KEBUMEN</v>
          </cell>
          <cell r="I24" t="str">
            <v>JAWA TENGAH</v>
          </cell>
          <cell r="J24">
            <v>15000000</v>
          </cell>
          <cell r="K24">
            <v>40</v>
          </cell>
          <cell r="L24" t="str">
            <v>MENGURUS RUMAH TANGGA</v>
          </cell>
          <cell r="M24">
            <v>500000</v>
          </cell>
          <cell r="N24">
            <v>1</v>
          </cell>
          <cell r="O24" t="str">
            <v>Tidak Layak</v>
          </cell>
          <cell r="P24" t="str">
            <v>Tidak Layak</v>
          </cell>
          <cell r="Q24" t="str">
            <v>Tidak Layak</v>
          </cell>
          <cell r="R24">
            <v>54</v>
          </cell>
          <cell r="S24">
            <v>0</v>
          </cell>
          <cell r="T24" t="str">
            <v>YUDO SUDOMO</v>
          </cell>
          <cell r="U24">
            <v>0</v>
          </cell>
          <cell r="V24" t="str">
            <v>(0287) 3872017</v>
          </cell>
          <cell r="W24" t="str">
            <v>SIGIT KARSENO</v>
          </cell>
          <cell r="X24">
            <v>0</v>
          </cell>
          <cell r="Y24" t="str">
            <v>NIP :19680424 199803 1011</v>
          </cell>
          <cell r="Z24" t="str">
            <v>Moh. Amirudin, S.IP, MM</v>
          </cell>
          <cell r="AA24" t="str">
            <v>Himawan T P, S.Sos</v>
          </cell>
          <cell r="AB24" t="str">
            <v>0000069601590009153</v>
          </cell>
          <cell r="AC24">
            <v>3086</v>
          </cell>
          <cell r="AD24">
            <v>7.6364799999999997</v>
          </cell>
          <cell r="AE24" t="str">
            <v>109,62518</v>
          </cell>
          <cell r="AF24" t="str">
            <v>Surat Keterangan Pejabat</v>
          </cell>
          <cell r="AG24" t="str">
            <v>Tidak Ada</v>
          </cell>
          <cell r="AH24" t="str">
            <v>GENTENG/USUK/RENG LAPUK</v>
          </cell>
          <cell r="AI24" t="str">
            <v>TANAH</v>
          </cell>
          <cell r="AJ24" t="str">
            <v>PAPAN/ BILIK BAMBU</v>
          </cell>
          <cell r="AK24" t="str">
            <v>GENTENG/USUK/RENG</v>
          </cell>
          <cell r="AL24">
            <v>88</v>
          </cell>
          <cell r="AM24" t="str">
            <v>RABAT BETON</v>
          </cell>
          <cell r="AN24">
            <v>54</v>
          </cell>
          <cell r="AO24" t="str">
            <v>BATA MERAH/ BATAKO</v>
          </cell>
          <cell r="AP24">
            <v>90</v>
          </cell>
          <cell r="AQ24" t="str">
            <v>Pengempon, ____ Oktober 2015</v>
          </cell>
          <cell r="AR24" t="str">
            <v>SLAMET HARYANTO</v>
          </cell>
          <cell r="AS24" t="str">
            <v>GUNUNG TUGEL</v>
          </cell>
          <cell r="AT24" t="str">
            <v>MUNCUL BARU</v>
          </cell>
          <cell r="AU24" t="str">
            <v>Jl. Simpang lima Rt.3/Rw.1 Kec.Pejagoan</v>
          </cell>
          <cell r="AV24" t="str">
            <v>Mohamad Mansur</v>
          </cell>
          <cell r="AW24" t="str">
            <v>BTN KCP KEBUMEN</v>
          </cell>
          <cell r="AX24" t="str">
            <v>'00696</v>
          </cell>
          <cell r="AY24" t="str">
            <v>00696-01-50-000542-4</v>
          </cell>
        </row>
        <row r="25">
          <cell r="A25">
            <v>20</v>
          </cell>
          <cell r="B25" t="str">
            <v>WATINI</v>
          </cell>
          <cell r="C25" t="str">
            <v>P</v>
          </cell>
          <cell r="D25" t="str">
            <v>3305146405550001</v>
          </cell>
          <cell r="E25" t="str">
            <v>PENGEMPON RT 02/RW 02</v>
          </cell>
          <cell r="F25" t="str">
            <v>PENGEMPON</v>
          </cell>
          <cell r="G25" t="str">
            <v>SRUWENG</v>
          </cell>
          <cell r="H25" t="str">
            <v>KEBUMEN</v>
          </cell>
          <cell r="I25" t="str">
            <v>JAWA TENGAH</v>
          </cell>
          <cell r="J25">
            <v>15000000</v>
          </cell>
          <cell r="K25">
            <v>59</v>
          </cell>
          <cell r="L25" t="str">
            <v>MENGURUS RUMAH TANGGA</v>
          </cell>
          <cell r="M25">
            <v>250000</v>
          </cell>
          <cell r="N25">
            <v>4</v>
          </cell>
          <cell r="O25" t="str">
            <v>Tidak Layak</v>
          </cell>
          <cell r="P25" t="str">
            <v>Tidak Layak</v>
          </cell>
          <cell r="Q25" t="str">
            <v>Tidak Layak</v>
          </cell>
          <cell r="R25">
            <v>81</v>
          </cell>
          <cell r="S25">
            <v>0</v>
          </cell>
          <cell r="T25" t="str">
            <v>YUDO SUDOMO</v>
          </cell>
          <cell r="U25">
            <v>0</v>
          </cell>
          <cell r="V25" t="str">
            <v>(0287) 3872017</v>
          </cell>
          <cell r="W25" t="str">
            <v>SIGIT KARSENO</v>
          </cell>
          <cell r="X25">
            <v>0</v>
          </cell>
          <cell r="Y25" t="str">
            <v>NIP :19680424 199803 1011</v>
          </cell>
          <cell r="Z25" t="str">
            <v>Moh. Amirudin, S.IP, MM</v>
          </cell>
          <cell r="AA25" t="str">
            <v>Himawan T P, S.Sos</v>
          </cell>
          <cell r="AB25" t="str">
            <v>0000069601590010659</v>
          </cell>
          <cell r="AC25">
            <v>3086</v>
          </cell>
          <cell r="AD25">
            <v>7.6363500000000002</v>
          </cell>
          <cell r="AE25" t="str">
            <v>109,62577</v>
          </cell>
          <cell r="AF25" t="str">
            <v>Surat Keterangan Pejabat</v>
          </cell>
          <cell r="AG25" t="str">
            <v>Tidak Ada</v>
          </cell>
          <cell r="AH25" t="str">
            <v>GENTENG/USUK/RENG LAPUK</v>
          </cell>
          <cell r="AI25" t="str">
            <v>TANAH</v>
          </cell>
          <cell r="AJ25" t="str">
            <v>PAPAN/ BILIK BAMBU</v>
          </cell>
          <cell r="AK25" t="str">
            <v>GENTENG/USUK/RENG</v>
          </cell>
          <cell r="AL25">
            <v>88</v>
          </cell>
          <cell r="AM25" t="str">
            <v>RABAT BETON</v>
          </cell>
          <cell r="AN25">
            <v>54</v>
          </cell>
          <cell r="AO25" t="str">
            <v>BATA MERAH/ BATAKO</v>
          </cell>
          <cell r="AP25">
            <v>90</v>
          </cell>
          <cell r="AQ25" t="str">
            <v>Pengempon, ____ Oktober 2015</v>
          </cell>
          <cell r="AR25" t="str">
            <v>SLAMET HARYANTO</v>
          </cell>
          <cell r="AS25" t="str">
            <v>GUNUNG TUGEL</v>
          </cell>
          <cell r="AT25" t="str">
            <v>MUNCUL BARU</v>
          </cell>
          <cell r="AU25" t="str">
            <v>Jl. Simpang lima Rt.3/Rw.1 Kec.Pejagoan</v>
          </cell>
          <cell r="AV25" t="str">
            <v>Mohamad Mansur</v>
          </cell>
          <cell r="AW25" t="str">
            <v>BTN KCP KEBUMEN</v>
          </cell>
          <cell r="AX25" t="str">
            <v>'00696</v>
          </cell>
          <cell r="AY25" t="str">
            <v>00696-01-50-000542-4</v>
          </cell>
        </row>
        <row r="26">
          <cell r="A26">
            <v>21</v>
          </cell>
          <cell r="B26" t="str">
            <v>SAROTUN</v>
          </cell>
          <cell r="C26" t="str">
            <v>L</v>
          </cell>
          <cell r="D26" t="str">
            <v>3305142512780001</v>
          </cell>
          <cell r="E26" t="str">
            <v>PENGEMPON RT 02/RW 02</v>
          </cell>
          <cell r="F26" t="str">
            <v>PENGEMPON</v>
          </cell>
          <cell r="G26" t="str">
            <v>SRUWENG</v>
          </cell>
          <cell r="H26" t="str">
            <v>KEBUMEN</v>
          </cell>
          <cell r="I26" t="str">
            <v>JAWA TENGAH</v>
          </cell>
          <cell r="J26">
            <v>15000000</v>
          </cell>
          <cell r="K26">
            <v>36</v>
          </cell>
          <cell r="L26" t="str">
            <v>BURUH HARIAN LEPAS</v>
          </cell>
          <cell r="M26">
            <v>600000</v>
          </cell>
          <cell r="N26">
            <v>2</v>
          </cell>
          <cell r="O26" t="str">
            <v>Tidak Layak</v>
          </cell>
          <cell r="P26" t="str">
            <v>Tidak Layak</v>
          </cell>
          <cell r="Q26" t="str">
            <v>Tidak Layak</v>
          </cell>
          <cell r="R26">
            <v>36</v>
          </cell>
          <cell r="S26">
            <v>0</v>
          </cell>
          <cell r="T26" t="str">
            <v>YUDO SUDOMO</v>
          </cell>
          <cell r="U26">
            <v>0</v>
          </cell>
          <cell r="V26" t="str">
            <v>(0287) 3872017</v>
          </cell>
          <cell r="W26" t="str">
            <v>SIGIT KARSENO</v>
          </cell>
          <cell r="X26">
            <v>0</v>
          </cell>
          <cell r="Y26" t="str">
            <v>NIP :19680424 199803 1011</v>
          </cell>
          <cell r="Z26" t="str">
            <v>Moh. Amirudin, S.IP, MM</v>
          </cell>
          <cell r="AA26" t="str">
            <v>Himawan T P, S.Sos</v>
          </cell>
          <cell r="AB26" t="str">
            <v>0000069601590007397</v>
          </cell>
          <cell r="AC26">
            <v>3086</v>
          </cell>
          <cell r="AD26">
            <v>7.6370399999999998</v>
          </cell>
          <cell r="AE26" t="str">
            <v>109,62356</v>
          </cell>
          <cell r="AF26" t="str">
            <v>Surat Keterangan Pejabat</v>
          </cell>
          <cell r="AG26" t="str">
            <v>Tidak Ada</v>
          </cell>
          <cell r="AH26" t="str">
            <v>GENTENG/USUK/RENG LAPUK</v>
          </cell>
          <cell r="AI26" t="str">
            <v>TANAH</v>
          </cell>
          <cell r="AJ26" t="str">
            <v>PAPAN/ BILIK BAMBU</v>
          </cell>
          <cell r="AK26" t="str">
            <v>GENTENG/USUK/RENG</v>
          </cell>
          <cell r="AL26">
            <v>88</v>
          </cell>
          <cell r="AM26" t="str">
            <v>RABAT BETON</v>
          </cell>
          <cell r="AN26">
            <v>54</v>
          </cell>
          <cell r="AO26" t="str">
            <v>BATA MERAH/ BATAKO</v>
          </cell>
          <cell r="AP26">
            <v>90</v>
          </cell>
          <cell r="AQ26" t="str">
            <v>Pengempon, ____ Oktober 2015</v>
          </cell>
          <cell r="AR26" t="str">
            <v>SLAMET HARYANTO</v>
          </cell>
          <cell r="AS26" t="str">
            <v>GUNUNG TUGEL</v>
          </cell>
          <cell r="AT26" t="str">
            <v>MUNCUL BARU</v>
          </cell>
          <cell r="AU26" t="str">
            <v>Jl. Simpang lima Rt.3/Rw.1 Kec.Pejagoan</v>
          </cell>
          <cell r="AV26" t="str">
            <v>Mohamad Mansur</v>
          </cell>
          <cell r="AW26" t="str">
            <v>BTN KCP KEBUMEN</v>
          </cell>
          <cell r="AX26" t="str">
            <v>'00696</v>
          </cell>
          <cell r="AY26" t="str">
            <v>00696-01-50-000542-4</v>
          </cell>
        </row>
        <row r="27">
          <cell r="A27">
            <v>22</v>
          </cell>
          <cell r="B27" t="str">
            <v>AGUS BUDIANTO</v>
          </cell>
          <cell r="C27" t="str">
            <v>L</v>
          </cell>
          <cell r="D27" t="str">
            <v>3305141008830011</v>
          </cell>
          <cell r="E27" t="str">
            <v>PENGEMPON RT 02/RW 02</v>
          </cell>
          <cell r="F27" t="str">
            <v>PENGEMPON</v>
          </cell>
          <cell r="G27" t="str">
            <v>SRUWENG</v>
          </cell>
          <cell r="H27" t="str">
            <v>KEBUMEN</v>
          </cell>
          <cell r="I27" t="str">
            <v>JAWA TENGAH</v>
          </cell>
          <cell r="J27">
            <v>15000000</v>
          </cell>
          <cell r="K27">
            <v>31</v>
          </cell>
          <cell r="L27" t="str">
            <v>BURUH HARIAN LEPAS</v>
          </cell>
          <cell r="M27">
            <v>600000</v>
          </cell>
          <cell r="N27">
            <v>3</v>
          </cell>
          <cell r="O27" t="str">
            <v>Tidak Layak</v>
          </cell>
          <cell r="P27" t="str">
            <v>Tidak Layak</v>
          </cell>
          <cell r="Q27" t="str">
            <v>Tidak Layak</v>
          </cell>
          <cell r="R27">
            <v>54</v>
          </cell>
          <cell r="S27">
            <v>0</v>
          </cell>
          <cell r="T27" t="str">
            <v>YUDO SUDOMO</v>
          </cell>
          <cell r="U27">
            <v>0</v>
          </cell>
          <cell r="V27" t="str">
            <v>(0287) 3872017</v>
          </cell>
          <cell r="W27" t="str">
            <v>SIGIT KARSENO</v>
          </cell>
          <cell r="X27">
            <v>0</v>
          </cell>
          <cell r="Y27" t="str">
            <v>NIP :19680424 199803 1011</v>
          </cell>
          <cell r="Z27" t="str">
            <v>Moh. Amirudin, S.IP, MM</v>
          </cell>
          <cell r="AA27" t="str">
            <v>Himawan T P, S.Sos</v>
          </cell>
          <cell r="AB27" t="str">
            <v>0000069601590000230</v>
          </cell>
          <cell r="AC27">
            <v>3086</v>
          </cell>
          <cell r="AD27">
            <v>7.6354499999999996</v>
          </cell>
          <cell r="AE27" t="str">
            <v>109,62731</v>
          </cell>
          <cell r="AF27" t="str">
            <v>Surat Keterangan Pejabat</v>
          </cell>
          <cell r="AG27" t="str">
            <v>Listrik &amp; MCK</v>
          </cell>
          <cell r="AH27" t="str">
            <v>GENTENG/USUK/RENG LAPUK</v>
          </cell>
          <cell r="AI27" t="str">
            <v>TANAH</v>
          </cell>
          <cell r="AJ27" t="str">
            <v>PAPAN/ BILIK BAMBU</v>
          </cell>
          <cell r="AK27" t="str">
            <v>GENTENG/USUK/RENG</v>
          </cell>
          <cell r="AL27">
            <v>88</v>
          </cell>
          <cell r="AM27" t="str">
            <v>RABAT BETON</v>
          </cell>
          <cell r="AN27">
            <v>54</v>
          </cell>
          <cell r="AO27" t="str">
            <v>BATA MERAH/ BATAKO</v>
          </cell>
          <cell r="AP27">
            <v>90</v>
          </cell>
          <cell r="AQ27" t="str">
            <v>Pengempon, ____ Oktober 2015</v>
          </cell>
          <cell r="AR27" t="str">
            <v>SLAMET HARYANTO</v>
          </cell>
          <cell r="AS27" t="str">
            <v>GUNUNG TUGEL</v>
          </cell>
          <cell r="AT27" t="str">
            <v>MUNCUL BARU</v>
          </cell>
          <cell r="AU27" t="str">
            <v>Jl. Simpang lima Rt.3/Rw.1 Kec.Pejagoan</v>
          </cell>
          <cell r="AV27" t="str">
            <v>Mohamad Mansur</v>
          </cell>
          <cell r="AW27" t="str">
            <v>BTN KCP KEBUMEN</v>
          </cell>
          <cell r="AX27" t="str">
            <v>'00696</v>
          </cell>
          <cell r="AY27" t="str">
            <v>00696-01-50-000542-4</v>
          </cell>
        </row>
        <row r="28">
          <cell r="A28">
            <v>23</v>
          </cell>
          <cell r="B28" t="str">
            <v>SRI HARYATI</v>
          </cell>
          <cell r="C28" t="str">
            <v>P</v>
          </cell>
          <cell r="D28" t="str">
            <v>3305145206600006</v>
          </cell>
          <cell r="E28" t="str">
            <v>PENGEMPON RT 02/RW 02</v>
          </cell>
          <cell r="F28" t="str">
            <v>PENGEMPON</v>
          </cell>
          <cell r="G28" t="str">
            <v>SRUWENG</v>
          </cell>
          <cell r="H28" t="str">
            <v>KEBUMEN</v>
          </cell>
          <cell r="I28" t="str">
            <v>JAWA TENGAH</v>
          </cell>
          <cell r="J28">
            <v>15000000</v>
          </cell>
          <cell r="K28">
            <v>54</v>
          </cell>
          <cell r="L28" t="str">
            <v>MENGURUS RUMAH TANGGA</v>
          </cell>
          <cell r="M28">
            <v>200000</v>
          </cell>
          <cell r="N28">
            <v>4</v>
          </cell>
          <cell r="O28" t="str">
            <v>Tidak Layak</v>
          </cell>
          <cell r="P28" t="str">
            <v>Tidak Layak</v>
          </cell>
          <cell r="Q28" t="str">
            <v>Tidak Layak</v>
          </cell>
          <cell r="R28">
            <v>54</v>
          </cell>
          <cell r="S28">
            <v>0</v>
          </cell>
          <cell r="T28" t="str">
            <v>YUDO SUDOMO</v>
          </cell>
          <cell r="U28">
            <v>0</v>
          </cell>
          <cell r="V28" t="str">
            <v>(0287) 3872017</v>
          </cell>
          <cell r="W28" t="str">
            <v>SIGIT KARSENO</v>
          </cell>
          <cell r="X28">
            <v>0</v>
          </cell>
          <cell r="Y28" t="str">
            <v>NIP :19680424 199803 1011</v>
          </cell>
          <cell r="Z28" t="str">
            <v>Moh. Amirudin, S.IP, MM</v>
          </cell>
          <cell r="AA28" t="str">
            <v>Himawan T P, S.Sos</v>
          </cell>
          <cell r="AB28" t="str">
            <v>0000069601590008327</v>
          </cell>
          <cell r="AC28">
            <v>3086</v>
          </cell>
          <cell r="AD28">
            <v>7.6361999999999997</v>
          </cell>
          <cell r="AE28" t="str">
            <v>109,62392</v>
          </cell>
          <cell r="AF28" t="str">
            <v>Surat Keterangan Pejabat</v>
          </cell>
          <cell r="AG28" t="str">
            <v>Tidak Ada</v>
          </cell>
          <cell r="AH28" t="str">
            <v>GENTENG/USUK/RENG LAPUK</v>
          </cell>
          <cell r="AI28" t="str">
            <v>TANAH</v>
          </cell>
          <cell r="AJ28" t="str">
            <v>PAPAN/ BILIK BAMBU</v>
          </cell>
          <cell r="AK28" t="str">
            <v>GENTENG/USUK/RENG</v>
          </cell>
          <cell r="AL28">
            <v>88</v>
          </cell>
          <cell r="AM28" t="str">
            <v>RABAT BETON</v>
          </cell>
          <cell r="AN28">
            <v>54</v>
          </cell>
          <cell r="AO28" t="str">
            <v>BATA MERAH/ BATAKO</v>
          </cell>
          <cell r="AP28">
            <v>90</v>
          </cell>
          <cell r="AQ28" t="str">
            <v>Pengempon, ____ Oktober 2015</v>
          </cell>
          <cell r="AR28" t="str">
            <v>SLAMET HARYANTO</v>
          </cell>
          <cell r="AS28" t="str">
            <v>GUNUNG TUGEL</v>
          </cell>
          <cell r="AT28" t="str">
            <v>MUNCUL BARU</v>
          </cell>
          <cell r="AU28" t="str">
            <v>Jl. Simpang lima Rt.3/Rw.1 Kec.Pejagoan</v>
          </cell>
          <cell r="AV28" t="str">
            <v>Mohamad Mansur</v>
          </cell>
          <cell r="AW28" t="str">
            <v>BTN KCP KEBUMEN</v>
          </cell>
          <cell r="AX28" t="str">
            <v>'00696</v>
          </cell>
          <cell r="AY28" t="str">
            <v>00696-01-50-000542-4</v>
          </cell>
        </row>
        <row r="29">
          <cell r="A29">
            <v>24</v>
          </cell>
          <cell r="B29" t="str">
            <v>SLAMET HARYANTO</v>
          </cell>
          <cell r="C29" t="str">
            <v>L</v>
          </cell>
          <cell r="D29" t="str">
            <v>3305142001830006</v>
          </cell>
          <cell r="E29" t="str">
            <v>PENGEMPON RT 02/RW 02</v>
          </cell>
          <cell r="F29" t="str">
            <v>PENGEMPON</v>
          </cell>
          <cell r="G29" t="str">
            <v>SRUWENG</v>
          </cell>
          <cell r="H29" t="str">
            <v>KEBUMEN</v>
          </cell>
          <cell r="I29" t="str">
            <v>JAWA TENGAH</v>
          </cell>
          <cell r="J29">
            <v>15000000</v>
          </cell>
          <cell r="K29">
            <v>31</v>
          </cell>
          <cell r="L29" t="str">
            <v>KARYAWAN SWASTA</v>
          </cell>
          <cell r="M29">
            <v>600000</v>
          </cell>
          <cell r="N29">
            <v>1</v>
          </cell>
          <cell r="O29" t="str">
            <v>Tidak Layak</v>
          </cell>
          <cell r="P29" t="str">
            <v>Tidak Layak</v>
          </cell>
          <cell r="Q29" t="str">
            <v>Tidak Layak</v>
          </cell>
          <cell r="R29">
            <v>36</v>
          </cell>
          <cell r="S29">
            <v>0</v>
          </cell>
          <cell r="T29" t="str">
            <v>YUDO SUDOMO</v>
          </cell>
          <cell r="U29">
            <v>0</v>
          </cell>
          <cell r="V29" t="str">
            <v>(0287) 3872017</v>
          </cell>
          <cell r="W29" t="str">
            <v>SIGIT KARSENO</v>
          </cell>
          <cell r="X29">
            <v>0</v>
          </cell>
          <cell r="Y29" t="str">
            <v>NIP :19680424 199803 1011</v>
          </cell>
          <cell r="Z29" t="str">
            <v>Moh. Amirudin, S.IP, MM</v>
          </cell>
          <cell r="AA29" t="str">
            <v>Himawan T P, S.Sos</v>
          </cell>
          <cell r="AB29" t="str">
            <v>0000069601590008026</v>
          </cell>
          <cell r="AC29">
            <v>3086</v>
          </cell>
          <cell r="AD29">
            <v>7.6369800000000003</v>
          </cell>
          <cell r="AE29" t="str">
            <v>109,62458</v>
          </cell>
          <cell r="AF29" t="str">
            <v>Surat Keterangan Pejabat</v>
          </cell>
          <cell r="AG29" t="str">
            <v>Tidak Ada</v>
          </cell>
          <cell r="AH29" t="str">
            <v>GENTENG/USUK/RENG LAPUK</v>
          </cell>
          <cell r="AI29" t="str">
            <v>TANAH</v>
          </cell>
          <cell r="AJ29" t="str">
            <v>PAPAN/ BILIK BAMBU</v>
          </cell>
          <cell r="AK29" t="str">
            <v>GENTENG/USUK/RENG</v>
          </cell>
          <cell r="AL29">
            <v>88</v>
          </cell>
          <cell r="AM29" t="str">
            <v>RABAT BETON</v>
          </cell>
          <cell r="AN29">
            <v>54</v>
          </cell>
          <cell r="AO29" t="str">
            <v>BATA MERAH/ BATAKO</v>
          </cell>
          <cell r="AP29">
            <v>90</v>
          </cell>
          <cell r="AQ29" t="str">
            <v>Pengempon, ____ Oktober 2015</v>
          </cell>
          <cell r="AR29" t="str">
            <v>SLAMET HARYANTO</v>
          </cell>
          <cell r="AS29" t="str">
            <v>GUNUNG TUGEL</v>
          </cell>
          <cell r="AT29" t="str">
            <v>MUNCUL BARU</v>
          </cell>
          <cell r="AU29" t="str">
            <v>Jl. Simpang lima Rt.3/Rw.1 Kec.Pejagoan</v>
          </cell>
          <cell r="AV29" t="str">
            <v>Mohamad Mansur</v>
          </cell>
          <cell r="AW29" t="str">
            <v>BTN KCP KEBUMEN</v>
          </cell>
          <cell r="AX29" t="str">
            <v>'00696</v>
          </cell>
          <cell r="AY29" t="str">
            <v>00696-01-50-000542-4</v>
          </cell>
        </row>
        <row r="30">
          <cell r="A30">
            <v>25</v>
          </cell>
          <cell r="B30" t="str">
            <v>KARTIMIN</v>
          </cell>
          <cell r="C30" t="str">
            <v>L</v>
          </cell>
          <cell r="D30" t="str">
            <v>3305142612457594</v>
          </cell>
          <cell r="E30" t="str">
            <v>PENGEMPON RT 03/RW 02</v>
          </cell>
          <cell r="F30" t="str">
            <v>PENGEMPON</v>
          </cell>
          <cell r="G30" t="str">
            <v>SRUWENG</v>
          </cell>
          <cell r="H30" t="str">
            <v>KEBUMEN</v>
          </cell>
          <cell r="I30" t="str">
            <v>JAWA TENGAH</v>
          </cell>
          <cell r="J30">
            <v>15000000</v>
          </cell>
          <cell r="K30">
            <v>69</v>
          </cell>
          <cell r="L30" t="str">
            <v>PEDAGANG</v>
          </cell>
          <cell r="M30">
            <v>600000</v>
          </cell>
          <cell r="N30">
            <v>1</v>
          </cell>
          <cell r="O30" t="str">
            <v>Tidak Layak</v>
          </cell>
          <cell r="P30" t="str">
            <v>Tidak Layak</v>
          </cell>
          <cell r="Q30" t="str">
            <v>Tidak Layak</v>
          </cell>
          <cell r="R30">
            <v>54</v>
          </cell>
          <cell r="S30">
            <v>0</v>
          </cell>
          <cell r="T30" t="str">
            <v>YUDO SUDOMO</v>
          </cell>
          <cell r="U30">
            <v>0</v>
          </cell>
          <cell r="V30" t="str">
            <v>(0287) 3872017</v>
          </cell>
          <cell r="W30" t="str">
            <v>SIGIT KARSENO</v>
          </cell>
          <cell r="X30">
            <v>0</v>
          </cell>
          <cell r="Y30" t="str">
            <v>NIP :19680424 199803 1011</v>
          </cell>
          <cell r="Z30" t="str">
            <v>Moh. Amirudin, S.IP, MM</v>
          </cell>
          <cell r="AA30" t="str">
            <v>Himawan T P, S.Sos</v>
          </cell>
          <cell r="AB30" t="str">
            <v>0000069601590001888</v>
          </cell>
          <cell r="AC30">
            <v>3086</v>
          </cell>
          <cell r="AD30">
            <v>7.6341900000000003</v>
          </cell>
          <cell r="AE30" t="str">
            <v>109,62455</v>
          </cell>
          <cell r="AF30" t="str">
            <v>Surat Keterangan Pejabat</v>
          </cell>
          <cell r="AG30" t="str">
            <v>Tidak Ada</v>
          </cell>
          <cell r="AH30" t="str">
            <v>GENTENG/USUK/RENG LAPUK</v>
          </cell>
          <cell r="AI30" t="str">
            <v>TANAH</v>
          </cell>
          <cell r="AJ30" t="str">
            <v>PAPAN/ BILIK BAMBU</v>
          </cell>
          <cell r="AK30" t="str">
            <v>GENTENG/USUK/RENG</v>
          </cell>
          <cell r="AL30">
            <v>88</v>
          </cell>
          <cell r="AM30" t="str">
            <v>RABAT BETON</v>
          </cell>
          <cell r="AN30">
            <v>54</v>
          </cell>
          <cell r="AO30" t="str">
            <v>BATA MERAH/ BATAKO</v>
          </cell>
          <cell r="AP30">
            <v>90</v>
          </cell>
          <cell r="AQ30" t="str">
            <v>Pengempon, ____ Oktober 2015</v>
          </cell>
          <cell r="AR30" t="str">
            <v>SUTARMAN</v>
          </cell>
          <cell r="AS30" t="str">
            <v>KUANG</v>
          </cell>
          <cell r="AT30" t="str">
            <v>MUNCUL BARU</v>
          </cell>
          <cell r="AU30" t="str">
            <v>Jl. Simpang lima Rt.3/Rw.1 Kec.Pejagoan</v>
          </cell>
          <cell r="AV30" t="str">
            <v>Mohamad Mansur</v>
          </cell>
          <cell r="AW30" t="str">
            <v>BTN KCP KEBUMEN</v>
          </cell>
          <cell r="AX30" t="str">
            <v>'00696</v>
          </cell>
          <cell r="AY30" t="str">
            <v>00696-01-50-000542-4</v>
          </cell>
        </row>
        <row r="31">
          <cell r="A31">
            <v>26</v>
          </cell>
          <cell r="B31" t="str">
            <v>SUKAMTO</v>
          </cell>
          <cell r="C31" t="str">
            <v>L</v>
          </cell>
          <cell r="D31" t="str">
            <v>3305141707720002</v>
          </cell>
          <cell r="E31" t="str">
            <v>PENGEMPON RT 03/RW 02</v>
          </cell>
          <cell r="F31" t="str">
            <v>PENGEMPON</v>
          </cell>
          <cell r="G31" t="str">
            <v>SRUWENG</v>
          </cell>
          <cell r="H31" t="str">
            <v>KEBUMEN</v>
          </cell>
          <cell r="I31" t="str">
            <v>JAWA TENGAH</v>
          </cell>
          <cell r="J31">
            <v>15000000</v>
          </cell>
          <cell r="K31">
            <v>42</v>
          </cell>
          <cell r="L31" t="str">
            <v>BURUH HARIAN LEPAS</v>
          </cell>
          <cell r="M31">
            <v>700000</v>
          </cell>
          <cell r="N31">
            <v>4</v>
          </cell>
          <cell r="O31" t="str">
            <v>Tidak Layak</v>
          </cell>
          <cell r="P31" t="str">
            <v>Tidak Layak</v>
          </cell>
          <cell r="Q31" t="str">
            <v>Tidak Layak</v>
          </cell>
          <cell r="R31">
            <v>54</v>
          </cell>
          <cell r="S31">
            <v>0</v>
          </cell>
          <cell r="T31" t="str">
            <v>YUDO SUDOMO</v>
          </cell>
          <cell r="U31">
            <v>0</v>
          </cell>
          <cell r="V31" t="str">
            <v>(0287) 3872017</v>
          </cell>
          <cell r="W31" t="str">
            <v>SIGIT KARSENO</v>
          </cell>
          <cell r="X31">
            <v>0</v>
          </cell>
          <cell r="Y31" t="str">
            <v>NIP :19680424 199803 1011</v>
          </cell>
          <cell r="Z31" t="str">
            <v>Moh. Amirudin, S.IP, MM</v>
          </cell>
          <cell r="AA31" t="str">
            <v>Himawan T P, S.Sos</v>
          </cell>
          <cell r="AB31" t="e">
            <v>#N/A</v>
          </cell>
          <cell r="AC31">
            <v>3086</v>
          </cell>
          <cell r="AD31">
            <v>7.6369999999999996</v>
          </cell>
          <cell r="AE31" t="str">
            <v>109,62129</v>
          </cell>
          <cell r="AF31" t="str">
            <v>Surat Keterangan Pejabat</v>
          </cell>
          <cell r="AG31" t="str">
            <v>Listrik</v>
          </cell>
          <cell r="AH31">
            <v>0</v>
          </cell>
          <cell r="AI31">
            <v>0</v>
          </cell>
          <cell r="AJ31">
            <v>0</v>
          </cell>
          <cell r="AQ31">
            <v>0</v>
          </cell>
          <cell r="AR31">
            <v>0</v>
          </cell>
          <cell r="AS31">
            <v>0</v>
          </cell>
          <cell r="AT31">
            <v>0</v>
          </cell>
          <cell r="AU31">
            <v>0</v>
          </cell>
          <cell r="AV31">
            <v>0</v>
          </cell>
          <cell r="AY31">
            <v>0</v>
          </cell>
        </row>
        <row r="32">
          <cell r="A32">
            <v>27</v>
          </cell>
          <cell r="B32" t="str">
            <v>AMIYAH</v>
          </cell>
          <cell r="C32" t="str">
            <v>P</v>
          </cell>
          <cell r="D32" t="str">
            <v>3305147112600003</v>
          </cell>
          <cell r="E32" t="str">
            <v>PENGEMPON RT 03/RW 02</v>
          </cell>
          <cell r="F32" t="str">
            <v>PENGEMPON</v>
          </cell>
          <cell r="G32" t="str">
            <v>SRUWENG</v>
          </cell>
          <cell r="H32" t="str">
            <v>KEBUMEN</v>
          </cell>
          <cell r="I32" t="str">
            <v>JAWA TENGAH</v>
          </cell>
          <cell r="J32">
            <v>15000000</v>
          </cell>
          <cell r="K32">
            <v>54</v>
          </cell>
          <cell r="L32" t="str">
            <v>MENGURUS RUMAH TANGGA</v>
          </cell>
          <cell r="M32">
            <v>250000</v>
          </cell>
          <cell r="N32">
            <v>3</v>
          </cell>
          <cell r="O32" t="str">
            <v>Tidak Layak</v>
          </cell>
          <cell r="P32" t="str">
            <v>Tidak Layak</v>
          </cell>
          <cell r="Q32" t="str">
            <v>Tidak Layak</v>
          </cell>
          <cell r="R32">
            <v>54</v>
          </cell>
          <cell r="S32">
            <v>0</v>
          </cell>
          <cell r="T32" t="str">
            <v>YUDO SUDOMO</v>
          </cell>
          <cell r="U32">
            <v>0</v>
          </cell>
          <cell r="V32" t="str">
            <v>(0287) 3872017</v>
          </cell>
          <cell r="W32" t="str">
            <v>SIGIT KARSENO</v>
          </cell>
          <cell r="X32">
            <v>0</v>
          </cell>
          <cell r="Y32" t="str">
            <v>NIP :19680424 199803 1011</v>
          </cell>
          <cell r="Z32" t="str">
            <v>Moh. Amirudin, S.IP, MM</v>
          </cell>
          <cell r="AA32" t="str">
            <v>Himawan T P, S.Sos</v>
          </cell>
          <cell r="AB32" t="e">
            <v>#N/A</v>
          </cell>
          <cell r="AC32">
            <v>3086</v>
          </cell>
          <cell r="AD32">
            <v>7.6366500000000004</v>
          </cell>
          <cell r="AE32" t="str">
            <v>109,62267</v>
          </cell>
          <cell r="AF32" t="str">
            <v>Surat Keterangan Pejabat</v>
          </cell>
          <cell r="AG32" t="str">
            <v>Tidak Ada</v>
          </cell>
          <cell r="AH32">
            <v>0</v>
          </cell>
          <cell r="AI32">
            <v>0</v>
          </cell>
          <cell r="AJ32">
            <v>0</v>
          </cell>
          <cell r="AQ32">
            <v>0</v>
          </cell>
          <cell r="AR32">
            <v>0</v>
          </cell>
          <cell r="AS32">
            <v>0</v>
          </cell>
          <cell r="AT32">
            <v>0</v>
          </cell>
          <cell r="AU32">
            <v>0</v>
          </cell>
          <cell r="AV32">
            <v>0</v>
          </cell>
          <cell r="AY32">
            <v>0</v>
          </cell>
        </row>
        <row r="33">
          <cell r="A33">
            <v>28</v>
          </cell>
          <cell r="B33" t="str">
            <v>SARIJAN</v>
          </cell>
          <cell r="C33" t="str">
            <v>L</v>
          </cell>
          <cell r="D33" t="str">
            <v>3305141009730004</v>
          </cell>
          <cell r="E33" t="str">
            <v>PENGEMPON RT 04/RW 02</v>
          </cell>
          <cell r="F33" t="str">
            <v>PENGEMPON</v>
          </cell>
          <cell r="G33" t="str">
            <v>SRUWENG</v>
          </cell>
          <cell r="H33" t="str">
            <v>KEBUMEN</v>
          </cell>
          <cell r="I33" t="str">
            <v>JAWA TENGAH</v>
          </cell>
          <cell r="J33">
            <v>15000000</v>
          </cell>
          <cell r="K33">
            <v>41</v>
          </cell>
          <cell r="L33" t="str">
            <v>BURUH HARIAN LEPAS</v>
          </cell>
          <cell r="M33">
            <v>500000</v>
          </cell>
          <cell r="N33">
            <v>3</v>
          </cell>
          <cell r="O33" t="str">
            <v>Tidak Layak</v>
          </cell>
          <cell r="P33" t="str">
            <v>Tidak Layak</v>
          </cell>
          <cell r="Q33" t="str">
            <v>Tidak Layak</v>
          </cell>
          <cell r="R33">
            <v>81</v>
          </cell>
          <cell r="S33">
            <v>0</v>
          </cell>
          <cell r="T33" t="str">
            <v>YUDO SUDOMO</v>
          </cell>
          <cell r="U33">
            <v>0</v>
          </cell>
          <cell r="V33" t="str">
            <v>(0287) 3872017</v>
          </cell>
          <cell r="W33" t="str">
            <v>SIGIT KARSENO</v>
          </cell>
          <cell r="X33">
            <v>0</v>
          </cell>
          <cell r="Y33" t="str">
            <v>NIP :19680424 199803 1011</v>
          </cell>
          <cell r="Z33" t="str">
            <v>Moh. Amirudin, S.IP, MM</v>
          </cell>
          <cell r="AA33" t="str">
            <v>Himawan T P, S.Sos</v>
          </cell>
          <cell r="AB33" t="str">
            <v>0000069601590007151</v>
          </cell>
          <cell r="AC33">
            <v>3086</v>
          </cell>
          <cell r="AD33">
            <v>7.63469</v>
          </cell>
          <cell r="AE33" t="str">
            <v>109,62574</v>
          </cell>
          <cell r="AF33" t="str">
            <v>Surat Keterangan Pejabat</v>
          </cell>
          <cell r="AG33" t="str">
            <v>Listrik</v>
          </cell>
          <cell r="AH33" t="str">
            <v>GENTENG/USUK/RENG LAPUK</v>
          </cell>
          <cell r="AI33" t="str">
            <v>TANAH</v>
          </cell>
          <cell r="AJ33" t="str">
            <v>PAPAN/ BILIK BAMBU</v>
          </cell>
          <cell r="AK33" t="str">
            <v>GENTENG/USUK/RENG</v>
          </cell>
          <cell r="AL33">
            <v>88</v>
          </cell>
          <cell r="AM33" t="str">
            <v>RABAT BETON</v>
          </cell>
          <cell r="AN33">
            <v>54</v>
          </cell>
          <cell r="AO33" t="str">
            <v>BATA MERAH/ BATAKO</v>
          </cell>
          <cell r="AP33">
            <v>90</v>
          </cell>
          <cell r="AQ33" t="str">
            <v>Pengempon, ____ Oktober 2015</v>
          </cell>
          <cell r="AR33" t="str">
            <v>SUTARMAN</v>
          </cell>
          <cell r="AS33" t="str">
            <v>KUANG</v>
          </cell>
          <cell r="AT33" t="str">
            <v>MUNCUL BARU</v>
          </cell>
          <cell r="AU33" t="str">
            <v>Jl. Simpang lima Rt.3/Rw.1 Kec.Pejagoan</v>
          </cell>
          <cell r="AV33" t="str">
            <v>Mohamad Mansur</v>
          </cell>
          <cell r="AW33" t="str">
            <v>BTN KCP KEBUMEN</v>
          </cell>
          <cell r="AX33" t="str">
            <v>'00696</v>
          </cell>
          <cell r="AY33" t="str">
            <v>00696-01-50-000542-4</v>
          </cell>
        </row>
        <row r="34">
          <cell r="A34">
            <v>29</v>
          </cell>
          <cell r="B34" t="str">
            <v>SUTARMAN</v>
          </cell>
          <cell r="C34" t="str">
            <v>L</v>
          </cell>
          <cell r="D34" t="str">
            <v>3305140608720001</v>
          </cell>
          <cell r="E34" t="str">
            <v>PENGEMPON RT 04/RW 02</v>
          </cell>
          <cell r="F34" t="str">
            <v>PENGEMPON</v>
          </cell>
          <cell r="G34" t="str">
            <v>SRUWENG</v>
          </cell>
          <cell r="H34" t="str">
            <v>KEBUMEN</v>
          </cell>
          <cell r="I34" t="str">
            <v>JAWA TENGAH</v>
          </cell>
          <cell r="J34">
            <v>15000000</v>
          </cell>
          <cell r="K34">
            <v>42</v>
          </cell>
          <cell r="L34" t="str">
            <v>WIRASWASTA</v>
          </cell>
          <cell r="M34">
            <v>900000</v>
          </cell>
          <cell r="N34">
            <v>3</v>
          </cell>
          <cell r="O34" t="str">
            <v>Tidak Layak</v>
          </cell>
          <cell r="P34" t="str">
            <v>Tidak Layak</v>
          </cell>
          <cell r="Q34" t="str">
            <v>Tidak Layak</v>
          </cell>
          <cell r="R34">
            <v>54</v>
          </cell>
          <cell r="S34">
            <v>0</v>
          </cell>
          <cell r="T34" t="str">
            <v>YUDO SUDOMO</v>
          </cell>
          <cell r="U34">
            <v>0</v>
          </cell>
          <cell r="V34" t="str">
            <v>(0287) 3872017</v>
          </cell>
          <cell r="W34" t="str">
            <v>SIGIT KARSENO</v>
          </cell>
          <cell r="X34">
            <v>0</v>
          </cell>
          <cell r="Y34" t="str">
            <v>NIP :19680424 199803 1011</v>
          </cell>
          <cell r="Z34" t="str">
            <v>Moh. Amirudin, S.IP, MM</v>
          </cell>
          <cell r="AA34" t="str">
            <v>Himawan T P, S.Sos</v>
          </cell>
          <cell r="AB34" t="str">
            <v>0000069601590009315</v>
          </cell>
          <cell r="AC34">
            <v>3086</v>
          </cell>
          <cell r="AD34">
            <v>7.6303799999999997</v>
          </cell>
          <cell r="AE34" t="str">
            <v>109,62782</v>
          </cell>
          <cell r="AF34" t="str">
            <v>Surat Keterangan Pejabat</v>
          </cell>
          <cell r="AG34" t="str">
            <v>Tidak Ada</v>
          </cell>
          <cell r="AH34" t="str">
            <v>GENTENG/USUK/RENG LAPUK</v>
          </cell>
          <cell r="AI34" t="str">
            <v>TANAH</v>
          </cell>
          <cell r="AJ34" t="str">
            <v>PAPAN/ BILIK BAMBU</v>
          </cell>
          <cell r="AK34" t="str">
            <v>GENTENG/USUK/RENG</v>
          </cell>
          <cell r="AL34">
            <v>88</v>
          </cell>
          <cell r="AM34" t="str">
            <v>RABAT BETON</v>
          </cell>
          <cell r="AN34">
            <v>54</v>
          </cell>
          <cell r="AO34" t="str">
            <v>BATA MERAH/ BATAKO</v>
          </cell>
          <cell r="AP34">
            <v>90</v>
          </cell>
          <cell r="AQ34" t="str">
            <v>Pengempon, ____ Oktober 2015</v>
          </cell>
          <cell r="AR34" t="str">
            <v>SUTARMAN</v>
          </cell>
          <cell r="AS34" t="str">
            <v>KUANG</v>
          </cell>
          <cell r="AT34" t="str">
            <v>MUNCUL BARU</v>
          </cell>
          <cell r="AU34" t="str">
            <v>Jl. Simpang lima Rt.3/Rw.1 Kec.Pejagoan</v>
          </cell>
          <cell r="AV34" t="str">
            <v>Mohamad Mansur</v>
          </cell>
          <cell r="AW34" t="str">
            <v>BTN KCP KEBUMEN</v>
          </cell>
          <cell r="AX34" t="str">
            <v>'00696</v>
          </cell>
          <cell r="AY34" t="str">
            <v>00696-01-50-000542-4</v>
          </cell>
        </row>
        <row r="35">
          <cell r="A35">
            <v>30</v>
          </cell>
          <cell r="B35" t="str">
            <v>MUKHRODI</v>
          </cell>
          <cell r="C35" t="str">
            <v>L</v>
          </cell>
          <cell r="D35" t="str">
            <v>3305142605420001</v>
          </cell>
          <cell r="E35" t="str">
            <v>PENGEMPON RT 04/RW 02</v>
          </cell>
          <cell r="F35" t="str">
            <v>PENGEMPON</v>
          </cell>
          <cell r="G35" t="str">
            <v>SRUWENG</v>
          </cell>
          <cell r="H35" t="str">
            <v>KEBUMEN</v>
          </cell>
          <cell r="I35" t="str">
            <v>JAWA TENGAH</v>
          </cell>
          <cell r="J35">
            <v>15000000</v>
          </cell>
          <cell r="K35">
            <v>72</v>
          </cell>
          <cell r="L35" t="str">
            <v>PETANI/PEKEBUN</v>
          </cell>
          <cell r="M35">
            <v>300000</v>
          </cell>
          <cell r="N35">
            <v>1</v>
          </cell>
          <cell r="O35" t="str">
            <v>Tidak Layak</v>
          </cell>
          <cell r="P35" t="str">
            <v>Tidak Layak</v>
          </cell>
          <cell r="Q35" t="str">
            <v>Tidak Layak</v>
          </cell>
          <cell r="R35">
            <v>36</v>
          </cell>
          <cell r="S35">
            <v>0</v>
          </cell>
          <cell r="T35" t="str">
            <v>YUDO SUDOMO</v>
          </cell>
          <cell r="U35">
            <v>0</v>
          </cell>
          <cell r="V35" t="str">
            <v>(0287) 3872017</v>
          </cell>
          <cell r="W35" t="str">
            <v>SIGIT KARSENO</v>
          </cell>
          <cell r="X35">
            <v>0</v>
          </cell>
          <cell r="Y35" t="str">
            <v>NIP :19680424 199803 1011</v>
          </cell>
          <cell r="Z35" t="str">
            <v>Moh. Amirudin, S.IP, MM</v>
          </cell>
          <cell r="AA35" t="str">
            <v>Himawan T P, S.Sos</v>
          </cell>
          <cell r="AB35" t="str">
            <v>0000069601590004006</v>
          </cell>
          <cell r="AC35">
            <v>3086</v>
          </cell>
          <cell r="AD35">
            <v>7.6331899999999999</v>
          </cell>
          <cell r="AE35" t="str">
            <v>109,62677</v>
          </cell>
          <cell r="AF35" t="str">
            <v>Surat Keterangan Pejabat</v>
          </cell>
          <cell r="AG35" t="str">
            <v>Tidak Ada</v>
          </cell>
          <cell r="AH35" t="str">
            <v>GENTENG/USUK/RENG LAPUK</v>
          </cell>
          <cell r="AI35" t="str">
            <v>TANAH</v>
          </cell>
          <cell r="AJ35" t="str">
            <v>PAPAN/ BILIK BAMBU</v>
          </cell>
          <cell r="AK35" t="str">
            <v>GENTENG/USUK/RENG</v>
          </cell>
          <cell r="AL35">
            <v>88</v>
          </cell>
          <cell r="AM35" t="str">
            <v>RABAT BETON</v>
          </cell>
          <cell r="AN35">
            <v>54</v>
          </cell>
          <cell r="AO35" t="str">
            <v>BATA MERAH/ BATAKO</v>
          </cell>
          <cell r="AP35">
            <v>90</v>
          </cell>
          <cell r="AQ35" t="str">
            <v>Pengempon, ____ Oktober 2015</v>
          </cell>
          <cell r="AR35" t="str">
            <v>SUTARMAN</v>
          </cell>
          <cell r="AS35" t="str">
            <v>KUANG</v>
          </cell>
          <cell r="AT35" t="str">
            <v>MUNCUL BARU</v>
          </cell>
          <cell r="AU35" t="str">
            <v>Jl. Simpang lima Rt.3/Rw.1 Kec.Pejagoan</v>
          </cell>
          <cell r="AV35" t="str">
            <v>Mohamad Mansur</v>
          </cell>
          <cell r="AW35" t="str">
            <v>BTN KCP KEBUMEN</v>
          </cell>
          <cell r="AX35" t="str">
            <v>'00696</v>
          </cell>
          <cell r="AY35" t="str">
            <v>00696-01-50-000542-4</v>
          </cell>
        </row>
        <row r="36">
          <cell r="A36">
            <v>31</v>
          </cell>
          <cell r="B36" t="str">
            <v>SUMARDI</v>
          </cell>
          <cell r="C36" t="str">
            <v>L</v>
          </cell>
          <cell r="D36" t="str">
            <v>3305141305650003</v>
          </cell>
          <cell r="E36" t="str">
            <v>PENGEMPON RT 04/RW 02</v>
          </cell>
          <cell r="F36" t="str">
            <v>PENGEMPON</v>
          </cell>
          <cell r="G36" t="str">
            <v>SRUWENG</v>
          </cell>
          <cell r="H36" t="str">
            <v>KEBUMEN</v>
          </cell>
          <cell r="I36" t="str">
            <v>JAWA TENGAH</v>
          </cell>
          <cell r="J36">
            <v>15000000</v>
          </cell>
          <cell r="K36">
            <v>49</v>
          </cell>
          <cell r="L36" t="str">
            <v>BURUH HARIAN LEPAS</v>
          </cell>
          <cell r="M36">
            <v>400000</v>
          </cell>
          <cell r="N36">
            <v>5</v>
          </cell>
          <cell r="O36" t="str">
            <v>Tidak Layak</v>
          </cell>
          <cell r="P36" t="str">
            <v>Tidak Layak</v>
          </cell>
          <cell r="Q36" t="str">
            <v>Tidak Layak</v>
          </cell>
          <cell r="R36">
            <v>90</v>
          </cell>
          <cell r="S36">
            <v>0</v>
          </cell>
          <cell r="T36" t="str">
            <v>YUDO SUDOMO</v>
          </cell>
          <cell r="U36">
            <v>0</v>
          </cell>
          <cell r="V36" t="str">
            <v>(0287) 3872017</v>
          </cell>
          <cell r="W36" t="str">
            <v>SIGIT KARSENO</v>
          </cell>
          <cell r="X36">
            <v>0</v>
          </cell>
          <cell r="Y36" t="str">
            <v>NIP :19680424 199803 1011</v>
          </cell>
          <cell r="Z36" t="str">
            <v>Moh. Amirudin, S.IP, MM</v>
          </cell>
          <cell r="AA36" t="str">
            <v>Himawan T P, S.Sos</v>
          </cell>
          <cell r="AB36" t="str">
            <v>0000069601590008694</v>
          </cell>
          <cell r="AC36">
            <v>3086</v>
          </cell>
          <cell r="AD36">
            <v>7.6311200000000001</v>
          </cell>
          <cell r="AE36" t="str">
            <v>109,62711</v>
          </cell>
          <cell r="AF36" t="str">
            <v>Surat Keterangan Pejabat</v>
          </cell>
          <cell r="AG36" t="str">
            <v>Listrik</v>
          </cell>
          <cell r="AH36" t="str">
            <v>GENTENG/USUK/RENG LAPUK</v>
          </cell>
          <cell r="AI36" t="str">
            <v>TANAH</v>
          </cell>
          <cell r="AJ36" t="str">
            <v>PAPAN/ BILIK BAMBU</v>
          </cell>
          <cell r="AK36" t="str">
            <v>GENTENG/USUK/RENG</v>
          </cell>
          <cell r="AL36">
            <v>88</v>
          </cell>
          <cell r="AM36" t="str">
            <v>RABAT BETON</v>
          </cell>
          <cell r="AN36">
            <v>54</v>
          </cell>
          <cell r="AO36" t="str">
            <v>BATA MERAH/ BATAKO</v>
          </cell>
          <cell r="AP36">
            <v>90</v>
          </cell>
          <cell r="AQ36" t="str">
            <v>Pengempon, ____ Oktober 2015</v>
          </cell>
          <cell r="AR36" t="str">
            <v>SUTARMAN</v>
          </cell>
          <cell r="AS36" t="str">
            <v>KUANG</v>
          </cell>
          <cell r="AT36" t="str">
            <v>MUNCUL BARU</v>
          </cell>
          <cell r="AU36" t="str">
            <v>Jl. Simpang lima Rt.3/Rw.1 Kec.Pejagoan</v>
          </cell>
          <cell r="AV36" t="str">
            <v>Mohamad Mansur</v>
          </cell>
          <cell r="AW36" t="str">
            <v>BTN KCP KEBUMEN</v>
          </cell>
          <cell r="AX36" t="str">
            <v>'00696</v>
          </cell>
          <cell r="AY36" t="str">
            <v>00696-01-50-000542-4</v>
          </cell>
        </row>
        <row r="37">
          <cell r="A37">
            <v>32</v>
          </cell>
          <cell r="B37" t="str">
            <v>RATIMAH</v>
          </cell>
          <cell r="C37" t="str">
            <v>P</v>
          </cell>
          <cell r="D37" t="str">
            <v>3305147112410013</v>
          </cell>
          <cell r="E37" t="str">
            <v>PENGEMPON RT 04/RW 02</v>
          </cell>
          <cell r="F37" t="str">
            <v>PENGEMPON</v>
          </cell>
          <cell r="G37" t="str">
            <v>SRUWENG</v>
          </cell>
          <cell r="H37" t="str">
            <v>KEBUMEN</v>
          </cell>
          <cell r="I37" t="str">
            <v>JAWA TENGAH</v>
          </cell>
          <cell r="J37">
            <v>15000000</v>
          </cell>
          <cell r="K37">
            <v>73</v>
          </cell>
          <cell r="L37" t="str">
            <v>TIDAK BEKERJA</v>
          </cell>
          <cell r="M37">
            <v>150000</v>
          </cell>
          <cell r="N37">
            <v>0</v>
          </cell>
          <cell r="O37" t="str">
            <v>Tidak Layak</v>
          </cell>
          <cell r="P37" t="str">
            <v>Tidak Layak</v>
          </cell>
          <cell r="Q37" t="str">
            <v>Tidak Layak</v>
          </cell>
          <cell r="R37">
            <v>54</v>
          </cell>
          <cell r="S37">
            <v>0</v>
          </cell>
          <cell r="T37" t="str">
            <v>YUDO SUDOMO</v>
          </cell>
          <cell r="U37">
            <v>0</v>
          </cell>
          <cell r="V37" t="str">
            <v>(0287) 3872017</v>
          </cell>
          <cell r="W37" t="str">
            <v>SIGIT KARSENO</v>
          </cell>
          <cell r="X37">
            <v>0</v>
          </cell>
          <cell r="Y37" t="str">
            <v>NIP :19680424 199803 1011</v>
          </cell>
          <cell r="Z37" t="str">
            <v>Moh. Amirudin, S.IP, MM</v>
          </cell>
          <cell r="AA37" t="str">
            <v>Himawan T P, S.Sos</v>
          </cell>
          <cell r="AB37" t="str">
            <v>0000069601590005531</v>
          </cell>
          <cell r="AC37">
            <v>3086</v>
          </cell>
          <cell r="AD37">
            <v>7.6314700000000002</v>
          </cell>
          <cell r="AE37" t="str">
            <v>109,62751</v>
          </cell>
          <cell r="AF37" t="str">
            <v>Surat Keterangan Pejabat</v>
          </cell>
          <cell r="AG37" t="str">
            <v>Tidak Ada</v>
          </cell>
          <cell r="AH37" t="str">
            <v>GENTENG/USUK/RENG LAPUK</v>
          </cell>
          <cell r="AI37" t="str">
            <v>TANAH</v>
          </cell>
          <cell r="AJ37" t="str">
            <v>PAPAN/ BILIK BAMBU</v>
          </cell>
          <cell r="AK37" t="str">
            <v>GENTENG/USUK/RENG</v>
          </cell>
          <cell r="AL37">
            <v>88</v>
          </cell>
          <cell r="AM37" t="str">
            <v>RABAT BETON</v>
          </cell>
          <cell r="AN37">
            <v>54</v>
          </cell>
          <cell r="AO37" t="str">
            <v>BATA MERAH/ BATAKO</v>
          </cell>
          <cell r="AP37">
            <v>90</v>
          </cell>
          <cell r="AQ37" t="str">
            <v>Pengempon, ____ Oktober 2015</v>
          </cell>
          <cell r="AR37" t="str">
            <v>SUTARMAN</v>
          </cell>
          <cell r="AS37" t="str">
            <v>KUANG</v>
          </cell>
          <cell r="AT37" t="str">
            <v>MUNCUL BARU</v>
          </cell>
          <cell r="AU37" t="str">
            <v>Jl. Simpang lima Rt.3/Rw.1 Kec.Pejagoan</v>
          </cell>
          <cell r="AV37" t="str">
            <v>Mohamad Mansur</v>
          </cell>
          <cell r="AW37" t="str">
            <v>BTN KCP KEBUMEN</v>
          </cell>
          <cell r="AX37" t="str">
            <v>'00696</v>
          </cell>
          <cell r="AY37" t="str">
            <v>00696-01-50-000542-4</v>
          </cell>
        </row>
        <row r="38">
          <cell r="A38">
            <v>33</v>
          </cell>
          <cell r="B38" t="str">
            <v>SATINEM</v>
          </cell>
          <cell r="C38" t="str">
            <v>P</v>
          </cell>
          <cell r="D38" t="str">
            <v>3305145308270001</v>
          </cell>
          <cell r="E38" t="str">
            <v>PENGEMPON RT 04/RW 02</v>
          </cell>
          <cell r="F38" t="str">
            <v>PENGEMPON</v>
          </cell>
          <cell r="G38" t="str">
            <v>SRUWENG</v>
          </cell>
          <cell r="H38" t="str">
            <v>KEBUMEN</v>
          </cell>
          <cell r="I38" t="str">
            <v>JAWA TENGAH</v>
          </cell>
          <cell r="J38">
            <v>15000000</v>
          </cell>
          <cell r="K38">
            <v>87</v>
          </cell>
          <cell r="L38" t="str">
            <v>PETANI/PEKEBUN</v>
          </cell>
          <cell r="M38">
            <v>200000</v>
          </cell>
          <cell r="N38">
            <v>0</v>
          </cell>
          <cell r="O38" t="str">
            <v>Tidak Layak</v>
          </cell>
          <cell r="P38" t="str">
            <v>Tidak Layak</v>
          </cell>
          <cell r="Q38" t="str">
            <v>Tidak Layak</v>
          </cell>
          <cell r="R38">
            <v>54</v>
          </cell>
          <cell r="S38">
            <v>0</v>
          </cell>
          <cell r="T38" t="str">
            <v>YUDO SUDOMO</v>
          </cell>
          <cell r="U38">
            <v>0</v>
          </cell>
          <cell r="V38" t="str">
            <v>(0287) 3872017</v>
          </cell>
          <cell r="W38" t="str">
            <v>SIGIT KARSENO</v>
          </cell>
          <cell r="X38">
            <v>0</v>
          </cell>
          <cell r="Y38" t="str">
            <v>NIP :19680424 199803 1011</v>
          </cell>
          <cell r="Z38" t="str">
            <v>Moh. Amirudin, S.IP, MM</v>
          </cell>
          <cell r="AA38" t="str">
            <v>Himawan T P, S.Sos</v>
          </cell>
          <cell r="AB38" t="str">
            <v>0000069601590007509</v>
          </cell>
          <cell r="AC38">
            <v>3086</v>
          </cell>
          <cell r="AD38">
            <v>7.6318900000000003</v>
          </cell>
          <cell r="AE38" t="str">
            <v>109,62544</v>
          </cell>
          <cell r="AF38" t="str">
            <v>Surat Keterangan Pejabat</v>
          </cell>
          <cell r="AG38" t="str">
            <v>Tidak Ada</v>
          </cell>
          <cell r="AH38" t="str">
            <v>GENTENG/USUK/RENG LAPUK</v>
          </cell>
          <cell r="AI38" t="str">
            <v>TANAH</v>
          </cell>
          <cell r="AJ38" t="str">
            <v>PAPAN/ BILIK BAMBU</v>
          </cell>
          <cell r="AK38" t="str">
            <v>GENTENG/USUK/RENG</v>
          </cell>
          <cell r="AL38">
            <v>88</v>
          </cell>
          <cell r="AM38" t="str">
            <v>RABAT BETON</v>
          </cell>
          <cell r="AN38">
            <v>54</v>
          </cell>
          <cell r="AO38" t="str">
            <v>BATA MERAH/ BATAKO</v>
          </cell>
          <cell r="AP38">
            <v>90</v>
          </cell>
          <cell r="AQ38" t="str">
            <v>Pengempon, ____ Oktober 2015</v>
          </cell>
          <cell r="AR38" t="str">
            <v>SUTARMAN</v>
          </cell>
          <cell r="AS38" t="str">
            <v>KUANG</v>
          </cell>
          <cell r="AT38" t="str">
            <v>MUNCUL BARU</v>
          </cell>
          <cell r="AU38" t="str">
            <v>Jl. Simpang lima Rt.3/Rw.1 Kec.Pejagoan</v>
          </cell>
          <cell r="AV38" t="str">
            <v>Mohamad Mansur</v>
          </cell>
          <cell r="AW38" t="str">
            <v>BTN KCP KEBUMEN</v>
          </cell>
          <cell r="AX38" t="str">
            <v>'00696</v>
          </cell>
          <cell r="AY38" t="str">
            <v>00696-01-50-000542-4</v>
          </cell>
        </row>
        <row r="39">
          <cell r="A39">
            <v>34</v>
          </cell>
          <cell r="B39" t="str">
            <v xml:space="preserve">AHMAD WARISIN </v>
          </cell>
          <cell r="C39" t="str">
            <v>L</v>
          </cell>
          <cell r="D39" t="str">
            <v>3305140607540001</v>
          </cell>
          <cell r="E39" t="str">
            <v>PENGEMPON RT 04/RW 02</v>
          </cell>
          <cell r="F39" t="str">
            <v>PENGEMPON</v>
          </cell>
          <cell r="G39" t="str">
            <v>SRUWENG</v>
          </cell>
          <cell r="H39" t="str">
            <v>KEBUMEN</v>
          </cell>
          <cell r="I39" t="str">
            <v>JAWA TENGAH</v>
          </cell>
          <cell r="J39">
            <v>15000000</v>
          </cell>
          <cell r="K39">
            <v>60</v>
          </cell>
          <cell r="L39" t="str">
            <v>BURUH HARIAN LEPAS</v>
          </cell>
          <cell r="M39">
            <v>300000</v>
          </cell>
          <cell r="N39">
            <v>4</v>
          </cell>
          <cell r="O39" t="str">
            <v>Tidak Layak</v>
          </cell>
          <cell r="P39" t="str">
            <v>Tidak Layak</v>
          </cell>
          <cell r="Q39" t="str">
            <v>Tidak Layak</v>
          </cell>
          <cell r="R39">
            <v>81</v>
          </cell>
          <cell r="S39">
            <v>0</v>
          </cell>
          <cell r="T39" t="str">
            <v>YUDO SUDOMO</v>
          </cell>
          <cell r="U39">
            <v>0</v>
          </cell>
          <cell r="V39" t="str">
            <v>(0287) 3872017</v>
          </cell>
          <cell r="W39" t="str">
            <v>SIGIT KARSENO</v>
          </cell>
          <cell r="X39">
            <v>0</v>
          </cell>
          <cell r="Y39" t="str">
            <v>NIP :19680424 199803 1011</v>
          </cell>
          <cell r="Z39" t="str">
            <v>Moh. Amirudin, S.IP, MM</v>
          </cell>
          <cell r="AA39" t="str">
            <v>Himawan T P, S.Sos</v>
          </cell>
          <cell r="AB39" t="str">
            <v>0000069601590000345</v>
          </cell>
          <cell r="AC39">
            <v>3086</v>
          </cell>
          <cell r="AD39">
            <v>7.6310099999999998</v>
          </cell>
          <cell r="AE39" t="str">
            <v>109,62708</v>
          </cell>
          <cell r="AF39" t="str">
            <v>Surat Keterangan Pejabat</v>
          </cell>
          <cell r="AG39" t="str">
            <v>Tidak Ada</v>
          </cell>
          <cell r="AH39" t="str">
            <v>GENTENG/USUK/RENG LAPUK</v>
          </cell>
          <cell r="AI39" t="str">
            <v>TANAH</v>
          </cell>
          <cell r="AJ39" t="str">
            <v>PAPAN/ BILIK BAMBU</v>
          </cell>
          <cell r="AK39" t="str">
            <v>GENTENG/USUK/RENG</v>
          </cell>
          <cell r="AL39">
            <v>88</v>
          </cell>
          <cell r="AM39" t="str">
            <v>RABAT BETON</v>
          </cell>
          <cell r="AN39">
            <v>54</v>
          </cell>
          <cell r="AO39" t="str">
            <v>BATA MERAH/ BATAKO</v>
          </cell>
          <cell r="AP39">
            <v>90</v>
          </cell>
          <cell r="AQ39" t="str">
            <v>Pengempon, ____ Oktober 2015</v>
          </cell>
          <cell r="AR39" t="str">
            <v>SUTARMAN</v>
          </cell>
          <cell r="AS39" t="str">
            <v>KUANG</v>
          </cell>
          <cell r="AT39" t="str">
            <v>MUNCUL BARU</v>
          </cell>
          <cell r="AU39" t="str">
            <v>Jl. Simpang lima Rt.3/Rw.1 Kec.Pejagoan</v>
          </cell>
          <cell r="AV39" t="str">
            <v>Mohamad Mansur</v>
          </cell>
          <cell r="AW39" t="str">
            <v>BTN KCP KEBUMEN</v>
          </cell>
          <cell r="AX39" t="str">
            <v>'00696</v>
          </cell>
          <cell r="AY39" t="str">
            <v>00696-01-50-000542-4</v>
          </cell>
        </row>
        <row r="40">
          <cell r="A40">
            <v>35</v>
          </cell>
          <cell r="B40" t="str">
            <v>ANISATUN</v>
          </cell>
          <cell r="C40" t="str">
            <v>P</v>
          </cell>
          <cell r="D40" t="str">
            <v>3305144302860003</v>
          </cell>
          <cell r="E40" t="str">
            <v>PENGEMPON RT 02/RW 02</v>
          </cell>
          <cell r="F40" t="str">
            <v>PENGEMPON</v>
          </cell>
          <cell r="G40" t="str">
            <v>SRUWENG</v>
          </cell>
          <cell r="H40" t="str">
            <v>KEBUMEN</v>
          </cell>
          <cell r="I40" t="str">
            <v>JAWA TENGAH</v>
          </cell>
          <cell r="J40">
            <v>15000000</v>
          </cell>
          <cell r="K40">
            <v>28</v>
          </cell>
          <cell r="L40" t="str">
            <v>MENGURUS RUMAH TANGGA</v>
          </cell>
          <cell r="M40">
            <v>300000</v>
          </cell>
          <cell r="N40">
            <v>2</v>
          </cell>
          <cell r="O40" t="str">
            <v>Tidak Layak</v>
          </cell>
          <cell r="P40" t="str">
            <v>Tidak Layak</v>
          </cell>
          <cell r="Q40" t="str">
            <v>Tidak Layak</v>
          </cell>
          <cell r="R40">
            <v>54</v>
          </cell>
          <cell r="S40">
            <v>0</v>
          </cell>
          <cell r="T40" t="str">
            <v>YUDO SUDOMO</v>
          </cell>
          <cell r="U40">
            <v>0</v>
          </cell>
          <cell r="V40" t="str">
            <v>(0287) 3872017</v>
          </cell>
          <cell r="W40" t="str">
            <v>SIGIT KARSENO</v>
          </cell>
          <cell r="X40">
            <v>0</v>
          </cell>
          <cell r="Y40" t="str">
            <v>NIP :19680424 199803 1011</v>
          </cell>
          <cell r="Z40" t="str">
            <v>Moh. Amirudin, S.IP, MM</v>
          </cell>
          <cell r="AA40" t="str">
            <v>Himawan T P, S.Sos</v>
          </cell>
          <cell r="AB40" t="str">
            <v>0000069601590000400</v>
          </cell>
          <cell r="AC40">
            <v>3086</v>
          </cell>
          <cell r="AD40">
            <v>7.6364200000000002</v>
          </cell>
          <cell r="AE40" t="str">
            <v>109,6272</v>
          </cell>
          <cell r="AF40" t="str">
            <v>Surat Keterangan Pejabat</v>
          </cell>
          <cell r="AG40" t="str">
            <v>Tidak Ada</v>
          </cell>
          <cell r="AH40" t="str">
            <v>GENTENG/USUK/RENG LAPUK</v>
          </cell>
          <cell r="AI40" t="str">
            <v>TANAH</v>
          </cell>
          <cell r="AJ40" t="str">
            <v>PAPAN/ BILIK BAMBU</v>
          </cell>
          <cell r="AK40" t="str">
            <v>GENTENG/USUK/RENG</v>
          </cell>
          <cell r="AL40">
            <v>88</v>
          </cell>
          <cell r="AM40" t="str">
            <v>RABAT BETON</v>
          </cell>
          <cell r="AN40">
            <v>54</v>
          </cell>
          <cell r="AO40" t="str">
            <v>BATA MERAH/ BATAKO</v>
          </cell>
          <cell r="AP40">
            <v>90</v>
          </cell>
          <cell r="AQ40" t="str">
            <v>Pengempon, ____ Oktober 2015</v>
          </cell>
          <cell r="AR40" t="str">
            <v>SLAMET HARYANTO</v>
          </cell>
          <cell r="AS40" t="str">
            <v>GUNUNG TUGEL</v>
          </cell>
          <cell r="AT40" t="str">
            <v>MUNCUL BARU</v>
          </cell>
          <cell r="AU40" t="str">
            <v>Jl. Simpang lima Rt.3/Rw.1 Kec.Pejagoan</v>
          </cell>
          <cell r="AV40" t="str">
            <v>Mohamad Mansur</v>
          </cell>
          <cell r="AW40" t="str">
            <v>BTN KCP KEBUMEN</v>
          </cell>
          <cell r="AX40" t="str">
            <v>'00696</v>
          </cell>
          <cell r="AY40" t="str">
            <v>00696-01-50-000542-4</v>
          </cell>
        </row>
        <row r="41">
          <cell r="A41">
            <v>36</v>
          </cell>
          <cell r="B41" t="str">
            <v>MISKIYAH</v>
          </cell>
          <cell r="C41" t="str">
            <v>P</v>
          </cell>
          <cell r="D41" t="str">
            <v>3305146005650001</v>
          </cell>
          <cell r="E41" t="str">
            <v>PENGEMPON RT 02/RW 03</v>
          </cell>
          <cell r="F41" t="str">
            <v>PENGEMPON</v>
          </cell>
          <cell r="G41" t="str">
            <v>SRUWENG</v>
          </cell>
          <cell r="H41" t="str">
            <v>KEBUMEN</v>
          </cell>
          <cell r="I41" t="str">
            <v>JAWA TENGAH</v>
          </cell>
          <cell r="J41">
            <v>15000000</v>
          </cell>
          <cell r="K41">
            <v>49</v>
          </cell>
          <cell r="L41" t="str">
            <v>BURUH HARIAN LEPAS</v>
          </cell>
          <cell r="M41">
            <v>400000</v>
          </cell>
          <cell r="N41">
            <v>2</v>
          </cell>
          <cell r="O41" t="str">
            <v>Tidak Layak</v>
          </cell>
          <cell r="P41" t="str">
            <v>Tidak Layak</v>
          </cell>
          <cell r="Q41" t="str">
            <v>Tidak Layak</v>
          </cell>
          <cell r="R41">
            <v>60</v>
          </cell>
          <cell r="S41">
            <v>0</v>
          </cell>
          <cell r="T41" t="str">
            <v>YUDO SUDOMO</v>
          </cell>
          <cell r="U41">
            <v>0</v>
          </cell>
          <cell r="V41" t="str">
            <v>(0287) 3872017</v>
          </cell>
          <cell r="W41" t="str">
            <v>SIGIT KARSENO</v>
          </cell>
          <cell r="X41">
            <v>0</v>
          </cell>
          <cell r="Y41" t="str">
            <v>NIP :19680424 199803 1011</v>
          </cell>
          <cell r="Z41" t="str">
            <v>Moh. Amirudin, S.IP, MM</v>
          </cell>
          <cell r="AA41" t="str">
            <v>Himawan T P, S.Sos</v>
          </cell>
          <cell r="AB41" t="str">
            <v>0000069601590003555</v>
          </cell>
          <cell r="AC41">
            <v>3086</v>
          </cell>
          <cell r="AD41">
            <v>7.6488399999999999</v>
          </cell>
          <cell r="AE41" t="str">
            <v>109,63026</v>
          </cell>
          <cell r="AF41" t="str">
            <v>Surat Keterangan Pejabat</v>
          </cell>
          <cell r="AG41" t="str">
            <v>Listrik</v>
          </cell>
          <cell r="AH41" t="str">
            <v>GENTENG/USUK/RENG LAPUK</v>
          </cell>
          <cell r="AI41" t="str">
            <v>TANAH</v>
          </cell>
          <cell r="AJ41" t="str">
            <v>PAPAN/ BILIK BAMBU</v>
          </cell>
          <cell r="AK41" t="str">
            <v>GENTENG/USUK/RENG</v>
          </cell>
          <cell r="AL41">
            <v>88</v>
          </cell>
          <cell r="AM41" t="str">
            <v>RABAT BETON</v>
          </cell>
          <cell r="AN41">
            <v>54</v>
          </cell>
          <cell r="AO41" t="str">
            <v>BATA MERAH/ BATAKO</v>
          </cell>
          <cell r="AP41">
            <v>90</v>
          </cell>
          <cell r="AQ41" t="str">
            <v>Pengempon, ____ Oktober 2015</v>
          </cell>
          <cell r="AR41" t="str">
            <v>SUTOMO</v>
          </cell>
          <cell r="AS41" t="str">
            <v>NURUL IMAN</v>
          </cell>
          <cell r="AT41" t="str">
            <v>MUNCUL BARU</v>
          </cell>
          <cell r="AU41" t="str">
            <v>Jl. Simpang lima Rt.3/Rw.1 Kec.Pejagoan</v>
          </cell>
          <cell r="AV41" t="str">
            <v>Mohamad Mansur</v>
          </cell>
          <cell r="AW41" t="str">
            <v>BTN KCP KEBUMEN</v>
          </cell>
          <cell r="AX41" t="str">
            <v>'00696</v>
          </cell>
          <cell r="AY41" t="str">
            <v>00696-01-50-000542-4</v>
          </cell>
        </row>
        <row r="42">
          <cell r="A42">
            <v>37</v>
          </cell>
          <cell r="B42" t="str">
            <v>NUR FAOJIAH</v>
          </cell>
          <cell r="C42" t="str">
            <v>P</v>
          </cell>
          <cell r="D42" t="str">
            <v>3305144912790003</v>
          </cell>
          <cell r="E42" t="str">
            <v>PENGEMPON RT 03/RW 03</v>
          </cell>
          <cell r="F42" t="str">
            <v>PENGEMPON</v>
          </cell>
          <cell r="G42" t="str">
            <v>SRUWENG</v>
          </cell>
          <cell r="H42" t="str">
            <v>KEBUMEN</v>
          </cell>
          <cell r="I42" t="str">
            <v>JAWA TENGAH</v>
          </cell>
          <cell r="J42">
            <v>15000000</v>
          </cell>
          <cell r="K42">
            <v>35</v>
          </cell>
          <cell r="L42" t="str">
            <v>MENGURUS RUMAH TANGGA</v>
          </cell>
          <cell r="M42">
            <v>400000</v>
          </cell>
          <cell r="N42">
            <v>4</v>
          </cell>
          <cell r="O42" t="str">
            <v>Tidak Layak</v>
          </cell>
          <cell r="P42" t="str">
            <v>Tidak Layak</v>
          </cell>
          <cell r="Q42" t="str">
            <v>Tidak Layak</v>
          </cell>
          <cell r="R42">
            <v>54</v>
          </cell>
          <cell r="S42">
            <v>0</v>
          </cell>
          <cell r="T42" t="str">
            <v>YUDO SUDOMO</v>
          </cell>
          <cell r="U42">
            <v>0</v>
          </cell>
          <cell r="V42" t="str">
            <v>(0287) 3872017</v>
          </cell>
          <cell r="W42" t="str">
            <v>SIGIT KARSENO</v>
          </cell>
          <cell r="X42">
            <v>0</v>
          </cell>
          <cell r="Y42" t="str">
            <v>NIP :19680424 199803 1011</v>
          </cell>
          <cell r="Z42" t="str">
            <v>Moh. Amirudin, S.IP, MM</v>
          </cell>
          <cell r="AA42" t="str">
            <v>Himawan T P, S.Sos</v>
          </cell>
          <cell r="AB42" t="str">
            <v>0000069601590004551</v>
          </cell>
          <cell r="AC42">
            <v>3086</v>
          </cell>
          <cell r="AD42">
            <v>7.6456600000000003</v>
          </cell>
          <cell r="AE42" t="str">
            <v>109,6314</v>
          </cell>
          <cell r="AF42" t="str">
            <v>Surat Keterangan Pejabat</v>
          </cell>
          <cell r="AG42" t="str">
            <v>Tidak Ada</v>
          </cell>
          <cell r="AH42" t="str">
            <v>GENTENG/USUK/RENG LAPUK</v>
          </cell>
          <cell r="AI42" t="str">
            <v>TANAH</v>
          </cell>
          <cell r="AJ42" t="str">
            <v>PAPAN/ BILIK BAMBU</v>
          </cell>
          <cell r="AK42" t="str">
            <v>GENTENG/USUK/RENG</v>
          </cell>
          <cell r="AL42">
            <v>88</v>
          </cell>
          <cell r="AM42" t="str">
            <v>RABAT BETON</v>
          </cell>
          <cell r="AN42">
            <v>54</v>
          </cell>
          <cell r="AO42" t="str">
            <v>BATA MERAH/ BATAKO</v>
          </cell>
          <cell r="AP42">
            <v>90</v>
          </cell>
          <cell r="AQ42" t="str">
            <v>Pengempon, ____ Oktober 2015</v>
          </cell>
          <cell r="AR42" t="str">
            <v>SUTOMO</v>
          </cell>
          <cell r="AS42" t="str">
            <v>NURUL IMAN</v>
          </cell>
          <cell r="AT42" t="str">
            <v>MUNCUL BARU</v>
          </cell>
          <cell r="AU42" t="str">
            <v>Jl. Simpang lima Rt.3/Rw.1 Kec.Pejagoan</v>
          </cell>
          <cell r="AV42" t="str">
            <v>Mohamad Mansur</v>
          </cell>
          <cell r="AW42" t="str">
            <v>BTN KCP KEBUMEN</v>
          </cell>
          <cell r="AX42" t="str">
            <v>'00696</v>
          </cell>
          <cell r="AY42" t="str">
            <v>00696-01-50-000542-4</v>
          </cell>
        </row>
        <row r="43">
          <cell r="A43">
            <v>38</v>
          </cell>
          <cell r="B43" t="str">
            <v>PARIYAH</v>
          </cell>
          <cell r="C43" t="str">
            <v>P</v>
          </cell>
          <cell r="D43" t="str">
            <v>3305145602530001</v>
          </cell>
          <cell r="E43" t="str">
            <v>PENGEMPON RT 03/RW 03</v>
          </cell>
          <cell r="F43" t="str">
            <v>PENGEMPON</v>
          </cell>
          <cell r="G43" t="str">
            <v>SRUWENG</v>
          </cell>
          <cell r="H43" t="str">
            <v>KEBUMEN</v>
          </cell>
          <cell r="I43" t="str">
            <v>JAWA TENGAH</v>
          </cell>
          <cell r="J43">
            <v>15000000</v>
          </cell>
          <cell r="K43">
            <v>61</v>
          </cell>
          <cell r="L43" t="str">
            <v>BURUH HARIAN LEPAS</v>
          </cell>
          <cell r="M43">
            <v>300000</v>
          </cell>
          <cell r="N43">
            <v>1</v>
          </cell>
          <cell r="O43" t="str">
            <v>Tidak Layak</v>
          </cell>
          <cell r="P43" t="str">
            <v>Tidak Layak</v>
          </cell>
          <cell r="Q43" t="str">
            <v>Tidak Layak</v>
          </cell>
          <cell r="R43">
            <v>54</v>
          </cell>
          <cell r="S43">
            <v>0</v>
          </cell>
          <cell r="T43" t="str">
            <v>YUDO SUDOMO</v>
          </cell>
          <cell r="U43">
            <v>0</v>
          </cell>
          <cell r="V43" t="str">
            <v>(0287) 3872017</v>
          </cell>
          <cell r="W43" t="str">
            <v>SIGIT KARSENO</v>
          </cell>
          <cell r="X43">
            <v>0</v>
          </cell>
          <cell r="Y43" t="str">
            <v>NIP :19680424 199803 1011</v>
          </cell>
          <cell r="Z43" t="str">
            <v>Moh. Amirudin, S.IP, MM</v>
          </cell>
          <cell r="AA43" t="str">
            <v>Himawan T P, S.Sos</v>
          </cell>
          <cell r="AB43" t="str">
            <v>0000069601590004810</v>
          </cell>
          <cell r="AC43">
            <v>3086</v>
          </cell>
          <cell r="AD43">
            <v>7.6456999999999997</v>
          </cell>
          <cell r="AE43" t="str">
            <v>109,6312</v>
          </cell>
          <cell r="AF43" t="str">
            <v>Surat Keterangan Pejabat</v>
          </cell>
          <cell r="AG43" t="str">
            <v>Listrik</v>
          </cell>
          <cell r="AH43" t="str">
            <v>GENTENG/USUK/RENG LAPUK</v>
          </cell>
          <cell r="AI43" t="str">
            <v>TANAH</v>
          </cell>
          <cell r="AJ43" t="str">
            <v>PAPAN/ BILIK BAMBU</v>
          </cell>
          <cell r="AK43" t="str">
            <v>GENTENG/USUK/RENG</v>
          </cell>
          <cell r="AL43">
            <v>88</v>
          </cell>
          <cell r="AM43" t="str">
            <v>RABAT BETON</v>
          </cell>
          <cell r="AN43">
            <v>54</v>
          </cell>
          <cell r="AO43" t="str">
            <v>BATA MERAH/ BATAKO</v>
          </cell>
          <cell r="AP43">
            <v>90</v>
          </cell>
          <cell r="AQ43" t="str">
            <v>Pengempon, ____ Oktober 2015</v>
          </cell>
          <cell r="AR43" t="str">
            <v>SUTOMO</v>
          </cell>
          <cell r="AS43" t="str">
            <v>NURUL IMAN</v>
          </cell>
          <cell r="AT43" t="str">
            <v>MUNCUL BARU</v>
          </cell>
          <cell r="AU43" t="str">
            <v>Jl. Simpang lima Rt.3/Rw.1 Kec.Pejagoan</v>
          </cell>
          <cell r="AV43" t="str">
            <v>Mohamad Mansur</v>
          </cell>
          <cell r="AW43" t="str">
            <v>BTN KCP KEBUMEN</v>
          </cell>
          <cell r="AX43" t="str">
            <v>'00696</v>
          </cell>
          <cell r="AY43" t="str">
            <v>00696-01-50-000542-4</v>
          </cell>
        </row>
        <row r="44">
          <cell r="A44">
            <v>39</v>
          </cell>
          <cell r="B44" t="str">
            <v>KUSNADI</v>
          </cell>
          <cell r="C44" t="str">
            <v>L</v>
          </cell>
          <cell r="D44" t="str">
            <v>3305140312830001</v>
          </cell>
          <cell r="E44" t="str">
            <v>PENGEMPON RT 03/RW 03</v>
          </cell>
          <cell r="F44" t="str">
            <v>PENGEMPON</v>
          </cell>
          <cell r="G44" t="str">
            <v>SRUWENG</v>
          </cell>
          <cell r="H44" t="str">
            <v>KEBUMEN</v>
          </cell>
          <cell r="I44" t="str">
            <v>JAWA TENGAH</v>
          </cell>
          <cell r="J44">
            <v>15000000</v>
          </cell>
          <cell r="K44">
            <v>31</v>
          </cell>
          <cell r="L44" t="str">
            <v>WIRASWASTA</v>
          </cell>
          <cell r="M44">
            <v>800000</v>
          </cell>
          <cell r="N44">
            <v>2</v>
          </cell>
          <cell r="O44" t="str">
            <v>Tidak Layak</v>
          </cell>
          <cell r="P44" t="str">
            <v>Tidak Layak</v>
          </cell>
          <cell r="Q44" t="str">
            <v>Tidak Layak</v>
          </cell>
          <cell r="R44">
            <v>54</v>
          </cell>
          <cell r="S44">
            <v>0</v>
          </cell>
          <cell r="T44" t="str">
            <v>YUDO SUDOMO</v>
          </cell>
          <cell r="U44">
            <v>0</v>
          </cell>
          <cell r="V44" t="str">
            <v>(0287) 3872017</v>
          </cell>
          <cell r="W44" t="str">
            <v>SIGIT KARSENO</v>
          </cell>
          <cell r="X44">
            <v>0</v>
          </cell>
          <cell r="Y44" t="str">
            <v>NIP :19680424 199803 1011</v>
          </cell>
          <cell r="Z44" t="str">
            <v>Moh. Amirudin, S.IP, MM</v>
          </cell>
          <cell r="AA44" t="str">
            <v>Himawan T P, S.Sos</v>
          </cell>
          <cell r="AB44" t="str">
            <v>0000069601590002444</v>
          </cell>
          <cell r="AC44">
            <v>3086</v>
          </cell>
          <cell r="AD44">
            <v>7.6437499999999998</v>
          </cell>
          <cell r="AE44" t="str">
            <v>109,63011</v>
          </cell>
          <cell r="AF44" t="str">
            <v>Surat Keterangan Pejabat</v>
          </cell>
          <cell r="AG44" t="str">
            <v>Tidak Ada</v>
          </cell>
          <cell r="AH44" t="str">
            <v>GENTENG/USUK/RENG LAPUK</v>
          </cell>
          <cell r="AI44" t="str">
            <v>TANAH</v>
          </cell>
          <cell r="AJ44" t="str">
            <v>PAPAN/ BILIK BAMBU</v>
          </cell>
          <cell r="AK44" t="str">
            <v>GENTENG/USUK/RENG</v>
          </cell>
          <cell r="AL44">
            <v>88</v>
          </cell>
          <cell r="AM44" t="str">
            <v>RABAT BETON</v>
          </cell>
          <cell r="AN44">
            <v>54</v>
          </cell>
          <cell r="AO44" t="str">
            <v>BATA MERAH/ BATAKO</v>
          </cell>
          <cell r="AP44">
            <v>90</v>
          </cell>
          <cell r="AQ44" t="str">
            <v>Pengempon, ____ Oktober 2015</v>
          </cell>
          <cell r="AR44" t="str">
            <v>SUTOMO</v>
          </cell>
          <cell r="AS44" t="str">
            <v>NURUL IMAN</v>
          </cell>
          <cell r="AT44" t="str">
            <v>MUNCUL BARU</v>
          </cell>
          <cell r="AU44" t="str">
            <v>Jl. Simpang lima Rt.3/Rw.1 Kec.Pejagoan</v>
          </cell>
          <cell r="AV44" t="str">
            <v>Mohamad Mansur</v>
          </cell>
          <cell r="AW44" t="str">
            <v>BTN KCP KEBUMEN</v>
          </cell>
          <cell r="AX44" t="str">
            <v>'00696</v>
          </cell>
          <cell r="AY44" t="str">
            <v>00696-01-50-000542-4</v>
          </cell>
        </row>
        <row r="45">
          <cell r="A45">
            <v>40</v>
          </cell>
          <cell r="B45" t="str">
            <v>MOHAMAD MURTAKI</v>
          </cell>
          <cell r="C45" t="str">
            <v>L</v>
          </cell>
          <cell r="D45" t="str">
            <v>3305141105680001</v>
          </cell>
          <cell r="E45" t="str">
            <v>PENGEMPON RT 04/RW 03</v>
          </cell>
          <cell r="F45" t="str">
            <v>PENGEMPON</v>
          </cell>
          <cell r="G45" t="str">
            <v>SRUWENG</v>
          </cell>
          <cell r="H45" t="str">
            <v>KEBUMEN</v>
          </cell>
          <cell r="I45" t="str">
            <v>JAWA TENGAH</v>
          </cell>
          <cell r="J45">
            <v>15000000</v>
          </cell>
          <cell r="K45">
            <v>46</v>
          </cell>
          <cell r="L45" t="str">
            <v>BURUH HARIAN LEPAS</v>
          </cell>
          <cell r="M45">
            <v>700000</v>
          </cell>
          <cell r="N45">
            <v>3</v>
          </cell>
          <cell r="O45" t="str">
            <v>Tidak Layak</v>
          </cell>
          <cell r="P45" t="str">
            <v>Tidak Layak</v>
          </cell>
          <cell r="Q45" t="str">
            <v>Tidak Layak</v>
          </cell>
          <cell r="R45">
            <v>54</v>
          </cell>
          <cell r="S45">
            <v>0</v>
          </cell>
          <cell r="T45" t="str">
            <v>YUDO SUDOMO</v>
          </cell>
          <cell r="U45">
            <v>0</v>
          </cell>
          <cell r="V45" t="str">
            <v>(0287) 3872017</v>
          </cell>
          <cell r="W45" t="str">
            <v>SIGIT KARSENO</v>
          </cell>
          <cell r="X45">
            <v>0</v>
          </cell>
          <cell r="Y45" t="str">
            <v>NIP :19680424 199803 1011</v>
          </cell>
          <cell r="Z45" t="str">
            <v>Moh. Amirudin, S.IP, MM</v>
          </cell>
          <cell r="AA45" t="str">
            <v>Himawan T P, S.Sos</v>
          </cell>
          <cell r="AB45" t="str">
            <v>0000069601590003694</v>
          </cell>
          <cell r="AC45">
            <v>3086</v>
          </cell>
          <cell r="AD45">
            <v>7.6424000000000003</v>
          </cell>
          <cell r="AE45" t="str">
            <v>109,6309</v>
          </cell>
          <cell r="AF45" t="str">
            <v>Surat Keterangan Pejabat</v>
          </cell>
          <cell r="AG45" t="str">
            <v>Listrik</v>
          </cell>
          <cell r="AH45" t="str">
            <v>GENTENG/USUK/RENG LAPUK</v>
          </cell>
          <cell r="AI45" t="str">
            <v>TANAH</v>
          </cell>
          <cell r="AJ45" t="str">
            <v>PAPAN/ BILIK BAMBU</v>
          </cell>
          <cell r="AK45" t="str">
            <v>GENTENG/USUK/RENG</v>
          </cell>
          <cell r="AL45">
            <v>88</v>
          </cell>
          <cell r="AM45" t="str">
            <v>RABAT BETON</v>
          </cell>
          <cell r="AN45">
            <v>54</v>
          </cell>
          <cell r="AO45" t="str">
            <v>BATA MERAH/ BATAKO</v>
          </cell>
          <cell r="AP45">
            <v>90</v>
          </cell>
          <cell r="AQ45" t="str">
            <v>Pengempon, ____ Oktober 2015</v>
          </cell>
          <cell r="AR45" t="str">
            <v>UDINANTO</v>
          </cell>
          <cell r="AS45" t="str">
            <v>ALAS TUA</v>
          </cell>
          <cell r="AT45" t="str">
            <v>MUNCUL BARU</v>
          </cell>
          <cell r="AU45" t="str">
            <v>Jl. Simpang lima Rt.3/Rw.1 Kec.Pejagoan</v>
          </cell>
          <cell r="AV45" t="str">
            <v>Mohamad Mansur</v>
          </cell>
          <cell r="AW45" t="str">
            <v>BTN KCP KEBUMEN</v>
          </cell>
          <cell r="AX45" t="str">
            <v>'00696</v>
          </cell>
          <cell r="AY45" t="str">
            <v>00696-01-50-000542-4</v>
          </cell>
        </row>
        <row r="46">
          <cell r="A46">
            <v>41</v>
          </cell>
          <cell r="B46" t="str">
            <v>SARMINAH</v>
          </cell>
          <cell r="C46" t="str">
            <v>P</v>
          </cell>
          <cell r="D46" t="str">
            <v>3305147112430039</v>
          </cell>
          <cell r="E46" t="str">
            <v>PENGEMPON RT 04/RW 03</v>
          </cell>
          <cell r="F46" t="str">
            <v>PENGEMPON</v>
          </cell>
          <cell r="G46" t="str">
            <v>SRUWENG</v>
          </cell>
          <cell r="H46" t="str">
            <v>KEBUMEN</v>
          </cell>
          <cell r="I46" t="str">
            <v>JAWA TENGAH</v>
          </cell>
          <cell r="J46">
            <v>15000000</v>
          </cell>
          <cell r="K46">
            <v>71</v>
          </cell>
          <cell r="L46" t="str">
            <v>MENGURUS RUMAH TANGGA</v>
          </cell>
          <cell r="M46">
            <v>150000</v>
          </cell>
          <cell r="N46">
            <v>1</v>
          </cell>
          <cell r="O46" t="str">
            <v>Tidak Layak</v>
          </cell>
          <cell r="P46" t="str">
            <v>Tidak Layak</v>
          </cell>
          <cell r="Q46" t="str">
            <v>Tidak Layak</v>
          </cell>
          <cell r="R46">
            <v>54</v>
          </cell>
          <cell r="S46">
            <v>0</v>
          </cell>
          <cell r="T46" t="str">
            <v>YUDO SUDOMO</v>
          </cell>
          <cell r="U46">
            <v>0</v>
          </cell>
          <cell r="V46" t="str">
            <v>(0287) 3872017</v>
          </cell>
          <cell r="W46" t="str">
            <v>SIGIT KARSENO</v>
          </cell>
          <cell r="X46">
            <v>0</v>
          </cell>
          <cell r="Y46" t="str">
            <v>NIP :19680424 199803 1011</v>
          </cell>
          <cell r="Z46" t="str">
            <v>Moh. Amirudin, S.IP, MM</v>
          </cell>
          <cell r="AA46" t="str">
            <v>Himawan T P, S.Sos</v>
          </cell>
          <cell r="AB46" t="str">
            <v>0000069601590007355</v>
          </cell>
          <cell r="AC46">
            <v>3086</v>
          </cell>
          <cell r="AD46">
            <v>7.6413599999999997</v>
          </cell>
          <cell r="AE46" t="str">
            <v>109,6328</v>
          </cell>
          <cell r="AF46" t="str">
            <v>Surat Keterangan Pejabat</v>
          </cell>
          <cell r="AG46" t="str">
            <v>Tidak Ada</v>
          </cell>
          <cell r="AH46" t="str">
            <v>GENTENG/USUK/RENG LAPUK</v>
          </cell>
          <cell r="AI46" t="str">
            <v>TANAH</v>
          </cell>
          <cell r="AJ46" t="str">
            <v>PAPAN/ BILIK BAMBU</v>
          </cell>
          <cell r="AK46" t="str">
            <v>GENTENG/USUK/RENG</v>
          </cell>
          <cell r="AL46">
            <v>88</v>
          </cell>
          <cell r="AM46" t="str">
            <v>RABAT BETON</v>
          </cell>
          <cell r="AN46">
            <v>54</v>
          </cell>
          <cell r="AO46" t="str">
            <v>BATA MERAH/ BATAKO</v>
          </cell>
          <cell r="AP46">
            <v>90</v>
          </cell>
          <cell r="AQ46" t="str">
            <v>Pengempon, ____ Oktober 2015</v>
          </cell>
          <cell r="AR46" t="str">
            <v>UDINANTO</v>
          </cell>
          <cell r="AS46" t="str">
            <v>ALAS TUA</v>
          </cell>
          <cell r="AT46" t="str">
            <v>MUNCUL BARU</v>
          </cell>
          <cell r="AU46" t="str">
            <v>Jl. Simpang lima Rt.3/Rw.1 Kec.Pejagoan</v>
          </cell>
          <cell r="AV46" t="str">
            <v>Mohamad Mansur</v>
          </cell>
          <cell r="AW46" t="str">
            <v>BTN KCP KEBUMEN</v>
          </cell>
          <cell r="AX46" t="str">
            <v>'00696</v>
          </cell>
          <cell r="AY46" t="str">
            <v>00696-01-50-000542-4</v>
          </cell>
        </row>
        <row r="47">
          <cell r="A47">
            <v>42</v>
          </cell>
          <cell r="B47" t="str">
            <v>BADIRI</v>
          </cell>
          <cell r="C47" t="str">
            <v>L</v>
          </cell>
          <cell r="D47" t="str">
            <v>3305141005420001</v>
          </cell>
          <cell r="E47" t="str">
            <v>PENGEMPON RT 04/RW 03</v>
          </cell>
          <cell r="F47" t="str">
            <v>PENGEMPON</v>
          </cell>
          <cell r="G47" t="str">
            <v>SRUWENG</v>
          </cell>
          <cell r="H47" t="str">
            <v>KEBUMEN</v>
          </cell>
          <cell r="I47" t="str">
            <v>JAWA TENGAH</v>
          </cell>
          <cell r="J47">
            <v>15000000</v>
          </cell>
          <cell r="K47">
            <v>72</v>
          </cell>
          <cell r="L47" t="str">
            <v>PETANI/PEKEBUN</v>
          </cell>
          <cell r="M47">
            <v>300000</v>
          </cell>
          <cell r="N47">
            <v>2</v>
          </cell>
          <cell r="O47" t="str">
            <v>Tidak Layak</v>
          </cell>
          <cell r="P47" t="str">
            <v>Tidak Layak</v>
          </cell>
          <cell r="Q47" t="str">
            <v>Tidak Layak</v>
          </cell>
          <cell r="R47">
            <v>54</v>
          </cell>
          <cell r="S47">
            <v>0</v>
          </cell>
          <cell r="T47" t="str">
            <v>YUDO SUDOMO</v>
          </cell>
          <cell r="U47">
            <v>0</v>
          </cell>
          <cell r="V47" t="str">
            <v>(0287) 3872017</v>
          </cell>
          <cell r="W47" t="str">
            <v>SIGIT KARSENO</v>
          </cell>
          <cell r="X47">
            <v>0</v>
          </cell>
          <cell r="Y47" t="str">
            <v>NIP :19680424 199803 1011</v>
          </cell>
          <cell r="Z47" t="str">
            <v>Moh. Amirudin, S.IP, MM</v>
          </cell>
          <cell r="AA47" t="str">
            <v>Himawan T P, S.Sos</v>
          </cell>
          <cell r="AB47" t="str">
            <v>0000069601590000531</v>
          </cell>
          <cell r="AC47">
            <v>3086</v>
          </cell>
          <cell r="AD47">
            <v>7.6407999999999996</v>
          </cell>
          <cell r="AE47" t="str">
            <v>109,6323</v>
          </cell>
          <cell r="AF47" t="str">
            <v>Surat Keterangan Pejabat</v>
          </cell>
          <cell r="AG47" t="str">
            <v>Tidak Ada</v>
          </cell>
          <cell r="AH47" t="str">
            <v>GENTENG/USUK/RENG LAPUK</v>
          </cell>
          <cell r="AI47" t="str">
            <v>TANAH</v>
          </cell>
          <cell r="AJ47" t="str">
            <v>PAPAN/ BILIK BAMBU</v>
          </cell>
          <cell r="AK47" t="str">
            <v>GENTENG/USUK/RENG</v>
          </cell>
          <cell r="AL47">
            <v>88</v>
          </cell>
          <cell r="AM47" t="str">
            <v>RABAT BETON</v>
          </cell>
          <cell r="AN47">
            <v>54</v>
          </cell>
          <cell r="AO47" t="str">
            <v>BATA MERAH/ BATAKO</v>
          </cell>
          <cell r="AP47">
            <v>90</v>
          </cell>
          <cell r="AQ47" t="str">
            <v>Pengempon, ____ Oktober 2015</v>
          </cell>
          <cell r="AR47" t="str">
            <v>UDINANTO</v>
          </cell>
          <cell r="AS47" t="str">
            <v>ALAS TUA</v>
          </cell>
          <cell r="AT47" t="str">
            <v>MUNCUL BARU</v>
          </cell>
          <cell r="AU47" t="str">
            <v>Jl. Simpang lima Rt.3/Rw.1 Kec.Pejagoan</v>
          </cell>
          <cell r="AV47" t="str">
            <v>Mohamad Mansur</v>
          </cell>
          <cell r="AW47" t="str">
            <v>BTN KCP KEBUMEN</v>
          </cell>
          <cell r="AX47" t="str">
            <v>'00696</v>
          </cell>
          <cell r="AY47" t="str">
            <v>00696-01-50-000542-4</v>
          </cell>
        </row>
        <row r="48">
          <cell r="A48">
            <v>43</v>
          </cell>
          <cell r="B48" t="str">
            <v>NURHOLIK</v>
          </cell>
          <cell r="C48" t="str">
            <v>L</v>
          </cell>
          <cell r="D48" t="str">
            <v>3305143011450002</v>
          </cell>
          <cell r="E48" t="str">
            <v>PENGEMPON RT 04/RW 03</v>
          </cell>
          <cell r="F48" t="str">
            <v>PENGEMPON</v>
          </cell>
          <cell r="G48" t="str">
            <v>SRUWENG</v>
          </cell>
          <cell r="H48" t="str">
            <v>KEBUMEN</v>
          </cell>
          <cell r="I48" t="str">
            <v>JAWA TENGAH</v>
          </cell>
          <cell r="J48">
            <v>15000000</v>
          </cell>
          <cell r="K48">
            <v>69</v>
          </cell>
          <cell r="L48" t="str">
            <v>BURUH HARIAN LEPAS</v>
          </cell>
          <cell r="M48">
            <v>700000</v>
          </cell>
          <cell r="N48">
            <v>3</v>
          </cell>
          <cell r="O48" t="str">
            <v>Tidak Layak</v>
          </cell>
          <cell r="P48" t="str">
            <v>Tidak Layak</v>
          </cell>
          <cell r="Q48" t="str">
            <v>Tidak Layak</v>
          </cell>
          <cell r="R48">
            <v>36</v>
          </cell>
          <cell r="S48">
            <v>0</v>
          </cell>
          <cell r="T48" t="str">
            <v>YUDO SUDOMO</v>
          </cell>
          <cell r="U48">
            <v>0</v>
          </cell>
          <cell r="V48" t="str">
            <v>(0287) 3872017</v>
          </cell>
          <cell r="W48" t="str">
            <v>SIGIT KARSENO</v>
          </cell>
          <cell r="X48">
            <v>0</v>
          </cell>
          <cell r="Y48" t="str">
            <v>NIP :19680424 199803 1011</v>
          </cell>
          <cell r="Z48" t="str">
            <v>Moh. Amirudin, S.IP, MM</v>
          </cell>
          <cell r="AA48" t="str">
            <v>Himawan T P, S.Sos</v>
          </cell>
          <cell r="AB48" t="str">
            <v>0000069601590004632</v>
          </cell>
          <cell r="AC48">
            <v>3086</v>
          </cell>
          <cell r="AD48">
            <v>7.6402599999999996</v>
          </cell>
          <cell r="AE48" t="str">
            <v>109,63326</v>
          </cell>
          <cell r="AF48" t="str">
            <v>Surat Keterangan Pejabat</v>
          </cell>
          <cell r="AG48" t="str">
            <v>Tidak Ada</v>
          </cell>
          <cell r="AH48" t="str">
            <v>GENTENG/USUK/RENG LAPUK</v>
          </cell>
          <cell r="AI48" t="str">
            <v>TANAH</v>
          </cell>
          <cell r="AJ48" t="str">
            <v>PAPAN/ BILIK BAMBU</v>
          </cell>
          <cell r="AK48" t="str">
            <v>GENTENG/USUK/RENG</v>
          </cell>
          <cell r="AL48">
            <v>88</v>
          </cell>
          <cell r="AM48" t="str">
            <v>RABAT BETON</v>
          </cell>
          <cell r="AN48">
            <v>54</v>
          </cell>
          <cell r="AO48" t="str">
            <v>BATA MERAH/ BATAKO</v>
          </cell>
          <cell r="AP48">
            <v>90</v>
          </cell>
          <cell r="AQ48" t="str">
            <v>Pengempon, ____ Oktober 2015</v>
          </cell>
          <cell r="AR48" t="str">
            <v>UDINANTO</v>
          </cell>
          <cell r="AS48" t="str">
            <v>ALAS TUA</v>
          </cell>
          <cell r="AT48" t="str">
            <v>MUNCUL BARU</v>
          </cell>
          <cell r="AU48" t="str">
            <v>Jl. Simpang lima Rt.3/Rw.1 Kec.Pejagoan</v>
          </cell>
          <cell r="AV48" t="str">
            <v>Mohamad Mansur</v>
          </cell>
          <cell r="AW48" t="str">
            <v>BTN KCP KEBUMEN</v>
          </cell>
          <cell r="AX48" t="str">
            <v>'00696</v>
          </cell>
          <cell r="AY48" t="str">
            <v>00696-01-50-000542-4</v>
          </cell>
        </row>
        <row r="49">
          <cell r="A49">
            <v>44</v>
          </cell>
          <cell r="B49" t="str">
            <v>KUSWATI</v>
          </cell>
          <cell r="C49" t="str">
            <v>P</v>
          </cell>
          <cell r="D49" t="str">
            <v>3305146708700001</v>
          </cell>
          <cell r="E49" t="str">
            <v>PENGEMPON RT 01/RW 04</v>
          </cell>
          <cell r="F49" t="str">
            <v>PENGEMPON</v>
          </cell>
          <cell r="G49" t="str">
            <v>SRUWENG</v>
          </cell>
          <cell r="H49" t="str">
            <v>KEBUMEN</v>
          </cell>
          <cell r="I49" t="str">
            <v>JAWA TENGAH</v>
          </cell>
          <cell r="J49">
            <v>15000000</v>
          </cell>
          <cell r="K49">
            <v>44</v>
          </cell>
          <cell r="L49" t="str">
            <v>MENGURUS RUMAH TANGGA</v>
          </cell>
          <cell r="M49">
            <v>450000</v>
          </cell>
          <cell r="N49">
            <v>8</v>
          </cell>
          <cell r="O49" t="str">
            <v>Tidak Layak</v>
          </cell>
          <cell r="P49" t="str">
            <v>Tidak Layak</v>
          </cell>
          <cell r="Q49" t="str">
            <v>Tidak Layak</v>
          </cell>
          <cell r="R49">
            <v>72</v>
          </cell>
          <cell r="S49">
            <v>0</v>
          </cell>
          <cell r="T49" t="str">
            <v>YUDO SUDOMO</v>
          </cell>
          <cell r="U49">
            <v>0</v>
          </cell>
          <cell r="V49" t="str">
            <v>(0287) 3872017</v>
          </cell>
          <cell r="W49" t="str">
            <v>SIGIT KARSENO</v>
          </cell>
          <cell r="X49">
            <v>0</v>
          </cell>
          <cell r="Y49" t="str">
            <v>NIP :19680424 199803 1011</v>
          </cell>
          <cell r="Z49" t="str">
            <v>Moh. Amirudin, S.IP, MM</v>
          </cell>
          <cell r="AA49" t="str">
            <v>Himawan T P, S.Sos</v>
          </cell>
          <cell r="AB49" t="str">
            <v>0000069601590002452</v>
          </cell>
          <cell r="AC49">
            <v>3086</v>
          </cell>
          <cell r="AD49">
            <v>7.6348599999999998</v>
          </cell>
          <cell r="AE49" t="str">
            <v>109,62935</v>
          </cell>
          <cell r="AF49" t="str">
            <v>Surat Keterangan Pejabat</v>
          </cell>
          <cell r="AG49" t="str">
            <v>Air Bersih</v>
          </cell>
          <cell r="AH49" t="str">
            <v>GENTENG/USUK/RENG LAPUK</v>
          </cell>
          <cell r="AI49" t="str">
            <v>TANAH</v>
          </cell>
          <cell r="AJ49" t="str">
            <v>PAPAN/ BILIK BAMBU</v>
          </cell>
          <cell r="AK49" t="str">
            <v>GENTENG/USUK/RENG</v>
          </cell>
          <cell r="AL49">
            <v>88</v>
          </cell>
          <cell r="AM49" t="str">
            <v>RABAT BETON</v>
          </cell>
          <cell r="AN49">
            <v>54</v>
          </cell>
          <cell r="AO49" t="str">
            <v>BATA MERAH/ BATAKO</v>
          </cell>
          <cell r="AP49">
            <v>90</v>
          </cell>
          <cell r="AQ49" t="str">
            <v>Pengempon, ____ Oktober 2015</v>
          </cell>
          <cell r="AR49" t="str">
            <v>MU'MININ</v>
          </cell>
          <cell r="AS49" t="str">
            <v>BANTENG</v>
          </cell>
          <cell r="AT49" t="str">
            <v>MUNCUL BARU</v>
          </cell>
          <cell r="AU49" t="str">
            <v>Jl. Simpang lima Rt.3/Rw.1 Kec.Pejagoan</v>
          </cell>
          <cell r="AV49" t="str">
            <v>Mohamad Mansur</v>
          </cell>
          <cell r="AW49" t="str">
            <v>BTN KCP KEBUMEN</v>
          </cell>
          <cell r="AX49" t="str">
            <v>'00696</v>
          </cell>
          <cell r="AY49" t="str">
            <v>00696-01-50-000542-4</v>
          </cell>
        </row>
        <row r="50">
          <cell r="A50">
            <v>45</v>
          </cell>
          <cell r="B50" t="str">
            <v>HUMEDI</v>
          </cell>
          <cell r="C50" t="str">
            <v>L</v>
          </cell>
          <cell r="D50" t="str">
            <v>3305140705300002</v>
          </cell>
          <cell r="E50" t="str">
            <v>PENGEMPON RT 02/RW 04</v>
          </cell>
          <cell r="F50" t="str">
            <v>PENGEMPON</v>
          </cell>
          <cell r="G50" t="str">
            <v>SRUWENG</v>
          </cell>
          <cell r="H50" t="str">
            <v>KEBUMEN</v>
          </cell>
          <cell r="I50" t="str">
            <v>JAWA TENGAH</v>
          </cell>
          <cell r="J50">
            <v>15000000</v>
          </cell>
          <cell r="K50">
            <v>84</v>
          </cell>
          <cell r="L50" t="str">
            <v>PETANI/PEKEBUN</v>
          </cell>
          <cell r="M50">
            <v>600000</v>
          </cell>
          <cell r="N50">
            <v>5</v>
          </cell>
          <cell r="O50" t="str">
            <v>Tidak Layak</v>
          </cell>
          <cell r="P50" t="str">
            <v>Tidak Layak</v>
          </cell>
          <cell r="Q50" t="str">
            <v>Tidak Layak</v>
          </cell>
          <cell r="R50">
            <v>72</v>
          </cell>
          <cell r="S50">
            <v>0</v>
          </cell>
          <cell r="T50" t="str">
            <v>YUDO SUDOMO</v>
          </cell>
          <cell r="U50">
            <v>0</v>
          </cell>
          <cell r="V50" t="str">
            <v>(0287) 3872017</v>
          </cell>
          <cell r="W50" t="str">
            <v>SIGIT KARSENO</v>
          </cell>
          <cell r="X50">
            <v>0</v>
          </cell>
          <cell r="Y50" t="str">
            <v>NIP :19680424 199803 1011</v>
          </cell>
          <cell r="Z50" t="str">
            <v>Moh. Amirudin, S.IP, MM</v>
          </cell>
          <cell r="AA50" t="str">
            <v>Himawan T P, S.Sos</v>
          </cell>
          <cell r="AB50" t="str">
            <v>0000069601590001333</v>
          </cell>
          <cell r="AC50">
            <v>3086</v>
          </cell>
          <cell r="AD50">
            <v>7.6375500000000001</v>
          </cell>
          <cell r="AE50" t="str">
            <v>109,62804</v>
          </cell>
          <cell r="AF50" t="str">
            <v>Surat Keterangan Pejabat</v>
          </cell>
          <cell r="AG50" t="str">
            <v>Listrik &amp; MCK</v>
          </cell>
          <cell r="AH50" t="str">
            <v>GENTENG/USUK/RENG LAPUK</v>
          </cell>
          <cell r="AI50" t="str">
            <v>TANAH</v>
          </cell>
          <cell r="AJ50" t="str">
            <v>PAPAN/ BILIK BAMBU</v>
          </cell>
          <cell r="AK50" t="str">
            <v>GENTENG/USUK/RENG</v>
          </cell>
          <cell r="AL50">
            <v>88</v>
          </cell>
          <cell r="AM50" t="str">
            <v>RABAT BETON</v>
          </cell>
          <cell r="AN50">
            <v>54</v>
          </cell>
          <cell r="AO50" t="str">
            <v>BATA MERAH/ BATAKO</v>
          </cell>
          <cell r="AP50">
            <v>90</v>
          </cell>
          <cell r="AQ50" t="str">
            <v>Pengempon, ____ Oktober 2015</v>
          </cell>
          <cell r="AR50" t="str">
            <v>MU'MININ</v>
          </cell>
          <cell r="AS50" t="str">
            <v>BANTENG</v>
          </cell>
          <cell r="AT50" t="str">
            <v>MUNCUL BARU</v>
          </cell>
          <cell r="AU50" t="str">
            <v>Jl. Simpang lima Rt.3/Rw.1 Kec.Pejagoan</v>
          </cell>
          <cell r="AV50" t="str">
            <v>Mohamad Mansur</v>
          </cell>
          <cell r="AW50" t="str">
            <v>BTN KCP KEBUMEN</v>
          </cell>
          <cell r="AX50" t="str">
            <v>'00696</v>
          </cell>
          <cell r="AY50" t="str">
            <v>00696-01-50-000542-4</v>
          </cell>
        </row>
        <row r="51">
          <cell r="A51">
            <v>46</v>
          </cell>
          <cell r="B51" t="str">
            <v>AGUS CAHYONO</v>
          </cell>
          <cell r="C51" t="str">
            <v>L</v>
          </cell>
          <cell r="D51" t="str">
            <v>3305172411740001</v>
          </cell>
          <cell r="E51" t="str">
            <v>PENGEMPON RT 04/RW 02</v>
          </cell>
          <cell r="F51" t="str">
            <v>PENGEMPON</v>
          </cell>
          <cell r="G51" t="str">
            <v>SRUWENG</v>
          </cell>
          <cell r="H51" t="str">
            <v>KEBUMEN</v>
          </cell>
          <cell r="I51" t="str">
            <v>JAWA TENGAH</v>
          </cell>
          <cell r="J51">
            <v>15000000</v>
          </cell>
          <cell r="K51">
            <v>40</v>
          </cell>
          <cell r="L51" t="str">
            <v>WIRASWASTA</v>
          </cell>
          <cell r="M51">
            <v>500000</v>
          </cell>
          <cell r="N51">
            <v>2</v>
          </cell>
          <cell r="O51" t="str">
            <v>Tidak Layak</v>
          </cell>
          <cell r="P51" t="str">
            <v>Tidak Layak</v>
          </cell>
          <cell r="Q51" t="str">
            <v>Tidak Layak</v>
          </cell>
          <cell r="R51">
            <v>72</v>
          </cell>
          <cell r="S51">
            <v>0</v>
          </cell>
          <cell r="T51" t="str">
            <v>YUDO SUDOMO</v>
          </cell>
          <cell r="U51">
            <v>0</v>
          </cell>
          <cell r="V51" t="str">
            <v>(0287) 3872017</v>
          </cell>
          <cell r="W51" t="str">
            <v>SIGIT KARSENO</v>
          </cell>
          <cell r="X51">
            <v>0</v>
          </cell>
          <cell r="Y51" t="str">
            <v>NIP :19680424 199803 1011</v>
          </cell>
          <cell r="Z51" t="str">
            <v>Moh. Amirudin, S.IP, MM</v>
          </cell>
          <cell r="AA51" t="str">
            <v>Himawan T P, S.Sos</v>
          </cell>
          <cell r="AB51" t="e">
            <v>#N/A</v>
          </cell>
          <cell r="AC51">
            <v>3086</v>
          </cell>
          <cell r="AD51">
            <v>7.6376200000000001</v>
          </cell>
          <cell r="AE51" t="str">
            <v>109,62796</v>
          </cell>
          <cell r="AF51" t="str">
            <v>Surat Keterangan Pejabat</v>
          </cell>
          <cell r="AG51" t="str">
            <v>Tidak Ada</v>
          </cell>
          <cell r="AH51">
            <v>0</v>
          </cell>
          <cell r="AI51">
            <v>0</v>
          </cell>
          <cell r="AJ51">
            <v>0</v>
          </cell>
          <cell r="AQ51">
            <v>0</v>
          </cell>
          <cell r="AR51" t="str">
            <v>_______________</v>
          </cell>
          <cell r="AS51">
            <v>0</v>
          </cell>
          <cell r="AT51">
            <v>0</v>
          </cell>
          <cell r="AU51">
            <v>0</v>
          </cell>
          <cell r="AV51">
            <v>0</v>
          </cell>
          <cell r="AY51">
            <v>0</v>
          </cell>
        </row>
        <row r="52">
          <cell r="A52">
            <v>47</v>
          </cell>
          <cell r="B52" t="str">
            <v>MASRURI</v>
          </cell>
          <cell r="C52" t="str">
            <v>L</v>
          </cell>
          <cell r="D52" t="str">
            <v>3305141608830001</v>
          </cell>
          <cell r="E52" t="str">
            <v>PENGEMPON RT 02/RW 04</v>
          </cell>
          <cell r="F52" t="str">
            <v>PENGEMPON</v>
          </cell>
          <cell r="G52" t="str">
            <v>SRUWENG</v>
          </cell>
          <cell r="H52" t="str">
            <v>KEBUMEN</v>
          </cell>
          <cell r="I52" t="str">
            <v>JAWA TENGAH</v>
          </cell>
          <cell r="J52">
            <v>15000000</v>
          </cell>
          <cell r="K52">
            <v>31</v>
          </cell>
          <cell r="L52" t="str">
            <v>BURUH HARIAN LEPAS</v>
          </cell>
          <cell r="M52">
            <v>600000</v>
          </cell>
          <cell r="N52">
            <v>2</v>
          </cell>
          <cell r="O52" t="str">
            <v>Tidak Layak</v>
          </cell>
          <cell r="P52" t="str">
            <v>Tidak Layak</v>
          </cell>
          <cell r="Q52" t="str">
            <v>Tidak Layak</v>
          </cell>
          <cell r="R52">
            <v>54</v>
          </cell>
          <cell r="S52">
            <v>0</v>
          </cell>
          <cell r="T52" t="str">
            <v>YUDO SUDOMO</v>
          </cell>
          <cell r="U52">
            <v>0</v>
          </cell>
          <cell r="V52" t="str">
            <v>(0287) 3872017</v>
          </cell>
          <cell r="W52" t="str">
            <v>SIGIT KARSENO</v>
          </cell>
          <cell r="X52">
            <v>0</v>
          </cell>
          <cell r="Y52" t="str">
            <v>NIP :19680424 199803 1011</v>
          </cell>
          <cell r="Z52" t="str">
            <v>Moh. Amirudin, S.IP, MM</v>
          </cell>
          <cell r="AA52" t="str">
            <v>Himawan T P, S.Sos</v>
          </cell>
          <cell r="AB52" t="str">
            <v>0000069601590003369</v>
          </cell>
          <cell r="AC52">
            <v>3086</v>
          </cell>
          <cell r="AD52">
            <v>7.6370199999999997</v>
          </cell>
          <cell r="AE52" t="str">
            <v>109,63014</v>
          </cell>
          <cell r="AF52" t="str">
            <v>Surat Keterangan Pejabat</v>
          </cell>
          <cell r="AG52" t="str">
            <v>Tidak Ada</v>
          </cell>
          <cell r="AH52" t="str">
            <v>GENTENG/USUK/RENG LAPUK</v>
          </cell>
          <cell r="AI52" t="str">
            <v>TANAH</v>
          </cell>
          <cell r="AJ52" t="str">
            <v>PAPAN/ BILIK BAMBU</v>
          </cell>
          <cell r="AK52" t="str">
            <v>GENTENG/USUK/RENG</v>
          </cell>
          <cell r="AL52">
            <v>88</v>
          </cell>
          <cell r="AM52" t="str">
            <v>RABAT BETON</v>
          </cell>
          <cell r="AN52">
            <v>54</v>
          </cell>
          <cell r="AO52" t="str">
            <v>BATA MERAH/ BATAKO</v>
          </cell>
          <cell r="AP52">
            <v>90</v>
          </cell>
          <cell r="AQ52" t="str">
            <v>Pengempon, ____ Oktober 2015</v>
          </cell>
          <cell r="AR52" t="str">
            <v>MU'MININ</v>
          </cell>
          <cell r="AS52" t="str">
            <v>BANTENG</v>
          </cell>
          <cell r="AT52" t="str">
            <v>MUNCUL BARU</v>
          </cell>
          <cell r="AU52" t="str">
            <v>Jl. Simpang lima Rt.3/Rw.1 Kec.Pejagoan</v>
          </cell>
          <cell r="AV52" t="str">
            <v>Mohamad Mansur</v>
          </cell>
          <cell r="AW52" t="str">
            <v>BTN KCP KEBUMEN</v>
          </cell>
          <cell r="AX52" t="str">
            <v>'00696</v>
          </cell>
          <cell r="AY52" t="str">
            <v>00696-01-50-000542-4</v>
          </cell>
        </row>
        <row r="53">
          <cell r="A53">
            <v>48</v>
          </cell>
          <cell r="B53" t="str">
            <v>ROHIMATUN</v>
          </cell>
          <cell r="C53" t="str">
            <v>P</v>
          </cell>
          <cell r="D53" t="str">
            <v>3305146002550003</v>
          </cell>
          <cell r="E53" t="str">
            <v>PENGEMPON RT 02/RW 04</v>
          </cell>
          <cell r="F53" t="str">
            <v>PENGEMPON</v>
          </cell>
          <cell r="G53" t="str">
            <v>SRUWENG</v>
          </cell>
          <cell r="H53" t="str">
            <v>KEBUMEN</v>
          </cell>
          <cell r="I53" t="str">
            <v>JAWA TENGAH</v>
          </cell>
          <cell r="J53">
            <v>15000000</v>
          </cell>
          <cell r="K53">
            <v>59</v>
          </cell>
          <cell r="L53" t="str">
            <v>BURUH HARIAN LEPAS</v>
          </cell>
          <cell r="M53">
            <v>450000</v>
          </cell>
          <cell r="N53">
            <v>0</v>
          </cell>
          <cell r="O53" t="str">
            <v>Tidak Layak</v>
          </cell>
          <cell r="P53" t="str">
            <v>Tidak Layak</v>
          </cell>
          <cell r="Q53" t="str">
            <v>Tidak Layak</v>
          </cell>
          <cell r="R53">
            <v>54</v>
          </cell>
          <cell r="S53">
            <v>0</v>
          </cell>
          <cell r="T53" t="str">
            <v>YUDO SUDOMO</v>
          </cell>
          <cell r="U53">
            <v>0</v>
          </cell>
          <cell r="V53" t="str">
            <v>(0287) 3872017</v>
          </cell>
          <cell r="W53" t="str">
            <v>SIGIT KARSENO</v>
          </cell>
          <cell r="X53">
            <v>0</v>
          </cell>
          <cell r="Y53" t="str">
            <v>NIP :19680424 199803 1011</v>
          </cell>
          <cell r="Z53" t="str">
            <v>Moh. Amirudin, S.IP, MM</v>
          </cell>
          <cell r="AA53" t="str">
            <v>Himawan T P, S.Sos</v>
          </cell>
          <cell r="AB53" t="str">
            <v>0000069601590005785</v>
          </cell>
          <cell r="AC53">
            <v>3086</v>
          </cell>
          <cell r="AD53">
            <v>7.6378700000000004</v>
          </cell>
          <cell r="AE53" t="str">
            <v>109,6282</v>
          </cell>
          <cell r="AF53" t="str">
            <v>Surat Keterangan Pejabat</v>
          </cell>
          <cell r="AG53" t="str">
            <v>Listrik</v>
          </cell>
          <cell r="AH53" t="str">
            <v>GENTENG/USUK/RENG LAPUK</v>
          </cell>
          <cell r="AI53" t="str">
            <v>TANAH</v>
          </cell>
          <cell r="AJ53" t="str">
            <v>PAPAN/ BILIK BAMBU</v>
          </cell>
          <cell r="AK53" t="str">
            <v>GENTENG/USUK/RENG</v>
          </cell>
          <cell r="AL53">
            <v>88</v>
          </cell>
          <cell r="AM53" t="str">
            <v>RABAT BETON</v>
          </cell>
          <cell r="AN53">
            <v>54</v>
          </cell>
          <cell r="AO53" t="str">
            <v>BATA MERAH/ BATAKO</v>
          </cell>
          <cell r="AP53">
            <v>90</v>
          </cell>
          <cell r="AQ53" t="str">
            <v>Pengempon, ____ Oktober 2015</v>
          </cell>
          <cell r="AR53" t="str">
            <v>MU'MININ</v>
          </cell>
          <cell r="AS53" t="str">
            <v>BANTENG</v>
          </cell>
          <cell r="AT53" t="str">
            <v>MUNCUL BARU</v>
          </cell>
          <cell r="AU53" t="str">
            <v>Jl. Simpang lima Rt.3/Rw.1 Kec.Pejagoan</v>
          </cell>
          <cell r="AV53" t="str">
            <v>Mohamad Mansur</v>
          </cell>
          <cell r="AW53" t="str">
            <v>BTN KCP KEBUMEN</v>
          </cell>
          <cell r="AX53" t="str">
            <v>'00696</v>
          </cell>
          <cell r="AY53" t="str">
            <v>00696-01-50-000542-4</v>
          </cell>
        </row>
        <row r="54">
          <cell r="A54">
            <v>49</v>
          </cell>
          <cell r="B54" t="str">
            <v>MASNGUDIN</v>
          </cell>
          <cell r="C54" t="str">
            <v>L</v>
          </cell>
          <cell r="D54" t="str">
            <v>3305141312670001</v>
          </cell>
          <cell r="E54" t="str">
            <v>PENGEMPON RT 02/RW 04</v>
          </cell>
          <cell r="F54" t="str">
            <v>PENGEMPON</v>
          </cell>
          <cell r="G54" t="str">
            <v>SRUWENG</v>
          </cell>
          <cell r="H54" t="str">
            <v>KEBUMEN</v>
          </cell>
          <cell r="I54" t="str">
            <v>JAWA TENGAH</v>
          </cell>
          <cell r="J54">
            <v>15000000</v>
          </cell>
          <cell r="K54">
            <v>47</v>
          </cell>
          <cell r="L54" t="str">
            <v>BURUH HARIAN LEPAS</v>
          </cell>
          <cell r="M54">
            <v>500000</v>
          </cell>
          <cell r="N54">
            <v>3</v>
          </cell>
          <cell r="O54" t="str">
            <v>Tidak Layak</v>
          </cell>
          <cell r="P54" t="str">
            <v>Tidak Layak</v>
          </cell>
          <cell r="Q54" t="str">
            <v>Tidak Layak</v>
          </cell>
          <cell r="R54">
            <v>54</v>
          </cell>
          <cell r="S54">
            <v>0</v>
          </cell>
          <cell r="T54" t="str">
            <v>YUDO SUDOMO</v>
          </cell>
          <cell r="U54">
            <v>0</v>
          </cell>
          <cell r="V54" t="str">
            <v>(0287) 3872017</v>
          </cell>
          <cell r="W54" t="str">
            <v>SIGIT KARSENO</v>
          </cell>
          <cell r="X54">
            <v>0</v>
          </cell>
          <cell r="Y54" t="str">
            <v>NIP :19680424 199803 1011</v>
          </cell>
          <cell r="Z54" t="str">
            <v>Moh. Amirudin, S.IP, MM</v>
          </cell>
          <cell r="AA54" t="str">
            <v>Himawan T P, S.Sos</v>
          </cell>
          <cell r="AB54" t="str">
            <v>0000069601590003351</v>
          </cell>
          <cell r="AC54">
            <v>3086</v>
          </cell>
          <cell r="AD54">
            <v>7.6375900000000003</v>
          </cell>
          <cell r="AE54" t="str">
            <v>109,62874</v>
          </cell>
          <cell r="AF54" t="str">
            <v>Surat Keterangan Pejabat</v>
          </cell>
          <cell r="AG54" t="str">
            <v>Mck</v>
          </cell>
          <cell r="AH54" t="str">
            <v>GENTENG/USUK/RENG LAPUK</v>
          </cell>
          <cell r="AI54" t="str">
            <v>TANAH</v>
          </cell>
          <cell r="AJ54" t="str">
            <v>PAPAN/ BILIK BAMBU</v>
          </cell>
          <cell r="AK54" t="str">
            <v>GENTENG/USUK/RENG</v>
          </cell>
          <cell r="AL54">
            <v>88</v>
          </cell>
          <cell r="AM54" t="str">
            <v>RABAT BETON</v>
          </cell>
          <cell r="AN54">
            <v>54</v>
          </cell>
          <cell r="AO54" t="str">
            <v>BATA MERAH/ BATAKO</v>
          </cell>
          <cell r="AP54">
            <v>90</v>
          </cell>
          <cell r="AQ54" t="str">
            <v>Pengempon, ____ Oktober 2015</v>
          </cell>
          <cell r="AR54" t="str">
            <v>MU'MININ</v>
          </cell>
          <cell r="AS54" t="str">
            <v>BANTENG</v>
          </cell>
          <cell r="AT54" t="str">
            <v>MUNCUL BARU</v>
          </cell>
          <cell r="AU54" t="str">
            <v>Jl. Simpang lima Rt.3/Rw.1 Kec.Pejagoan</v>
          </cell>
          <cell r="AV54" t="str">
            <v>Mohamad Mansur</v>
          </cell>
          <cell r="AW54" t="str">
            <v>BTN KCP KEBUMEN</v>
          </cell>
          <cell r="AX54" t="str">
            <v>'00696</v>
          </cell>
          <cell r="AY54" t="str">
            <v>00696-01-50-000542-4</v>
          </cell>
        </row>
        <row r="55">
          <cell r="A55">
            <v>50</v>
          </cell>
          <cell r="B55" t="str">
            <v>SALIMIN</v>
          </cell>
          <cell r="C55" t="str">
            <v>L</v>
          </cell>
          <cell r="D55" t="str">
            <v>3305143012470005</v>
          </cell>
          <cell r="E55" t="str">
            <v>PENGEMPON RT 02/RW 04</v>
          </cell>
          <cell r="F55" t="str">
            <v>PENGEMPON</v>
          </cell>
          <cell r="G55" t="str">
            <v>SRUWENG</v>
          </cell>
          <cell r="H55" t="str">
            <v>KEBUMEN</v>
          </cell>
          <cell r="I55" t="str">
            <v>JAWA TENGAH</v>
          </cell>
          <cell r="J55">
            <v>15000000</v>
          </cell>
          <cell r="K55">
            <v>67</v>
          </cell>
          <cell r="L55" t="str">
            <v>PETANI/PEKEBUN</v>
          </cell>
          <cell r="M55">
            <v>400000</v>
          </cell>
          <cell r="N55">
            <v>6</v>
          </cell>
          <cell r="O55" t="str">
            <v>Tidak Layak</v>
          </cell>
          <cell r="P55" t="str">
            <v>Tidak Layak</v>
          </cell>
          <cell r="Q55" t="str">
            <v>Tidak Layak</v>
          </cell>
          <cell r="R55">
            <v>72</v>
          </cell>
          <cell r="S55">
            <v>0</v>
          </cell>
          <cell r="T55" t="str">
            <v>YUDO SUDOMO</v>
          </cell>
          <cell r="U55">
            <v>0</v>
          </cell>
          <cell r="V55" t="str">
            <v>(0287) 3872017</v>
          </cell>
          <cell r="W55" t="str">
            <v>SIGIT KARSENO</v>
          </cell>
          <cell r="X55">
            <v>0</v>
          </cell>
          <cell r="Y55" t="str">
            <v>NIP :19680424 199803 1011</v>
          </cell>
          <cell r="Z55" t="str">
            <v>Moh. Amirudin, S.IP, MM</v>
          </cell>
          <cell r="AA55" t="str">
            <v>Himawan T P, S.Sos</v>
          </cell>
          <cell r="AB55" t="str">
            <v>0000069601590006422</v>
          </cell>
          <cell r="AC55">
            <v>3086</v>
          </cell>
          <cell r="AD55">
            <v>7.63748</v>
          </cell>
          <cell r="AE55" t="str">
            <v>109,62987</v>
          </cell>
          <cell r="AF55" t="str">
            <v>Surat Keterangan Pejabat</v>
          </cell>
          <cell r="AG55" t="str">
            <v>Tidak Ada</v>
          </cell>
          <cell r="AH55" t="str">
            <v>GENTENG/USUK/RENG LAPUK</v>
          </cell>
          <cell r="AI55" t="str">
            <v>TANAH</v>
          </cell>
          <cell r="AJ55" t="str">
            <v>PAPAN/ BILIK BAMBU</v>
          </cell>
          <cell r="AK55" t="str">
            <v>GENTENG/USUK/RENG</v>
          </cell>
          <cell r="AL55">
            <v>88</v>
          </cell>
          <cell r="AM55" t="str">
            <v>RABAT BETON</v>
          </cell>
          <cell r="AN55">
            <v>54</v>
          </cell>
          <cell r="AO55" t="str">
            <v>BATA MERAH/ BATAKO</v>
          </cell>
          <cell r="AP55">
            <v>90</v>
          </cell>
          <cell r="AQ55" t="str">
            <v>Pengempon, ____ Oktober 2015</v>
          </cell>
          <cell r="AR55" t="str">
            <v>MU'MININ</v>
          </cell>
          <cell r="AS55" t="str">
            <v>BANTENG</v>
          </cell>
          <cell r="AT55" t="str">
            <v>MUNCUL BARU</v>
          </cell>
          <cell r="AU55" t="str">
            <v>Jl. Simpang lima Rt.3/Rw.1 Kec.Pejagoan</v>
          </cell>
          <cell r="AV55" t="str">
            <v>Mohamad Mansur</v>
          </cell>
          <cell r="AW55" t="str">
            <v>BTN KCP KEBUMEN</v>
          </cell>
          <cell r="AX55" t="str">
            <v>'00696</v>
          </cell>
          <cell r="AY55" t="str">
            <v>00696-01-50-000542-4</v>
          </cell>
        </row>
        <row r="56">
          <cell r="A56">
            <v>51</v>
          </cell>
          <cell r="B56" t="str">
            <v>MU'MININ</v>
          </cell>
          <cell r="C56" t="str">
            <v>L</v>
          </cell>
          <cell r="D56" t="str">
            <v>3305140101630001</v>
          </cell>
          <cell r="E56" t="str">
            <v>PENGEMPON RT 02/RW 04</v>
          </cell>
          <cell r="F56" t="str">
            <v>PENGEMPON</v>
          </cell>
          <cell r="G56" t="str">
            <v>SRUWENG</v>
          </cell>
          <cell r="H56" t="str">
            <v>KEBUMEN</v>
          </cell>
          <cell r="I56" t="str">
            <v>JAWA TENGAH</v>
          </cell>
          <cell r="J56">
            <v>15000000</v>
          </cell>
          <cell r="K56">
            <v>51</v>
          </cell>
          <cell r="L56" t="str">
            <v>KARYAWAN SWASTA</v>
          </cell>
          <cell r="M56">
            <v>700000</v>
          </cell>
          <cell r="N56">
            <v>3</v>
          </cell>
          <cell r="O56" t="str">
            <v>Tidak Layak</v>
          </cell>
          <cell r="P56" t="str">
            <v>Tidak Layak</v>
          </cell>
          <cell r="Q56" t="str">
            <v>Tidak Layak</v>
          </cell>
          <cell r="R56">
            <v>72</v>
          </cell>
          <cell r="S56">
            <v>0</v>
          </cell>
          <cell r="T56" t="str">
            <v>YUDO SUDOMO</v>
          </cell>
          <cell r="U56">
            <v>0</v>
          </cell>
          <cell r="V56" t="str">
            <v>(0287) 3872017</v>
          </cell>
          <cell r="W56" t="str">
            <v>SIGIT KARSENO</v>
          </cell>
          <cell r="X56">
            <v>0</v>
          </cell>
          <cell r="Y56" t="str">
            <v>NIP :19680424 199803 1011</v>
          </cell>
          <cell r="Z56" t="str">
            <v>Moh. Amirudin, S.IP, MM</v>
          </cell>
          <cell r="AA56" t="str">
            <v>Himawan T P, S.Sos</v>
          </cell>
          <cell r="AB56" t="str">
            <v>0000069601590003759</v>
          </cell>
          <cell r="AC56">
            <v>3086</v>
          </cell>
          <cell r="AD56">
            <v>7.6364799999999997</v>
          </cell>
          <cell r="AE56" t="str">
            <v>109,63052</v>
          </cell>
          <cell r="AF56" t="str">
            <v>Surat Keterangan Pejabat</v>
          </cell>
          <cell r="AG56" t="str">
            <v>Listrik</v>
          </cell>
          <cell r="AH56" t="str">
            <v>GENTENG/USUK/RENG LAPUK</v>
          </cell>
          <cell r="AI56" t="str">
            <v>TANAH</v>
          </cell>
          <cell r="AJ56" t="str">
            <v>PAPAN/ BILIK BAMBU</v>
          </cell>
          <cell r="AK56" t="str">
            <v>GENTENG/USUK/RENG</v>
          </cell>
          <cell r="AL56">
            <v>88</v>
          </cell>
          <cell r="AM56" t="str">
            <v>RABAT BETON</v>
          </cell>
          <cell r="AN56">
            <v>54</v>
          </cell>
          <cell r="AO56" t="str">
            <v>BATA MERAH/ BATAKO</v>
          </cell>
          <cell r="AP56">
            <v>90</v>
          </cell>
          <cell r="AQ56" t="str">
            <v>Pengempon, ____ Oktober 2015</v>
          </cell>
          <cell r="AR56" t="str">
            <v>MU'MININ</v>
          </cell>
          <cell r="AS56" t="str">
            <v>BANTENG</v>
          </cell>
          <cell r="AT56" t="str">
            <v>MUNCUL BARU</v>
          </cell>
          <cell r="AU56" t="str">
            <v>Jl. Simpang lima Rt.3/Rw.1 Kec.Pejagoan</v>
          </cell>
          <cell r="AV56" t="str">
            <v>Mohamad Mansur</v>
          </cell>
          <cell r="AW56" t="str">
            <v>BTN KCP KEBUMEN</v>
          </cell>
          <cell r="AX56" t="str">
            <v>'00696</v>
          </cell>
          <cell r="AY56" t="str">
            <v>00696-01-50-000542-4</v>
          </cell>
        </row>
        <row r="57">
          <cell r="A57">
            <v>52</v>
          </cell>
          <cell r="B57" t="str">
            <v>ROJIKIN</v>
          </cell>
          <cell r="C57" t="str">
            <v>L</v>
          </cell>
          <cell r="D57" t="str">
            <v>3305141203630001</v>
          </cell>
          <cell r="E57" t="str">
            <v>PENGEMPON RT 02/RW 04</v>
          </cell>
          <cell r="F57" t="str">
            <v>PENGEMPON</v>
          </cell>
          <cell r="G57" t="str">
            <v>SRUWENG</v>
          </cell>
          <cell r="H57" t="str">
            <v>KEBUMEN</v>
          </cell>
          <cell r="I57" t="str">
            <v>JAWA TENGAH</v>
          </cell>
          <cell r="J57">
            <v>15000000</v>
          </cell>
          <cell r="K57">
            <v>51</v>
          </cell>
          <cell r="L57" t="str">
            <v>PETANI/PEKEBUN</v>
          </cell>
          <cell r="M57">
            <v>450000</v>
          </cell>
          <cell r="N57">
            <v>2</v>
          </cell>
          <cell r="O57" t="str">
            <v>Tidak Layak</v>
          </cell>
          <cell r="P57" t="str">
            <v>Tidak Layak</v>
          </cell>
          <cell r="Q57" t="str">
            <v>Tidak Layak</v>
          </cell>
          <cell r="R57">
            <v>72</v>
          </cell>
          <cell r="S57">
            <v>0</v>
          </cell>
          <cell r="T57" t="str">
            <v>YUDO SUDOMO</v>
          </cell>
          <cell r="U57">
            <v>0</v>
          </cell>
          <cell r="V57" t="str">
            <v>(0287) 3872017</v>
          </cell>
          <cell r="W57" t="str">
            <v>SIGIT KARSENO</v>
          </cell>
          <cell r="X57">
            <v>0</v>
          </cell>
          <cell r="Y57" t="str">
            <v>NIP :19680424 199803 1011</v>
          </cell>
          <cell r="Z57" t="str">
            <v>Moh. Amirudin, S.IP, MM</v>
          </cell>
          <cell r="AA57" t="str">
            <v>Himawan T P, S.Sos</v>
          </cell>
          <cell r="AB57" t="str">
            <v>0000069601590005808</v>
          </cell>
          <cell r="AC57">
            <v>3086</v>
          </cell>
          <cell r="AD57">
            <v>7.63706</v>
          </cell>
          <cell r="AE57" t="str">
            <v>109,63206</v>
          </cell>
          <cell r="AF57" t="str">
            <v>Surat Keterangan Pejabat</v>
          </cell>
          <cell r="AG57" t="str">
            <v>Tidak Ada</v>
          </cell>
          <cell r="AH57" t="str">
            <v>GENTENG/USUK/RENG LAPUK</v>
          </cell>
          <cell r="AI57" t="str">
            <v>TANAH</v>
          </cell>
          <cell r="AJ57" t="str">
            <v>PAPAN/ BILIK BAMBU</v>
          </cell>
          <cell r="AK57" t="str">
            <v>GENTENG/USUK/RENG</v>
          </cell>
          <cell r="AL57">
            <v>88</v>
          </cell>
          <cell r="AM57" t="str">
            <v>RABAT BETON</v>
          </cell>
          <cell r="AN57">
            <v>54</v>
          </cell>
          <cell r="AO57" t="str">
            <v>BATA MERAH/ BATAKO</v>
          </cell>
          <cell r="AP57">
            <v>90</v>
          </cell>
          <cell r="AQ57" t="str">
            <v>Pengempon, ____ Oktober 2015</v>
          </cell>
          <cell r="AR57" t="str">
            <v>MU'MININ</v>
          </cell>
          <cell r="AS57" t="str">
            <v>BANTENG</v>
          </cell>
          <cell r="AT57" t="str">
            <v>MUNCUL BARU</v>
          </cell>
          <cell r="AU57" t="str">
            <v>Jl. Simpang lima Rt.3/Rw.1 Kec.Pejagoan</v>
          </cell>
          <cell r="AV57" t="str">
            <v>Mohamad Mansur</v>
          </cell>
          <cell r="AW57" t="str">
            <v>BTN KCP KEBUMEN</v>
          </cell>
          <cell r="AX57" t="str">
            <v>'00696</v>
          </cell>
          <cell r="AY57" t="str">
            <v>00696-01-50-000542-4</v>
          </cell>
        </row>
        <row r="58">
          <cell r="A58">
            <v>53</v>
          </cell>
          <cell r="B58" t="str">
            <v>RIYATI</v>
          </cell>
          <cell r="C58" t="str">
            <v>P</v>
          </cell>
          <cell r="D58" t="str">
            <v>3305147011540001</v>
          </cell>
          <cell r="E58" t="str">
            <v>PENGEMPON RT 02/RW 04</v>
          </cell>
          <cell r="F58" t="str">
            <v>PENGEMPON</v>
          </cell>
          <cell r="G58" t="str">
            <v>SRUWENG</v>
          </cell>
          <cell r="H58" t="str">
            <v>KEBUMEN</v>
          </cell>
          <cell r="I58" t="str">
            <v>JAWA TENGAH</v>
          </cell>
          <cell r="J58">
            <v>15000000</v>
          </cell>
          <cell r="K58">
            <v>60</v>
          </cell>
          <cell r="L58" t="str">
            <v>MENGURUS RUMAH TANGGA</v>
          </cell>
          <cell r="M58">
            <v>425000</v>
          </cell>
          <cell r="N58">
            <v>4</v>
          </cell>
          <cell r="O58" t="str">
            <v>Tidak Layak</v>
          </cell>
          <cell r="P58" t="str">
            <v>Tidak Layak</v>
          </cell>
          <cell r="Q58" t="str">
            <v>Tidak Layak</v>
          </cell>
          <cell r="R58">
            <v>72</v>
          </cell>
          <cell r="S58">
            <v>0</v>
          </cell>
          <cell r="T58" t="str">
            <v>YUDO SUDOMO</v>
          </cell>
          <cell r="U58">
            <v>0</v>
          </cell>
          <cell r="V58" t="str">
            <v>(0287) 3872017</v>
          </cell>
          <cell r="W58" t="str">
            <v>SIGIT KARSENO</v>
          </cell>
          <cell r="X58">
            <v>0</v>
          </cell>
          <cell r="Y58" t="str">
            <v>NIP :19680424 199803 1011</v>
          </cell>
          <cell r="Z58" t="str">
            <v>Moh. Amirudin, S.IP, MM</v>
          </cell>
          <cell r="AA58" t="str">
            <v>Himawan T P, S.Sos</v>
          </cell>
          <cell r="AB58" t="str">
            <v>0000069601590005688</v>
          </cell>
          <cell r="AC58">
            <v>3086</v>
          </cell>
          <cell r="AD58">
            <v>7.6350699999999998</v>
          </cell>
          <cell r="AE58" t="str">
            <v>109,62965</v>
          </cell>
          <cell r="AF58" t="str">
            <v>Surat Keterangan Pejabat</v>
          </cell>
          <cell r="AG58" t="str">
            <v>Listrik</v>
          </cell>
          <cell r="AH58" t="str">
            <v>GENTENG/USUK/RENG LAPUK</v>
          </cell>
          <cell r="AI58" t="str">
            <v>TANAH</v>
          </cell>
          <cell r="AJ58" t="str">
            <v>PAPAN/ BILIK BAMBU</v>
          </cell>
          <cell r="AK58" t="str">
            <v>GENTENG/USUK/RENG</v>
          </cell>
          <cell r="AL58">
            <v>88</v>
          </cell>
          <cell r="AM58" t="str">
            <v>RABAT BETON</v>
          </cell>
          <cell r="AN58">
            <v>54</v>
          </cell>
          <cell r="AO58" t="str">
            <v>BATA MERAH/ BATAKO</v>
          </cell>
          <cell r="AP58">
            <v>90</v>
          </cell>
          <cell r="AQ58" t="str">
            <v>Pengempon, ____ Oktober 2015</v>
          </cell>
          <cell r="AR58" t="str">
            <v>MU'MININ</v>
          </cell>
          <cell r="AS58" t="str">
            <v>BANTENG</v>
          </cell>
          <cell r="AT58" t="str">
            <v>MUNCUL BARU</v>
          </cell>
          <cell r="AU58" t="str">
            <v>Jl. Simpang lima Rt.3/Rw.1 Kec.Pejagoan</v>
          </cell>
          <cell r="AV58" t="str">
            <v>Mohamad Mansur</v>
          </cell>
          <cell r="AW58" t="str">
            <v>BTN KCP KEBUMEN</v>
          </cell>
          <cell r="AX58" t="str">
            <v>'00696</v>
          </cell>
          <cell r="AY58" t="str">
            <v>00696-01-50-000542-4</v>
          </cell>
        </row>
        <row r="59">
          <cell r="A59">
            <v>54</v>
          </cell>
          <cell r="B59" t="str">
            <v>PAOZANUDIN</v>
          </cell>
          <cell r="C59" t="str">
            <v>L</v>
          </cell>
          <cell r="D59" t="str">
            <v>3305143101770001</v>
          </cell>
          <cell r="E59" t="str">
            <v>PENGEMPON RT 03/RW 04</v>
          </cell>
          <cell r="F59" t="str">
            <v>PENGEMPON</v>
          </cell>
          <cell r="G59" t="str">
            <v>SRUWENG</v>
          </cell>
          <cell r="H59" t="str">
            <v>KEBUMEN</v>
          </cell>
          <cell r="I59" t="str">
            <v>JAWA TENGAH</v>
          </cell>
          <cell r="J59">
            <v>15000000</v>
          </cell>
          <cell r="K59">
            <v>37</v>
          </cell>
          <cell r="L59" t="str">
            <v>BURUH HARIAN LEPAS</v>
          </cell>
          <cell r="M59">
            <v>750000</v>
          </cell>
          <cell r="N59">
            <v>4</v>
          </cell>
          <cell r="O59" t="str">
            <v>Tidak Layak</v>
          </cell>
          <cell r="P59" t="str">
            <v>Tidak Layak</v>
          </cell>
          <cell r="Q59" t="str">
            <v>Tidak Layak</v>
          </cell>
          <cell r="R59">
            <v>54</v>
          </cell>
          <cell r="S59">
            <v>0</v>
          </cell>
          <cell r="T59" t="str">
            <v>YUDO SUDOMO</v>
          </cell>
          <cell r="U59">
            <v>0</v>
          </cell>
          <cell r="V59" t="str">
            <v>(0287) 3872017</v>
          </cell>
          <cell r="W59" t="str">
            <v>SIGIT KARSENO</v>
          </cell>
          <cell r="X59">
            <v>0</v>
          </cell>
          <cell r="Y59" t="str">
            <v>NIP :19680424 199803 1011</v>
          </cell>
          <cell r="Z59" t="str">
            <v>Moh. Amirudin, S.IP, MM</v>
          </cell>
          <cell r="AA59" t="str">
            <v>Himawan T P, S.Sos</v>
          </cell>
          <cell r="AB59" t="str">
            <v>0000069601590004771</v>
          </cell>
          <cell r="AC59">
            <v>3086</v>
          </cell>
          <cell r="AD59">
            <v>7.6331800000000003</v>
          </cell>
          <cell r="AE59" t="str">
            <v>109,62956</v>
          </cell>
          <cell r="AF59" t="str">
            <v>Surat Keterangan Pejabat</v>
          </cell>
          <cell r="AG59" t="str">
            <v>Tidak Ada</v>
          </cell>
          <cell r="AH59" t="str">
            <v>GENTENG/USUK/RENG LAPUK</v>
          </cell>
          <cell r="AI59" t="str">
            <v>TANAH</v>
          </cell>
          <cell r="AJ59" t="str">
            <v>PAPAN/ BILIK BAMBU</v>
          </cell>
          <cell r="AK59" t="str">
            <v>GENTENG/USUK/RENG</v>
          </cell>
          <cell r="AL59">
            <v>88</v>
          </cell>
          <cell r="AM59" t="str">
            <v>RABAT BETON</v>
          </cell>
          <cell r="AN59">
            <v>54</v>
          </cell>
          <cell r="AO59" t="str">
            <v>BATA MERAH/ BATAKO</v>
          </cell>
          <cell r="AP59">
            <v>90</v>
          </cell>
          <cell r="AQ59" t="str">
            <v>Pengempon, ____ Oktober 2015</v>
          </cell>
          <cell r="AR59" t="str">
            <v>KHAMIDI</v>
          </cell>
          <cell r="AS59" t="str">
            <v>KEDUNG TAWANG</v>
          </cell>
          <cell r="AT59" t="str">
            <v>MUNCUL BARU</v>
          </cell>
          <cell r="AU59" t="str">
            <v>Jl. Simpang lima Rt.3/Rw.1 Kec.Pejagoan</v>
          </cell>
          <cell r="AV59" t="str">
            <v>Mohamad Mansur</v>
          </cell>
          <cell r="AW59" t="str">
            <v>BTN KCP KEBUMEN</v>
          </cell>
          <cell r="AX59" t="str">
            <v>'00696</v>
          </cell>
          <cell r="AY59" t="str">
            <v>00696-01-50-000542-4</v>
          </cell>
        </row>
        <row r="60">
          <cell r="A60">
            <v>55</v>
          </cell>
          <cell r="B60" t="str">
            <v>SAKUN</v>
          </cell>
          <cell r="C60" t="str">
            <v>L</v>
          </cell>
          <cell r="D60" t="str">
            <v>3305142012600003</v>
          </cell>
          <cell r="E60" t="str">
            <v>PENGEMPON RT 03/RW 04</v>
          </cell>
          <cell r="F60" t="str">
            <v>PENGEMPON</v>
          </cell>
          <cell r="G60" t="str">
            <v>SRUWENG</v>
          </cell>
          <cell r="H60" t="str">
            <v>KEBUMEN</v>
          </cell>
          <cell r="I60" t="str">
            <v>JAWA TENGAH</v>
          </cell>
          <cell r="J60">
            <v>15000000</v>
          </cell>
          <cell r="K60">
            <v>54</v>
          </cell>
          <cell r="L60" t="str">
            <v>BURUH HARIAN LEPAS</v>
          </cell>
          <cell r="M60">
            <v>500000</v>
          </cell>
          <cell r="N60">
            <v>4</v>
          </cell>
          <cell r="O60" t="str">
            <v>Tidak Layak</v>
          </cell>
          <cell r="P60" t="str">
            <v>Tidak Layak</v>
          </cell>
          <cell r="Q60" t="str">
            <v>Tidak Layak</v>
          </cell>
          <cell r="R60">
            <v>54</v>
          </cell>
          <cell r="S60">
            <v>0</v>
          </cell>
          <cell r="T60" t="str">
            <v>YUDO SUDOMO</v>
          </cell>
          <cell r="U60">
            <v>0</v>
          </cell>
          <cell r="V60" t="str">
            <v>(0287) 3872017</v>
          </cell>
          <cell r="W60" t="str">
            <v>SIGIT KARSENO</v>
          </cell>
          <cell r="X60">
            <v>0</v>
          </cell>
          <cell r="Y60" t="str">
            <v>NIP :19680424 199803 1011</v>
          </cell>
          <cell r="Z60" t="str">
            <v>Moh. Amirudin, S.IP, MM</v>
          </cell>
          <cell r="AA60" t="str">
            <v>Himawan T P, S.Sos</v>
          </cell>
          <cell r="AB60" t="str">
            <v>0000069601590006333</v>
          </cell>
          <cell r="AC60">
            <v>3086</v>
          </cell>
          <cell r="AD60">
            <v>7.6331600000000002</v>
          </cell>
          <cell r="AE60" t="str">
            <v>109,62912</v>
          </cell>
          <cell r="AF60" t="str">
            <v>Surat Keterangan Pejabat</v>
          </cell>
          <cell r="AG60" t="str">
            <v>Tidak Ada</v>
          </cell>
          <cell r="AH60" t="str">
            <v>GENTENG/USUK/RENG LAPUK</v>
          </cell>
          <cell r="AI60" t="str">
            <v>TANAH</v>
          </cell>
          <cell r="AJ60" t="str">
            <v>PAPAN/ BILIK BAMBU</v>
          </cell>
          <cell r="AK60" t="str">
            <v>GENTENG/USUK/RENG</v>
          </cell>
          <cell r="AL60">
            <v>88</v>
          </cell>
          <cell r="AM60" t="str">
            <v>RABAT BETON</v>
          </cell>
          <cell r="AN60">
            <v>54</v>
          </cell>
          <cell r="AO60" t="str">
            <v>BATA MERAH/ BATAKO</v>
          </cell>
          <cell r="AP60">
            <v>90</v>
          </cell>
          <cell r="AQ60" t="str">
            <v>Pengempon, ____ Oktober 2015</v>
          </cell>
          <cell r="AR60" t="str">
            <v xml:space="preserve">S0DIKIN </v>
          </cell>
          <cell r="AS60" t="str">
            <v>KLAPA SAWIT</v>
          </cell>
          <cell r="AT60" t="str">
            <v>MUNCUL BARU</v>
          </cell>
          <cell r="AU60" t="str">
            <v>Jl. Simpang lima Rt.3/Rw.1 Kec.Pejagoan</v>
          </cell>
          <cell r="AV60" t="str">
            <v>Mohamad Mansur</v>
          </cell>
          <cell r="AW60" t="str">
            <v>BTN KCP KEBUMEN</v>
          </cell>
          <cell r="AX60" t="str">
            <v>'00696</v>
          </cell>
          <cell r="AY60" t="str">
            <v>00696-01-50-000542-4</v>
          </cell>
        </row>
        <row r="61">
          <cell r="A61">
            <v>56</v>
          </cell>
          <cell r="B61" t="str">
            <v>KASMAN</v>
          </cell>
          <cell r="C61" t="str">
            <v>L</v>
          </cell>
          <cell r="D61" t="str">
            <v>3305143112320007</v>
          </cell>
          <cell r="E61" t="str">
            <v>PENGEMPON RT 03/RW 04</v>
          </cell>
          <cell r="F61" t="str">
            <v>PENGEMPON</v>
          </cell>
          <cell r="G61" t="str">
            <v>SRUWENG</v>
          </cell>
          <cell r="H61" t="str">
            <v>KEBUMEN</v>
          </cell>
          <cell r="I61" t="str">
            <v>JAWA TENGAH</v>
          </cell>
          <cell r="J61">
            <v>15000000</v>
          </cell>
          <cell r="K61">
            <v>82</v>
          </cell>
          <cell r="L61" t="str">
            <v>PETANI/PEKEBUN</v>
          </cell>
          <cell r="M61">
            <v>300000</v>
          </cell>
          <cell r="N61">
            <v>3</v>
          </cell>
          <cell r="O61" t="str">
            <v>Tidak Layak</v>
          </cell>
          <cell r="P61" t="str">
            <v>Tidak Layak</v>
          </cell>
          <cell r="Q61" t="str">
            <v>Tidak Layak</v>
          </cell>
          <cell r="R61">
            <v>72</v>
          </cell>
          <cell r="S61">
            <v>0</v>
          </cell>
          <cell r="T61" t="str">
            <v>YUDO SUDOMO</v>
          </cell>
          <cell r="U61">
            <v>0</v>
          </cell>
          <cell r="V61" t="str">
            <v>(0287) 3872017</v>
          </cell>
          <cell r="W61" t="str">
            <v>SIGIT KARSENO</v>
          </cell>
          <cell r="X61">
            <v>0</v>
          </cell>
          <cell r="Y61" t="str">
            <v>NIP :19680424 199803 1011</v>
          </cell>
          <cell r="Z61" t="str">
            <v>Moh. Amirudin, S.IP, MM</v>
          </cell>
          <cell r="AA61" t="str">
            <v>Himawan T P, S.Sos</v>
          </cell>
          <cell r="AB61" t="str">
            <v>0000069601590002054</v>
          </cell>
          <cell r="AC61">
            <v>3086</v>
          </cell>
          <cell r="AD61">
            <v>7.6340199999999996</v>
          </cell>
          <cell r="AE61" t="str">
            <v>109,62807</v>
          </cell>
          <cell r="AF61" t="str">
            <v>Surat Keterangan Pejabat</v>
          </cell>
          <cell r="AG61" t="str">
            <v>Listrik</v>
          </cell>
          <cell r="AH61" t="str">
            <v>GENTENG/USUK/RENG LAPUK</v>
          </cell>
          <cell r="AI61" t="str">
            <v>TANAH</v>
          </cell>
          <cell r="AJ61" t="str">
            <v>PAPAN/ BILIK BAMBU</v>
          </cell>
          <cell r="AK61" t="str">
            <v>GENTENG/USUK/RENG</v>
          </cell>
          <cell r="AL61">
            <v>88</v>
          </cell>
          <cell r="AM61" t="str">
            <v>RABAT BETON</v>
          </cell>
          <cell r="AN61">
            <v>54</v>
          </cell>
          <cell r="AO61" t="str">
            <v>BATA MERAH/ BATAKO</v>
          </cell>
          <cell r="AP61">
            <v>90</v>
          </cell>
          <cell r="AQ61" t="str">
            <v>Pengempon, ____ Oktober 2015</v>
          </cell>
          <cell r="AR61" t="str">
            <v>KHAMIDI</v>
          </cell>
          <cell r="AS61" t="str">
            <v>KEDUNG TAWANG</v>
          </cell>
          <cell r="AT61" t="str">
            <v>MUNCUL BARU</v>
          </cell>
          <cell r="AU61" t="str">
            <v>Jl. Simpang lima Rt.3/Rw.1 Kec.Pejagoan</v>
          </cell>
          <cell r="AV61" t="str">
            <v>Mohamad Mansur</v>
          </cell>
          <cell r="AW61" t="str">
            <v>BTN KCP KEBUMEN</v>
          </cell>
          <cell r="AX61" t="str">
            <v>'00696</v>
          </cell>
          <cell r="AY61" t="str">
            <v>00696-01-50-000542-4</v>
          </cell>
        </row>
        <row r="62">
          <cell r="A62">
            <v>57</v>
          </cell>
          <cell r="B62" t="str">
            <v>KHAMIDI</v>
          </cell>
          <cell r="C62" t="str">
            <v>L</v>
          </cell>
          <cell r="D62" t="str">
            <v>3305142210570001</v>
          </cell>
          <cell r="E62" t="str">
            <v>PENGEMPON RT 03/RW 04</v>
          </cell>
          <cell r="F62" t="str">
            <v>PENGEMPON</v>
          </cell>
          <cell r="G62" t="str">
            <v>SRUWENG</v>
          </cell>
          <cell r="H62" t="str">
            <v>KEBUMEN</v>
          </cell>
          <cell r="I62" t="str">
            <v>JAWA TENGAH</v>
          </cell>
          <cell r="J62">
            <v>15000000</v>
          </cell>
          <cell r="K62">
            <v>57</v>
          </cell>
          <cell r="L62" t="str">
            <v>BURUH HARIAN LEPAS</v>
          </cell>
          <cell r="M62">
            <v>550000</v>
          </cell>
          <cell r="N62">
            <v>9</v>
          </cell>
          <cell r="O62" t="str">
            <v>Tidak Layak</v>
          </cell>
          <cell r="P62" t="str">
            <v>Tidak Layak</v>
          </cell>
          <cell r="Q62" t="str">
            <v>Tidak Layak</v>
          </cell>
          <cell r="R62">
            <v>72</v>
          </cell>
          <cell r="S62">
            <v>0</v>
          </cell>
          <cell r="T62" t="str">
            <v>YUDO SUDOMO</v>
          </cell>
          <cell r="U62">
            <v>0</v>
          </cell>
          <cell r="V62" t="str">
            <v>(0287) 3872017</v>
          </cell>
          <cell r="W62" t="str">
            <v>SIGIT KARSENO</v>
          </cell>
          <cell r="X62">
            <v>0</v>
          </cell>
          <cell r="Y62" t="str">
            <v>NIP :19680424 199803 1011</v>
          </cell>
          <cell r="Z62" t="str">
            <v>Moh. Amirudin, S.IP, MM</v>
          </cell>
          <cell r="AA62" t="str">
            <v>Himawan T P, S.Sos</v>
          </cell>
          <cell r="AB62" t="str">
            <v>0000069601590002313</v>
          </cell>
          <cell r="AC62">
            <v>3086</v>
          </cell>
          <cell r="AD62">
            <v>7.6334</v>
          </cell>
          <cell r="AE62" t="str">
            <v>109,63059</v>
          </cell>
          <cell r="AF62" t="str">
            <v>Surat Keterangan Pejabat</v>
          </cell>
          <cell r="AG62" t="str">
            <v>Listrik</v>
          </cell>
          <cell r="AH62" t="str">
            <v>GENTENG/USUK/RENG LAPUK</v>
          </cell>
          <cell r="AI62" t="str">
            <v>TANAH</v>
          </cell>
          <cell r="AJ62" t="str">
            <v>PAPAN/ BILIK BAMBU</v>
          </cell>
          <cell r="AK62" t="str">
            <v>GENTENG/USUK/RENG</v>
          </cell>
          <cell r="AL62">
            <v>88</v>
          </cell>
          <cell r="AM62" t="str">
            <v>RABAT BETON</v>
          </cell>
          <cell r="AN62">
            <v>54</v>
          </cell>
          <cell r="AO62" t="str">
            <v>BATA MERAH/ BATAKO</v>
          </cell>
          <cell r="AP62">
            <v>90</v>
          </cell>
          <cell r="AQ62" t="str">
            <v>Pengempon, ____ Oktober 2015</v>
          </cell>
          <cell r="AR62" t="str">
            <v>KHAMIDI</v>
          </cell>
          <cell r="AS62" t="str">
            <v>KEDUNG TAWANG</v>
          </cell>
          <cell r="AT62" t="str">
            <v>MUNCUL BARU</v>
          </cell>
          <cell r="AU62" t="str">
            <v>Jl. Simpang lima Rt.3/Rw.1 Kec.Pejagoan</v>
          </cell>
          <cell r="AV62" t="str">
            <v>Mohamad Mansur</v>
          </cell>
          <cell r="AW62" t="str">
            <v>BTN KCP KEBUMEN</v>
          </cell>
          <cell r="AX62" t="str">
            <v>'00696</v>
          </cell>
          <cell r="AY62" t="str">
            <v>00696-01-50-000542-4</v>
          </cell>
        </row>
        <row r="63">
          <cell r="A63">
            <v>58</v>
          </cell>
          <cell r="B63" t="str">
            <v>PARIMI</v>
          </cell>
          <cell r="C63" t="str">
            <v>P</v>
          </cell>
          <cell r="D63" t="str">
            <v>3305144512650002</v>
          </cell>
          <cell r="E63" t="str">
            <v>PENGEMPON RT 03/RW 04</v>
          </cell>
          <cell r="F63" t="str">
            <v>PENGEMPON</v>
          </cell>
          <cell r="G63" t="str">
            <v>SRUWENG</v>
          </cell>
          <cell r="H63" t="str">
            <v>KEBUMEN</v>
          </cell>
          <cell r="I63" t="str">
            <v>JAWA TENGAH</v>
          </cell>
          <cell r="J63">
            <v>15000000</v>
          </cell>
          <cell r="K63">
            <v>49</v>
          </cell>
          <cell r="L63" t="str">
            <v>MENGURUS RUMAH TANGGA</v>
          </cell>
          <cell r="M63">
            <v>400000</v>
          </cell>
          <cell r="N63">
            <v>2</v>
          </cell>
          <cell r="O63" t="str">
            <v>Tidak Layak</v>
          </cell>
          <cell r="P63" t="str">
            <v>Tidak Layak</v>
          </cell>
          <cell r="Q63" t="str">
            <v>Tidak Layak</v>
          </cell>
          <cell r="R63">
            <v>54</v>
          </cell>
          <cell r="S63">
            <v>0</v>
          </cell>
          <cell r="T63" t="str">
            <v>YUDO SUDOMO</v>
          </cell>
          <cell r="U63">
            <v>0</v>
          </cell>
          <cell r="V63" t="str">
            <v>(0287) 3872017</v>
          </cell>
          <cell r="W63" t="str">
            <v>SIGIT KARSENO</v>
          </cell>
          <cell r="X63">
            <v>0</v>
          </cell>
          <cell r="Y63" t="str">
            <v>NIP :19680424 199803 1011</v>
          </cell>
          <cell r="Z63" t="str">
            <v>Moh. Amirudin, S.IP, MM</v>
          </cell>
          <cell r="AA63" t="str">
            <v>Himawan T P, S.Sos</v>
          </cell>
          <cell r="AB63" t="str">
            <v>0000069601590004789</v>
          </cell>
          <cell r="AC63">
            <v>3086</v>
          </cell>
          <cell r="AD63">
            <v>7.6323800000000004</v>
          </cell>
          <cell r="AE63" t="str">
            <v>109,62848</v>
          </cell>
          <cell r="AF63" t="str">
            <v>Surat Keterangan Pejabat</v>
          </cell>
          <cell r="AG63" t="str">
            <v>Listrik</v>
          </cell>
          <cell r="AH63" t="str">
            <v>GENTENG/USUK/RENG LAPUK</v>
          </cell>
          <cell r="AI63" t="str">
            <v>TANAH</v>
          </cell>
          <cell r="AJ63" t="str">
            <v>PAPAN/ BILIK BAMBU</v>
          </cell>
          <cell r="AK63" t="str">
            <v>GENTENG/USUK/RENG</v>
          </cell>
          <cell r="AL63">
            <v>88</v>
          </cell>
          <cell r="AM63" t="str">
            <v>RABAT BETON</v>
          </cell>
          <cell r="AN63">
            <v>54</v>
          </cell>
          <cell r="AO63" t="str">
            <v>BATA MERAH/ BATAKO</v>
          </cell>
          <cell r="AP63">
            <v>90</v>
          </cell>
          <cell r="AQ63" t="str">
            <v>Pengempon, ____ Oktober 2015</v>
          </cell>
          <cell r="AR63" t="str">
            <v xml:space="preserve">S0DIKIN </v>
          </cell>
          <cell r="AS63" t="str">
            <v>KLAPA SAWIT</v>
          </cell>
          <cell r="AT63" t="str">
            <v>MUNCUL BARU</v>
          </cell>
          <cell r="AU63" t="str">
            <v>Jl. Simpang lima Rt.3/Rw.1 Kec.Pejagoan</v>
          </cell>
          <cell r="AV63" t="str">
            <v>Mohamad Mansur</v>
          </cell>
          <cell r="AW63" t="str">
            <v>BTN KCP KEBUMEN</v>
          </cell>
          <cell r="AX63" t="str">
            <v>'00696</v>
          </cell>
          <cell r="AY63" t="str">
            <v>00696-01-50-000542-4</v>
          </cell>
        </row>
        <row r="64">
          <cell r="A64">
            <v>59</v>
          </cell>
          <cell r="B64" t="str">
            <v>SARKINAH</v>
          </cell>
          <cell r="C64" t="str">
            <v>P</v>
          </cell>
          <cell r="D64" t="str">
            <v>3305146304420001</v>
          </cell>
          <cell r="E64" t="str">
            <v>PENGEMPON RT 03/RW 04</v>
          </cell>
          <cell r="F64" t="str">
            <v>PENGEMPON</v>
          </cell>
          <cell r="G64" t="str">
            <v>SRUWENG</v>
          </cell>
          <cell r="H64" t="str">
            <v>KEBUMEN</v>
          </cell>
          <cell r="I64" t="str">
            <v>JAWA TENGAH</v>
          </cell>
          <cell r="J64">
            <v>15000000</v>
          </cell>
          <cell r="K64">
            <v>72</v>
          </cell>
          <cell r="L64" t="str">
            <v>PETANI/PEKEBUN</v>
          </cell>
          <cell r="M64">
            <v>400000</v>
          </cell>
          <cell r="N64">
            <v>3</v>
          </cell>
          <cell r="O64" t="str">
            <v>Tidak Layak</v>
          </cell>
          <cell r="P64" t="str">
            <v>Tidak Layak</v>
          </cell>
          <cell r="Q64" t="str">
            <v>Tidak Layak</v>
          </cell>
          <cell r="R64">
            <v>72</v>
          </cell>
          <cell r="S64">
            <v>0</v>
          </cell>
          <cell r="T64" t="str">
            <v>YUDO SUDOMO</v>
          </cell>
          <cell r="U64">
            <v>0</v>
          </cell>
          <cell r="V64" t="str">
            <v>(0287) 3872017</v>
          </cell>
          <cell r="W64" t="str">
            <v>SIGIT KARSENO</v>
          </cell>
          <cell r="X64">
            <v>0</v>
          </cell>
          <cell r="Y64" t="str">
            <v>NIP :19680424 199803 1011</v>
          </cell>
          <cell r="Z64" t="str">
            <v>Moh. Amirudin, S.IP, MM</v>
          </cell>
          <cell r="AA64" t="str">
            <v>Himawan T P, S.Sos</v>
          </cell>
          <cell r="AB64" t="str">
            <v>0000069601590007313</v>
          </cell>
          <cell r="AC64">
            <v>3086</v>
          </cell>
          <cell r="AD64">
            <v>7.6315900000000001</v>
          </cell>
          <cell r="AE64" t="str">
            <v>109,62958</v>
          </cell>
          <cell r="AF64" t="str">
            <v>Surat Keterangan Pejabat</v>
          </cell>
          <cell r="AG64" t="str">
            <v>Listrik &amp; Air Bersih &amp; MCK</v>
          </cell>
          <cell r="AH64" t="str">
            <v>GENTENG/USUK/RENG LAPUK</v>
          </cell>
          <cell r="AI64" t="str">
            <v>TANAH</v>
          </cell>
          <cell r="AJ64" t="str">
            <v>PAPAN/ BILIK BAMBU</v>
          </cell>
          <cell r="AK64" t="str">
            <v>GENTENG/USUK/RENG</v>
          </cell>
          <cell r="AL64">
            <v>88</v>
          </cell>
          <cell r="AM64" t="str">
            <v>RABAT BETON</v>
          </cell>
          <cell r="AN64">
            <v>54</v>
          </cell>
          <cell r="AO64" t="str">
            <v>BATA MERAH/ BATAKO</v>
          </cell>
          <cell r="AP64">
            <v>90</v>
          </cell>
          <cell r="AQ64" t="str">
            <v>Pengempon, ____ Oktober 2015</v>
          </cell>
          <cell r="AR64" t="str">
            <v xml:space="preserve">S0DIKIN </v>
          </cell>
          <cell r="AS64" t="str">
            <v>KLAPA SAWIT</v>
          </cell>
          <cell r="AT64" t="str">
            <v>MUNCUL BARU</v>
          </cell>
          <cell r="AU64" t="str">
            <v>Jl. Simpang lima Rt.3/Rw.1 Kec.Pejagoan</v>
          </cell>
          <cell r="AV64" t="str">
            <v>Mohamad Mansur</v>
          </cell>
          <cell r="AW64" t="str">
            <v>BTN KCP KEBUMEN</v>
          </cell>
          <cell r="AX64" t="str">
            <v>'00696</v>
          </cell>
          <cell r="AY64" t="str">
            <v>00696-01-50-000542-4</v>
          </cell>
        </row>
        <row r="65">
          <cell r="A65">
            <v>60</v>
          </cell>
          <cell r="B65" t="str">
            <v>TARSAN</v>
          </cell>
          <cell r="C65" t="str">
            <v>L</v>
          </cell>
          <cell r="D65" t="str">
            <v>3305140206440002</v>
          </cell>
          <cell r="E65" t="str">
            <v>PENGEMPON RT 03/RW 04</v>
          </cell>
          <cell r="F65" t="str">
            <v>PENGEMPON</v>
          </cell>
          <cell r="G65" t="str">
            <v>SRUWENG</v>
          </cell>
          <cell r="H65" t="str">
            <v>KEBUMEN</v>
          </cell>
          <cell r="I65" t="str">
            <v>JAWA TENGAH</v>
          </cell>
          <cell r="J65">
            <v>15000000</v>
          </cell>
          <cell r="K65">
            <v>70</v>
          </cell>
          <cell r="L65" t="str">
            <v>PETANI/PEKEBUN</v>
          </cell>
          <cell r="M65">
            <v>400000</v>
          </cell>
          <cell r="N65">
            <v>3</v>
          </cell>
          <cell r="O65" t="str">
            <v>Tidak Layak</v>
          </cell>
          <cell r="P65" t="str">
            <v>Tidak Layak</v>
          </cell>
          <cell r="Q65" t="str">
            <v>Tidak Layak</v>
          </cell>
          <cell r="R65">
            <v>72</v>
          </cell>
          <cell r="S65">
            <v>0</v>
          </cell>
          <cell r="T65" t="str">
            <v>YUDO SUDOMO</v>
          </cell>
          <cell r="U65">
            <v>0</v>
          </cell>
          <cell r="V65" t="str">
            <v>(0287) 3872017</v>
          </cell>
          <cell r="W65" t="str">
            <v>SIGIT KARSENO</v>
          </cell>
          <cell r="X65">
            <v>0</v>
          </cell>
          <cell r="Y65" t="str">
            <v>NIP :19680424 199803 1011</v>
          </cell>
          <cell r="Z65" t="str">
            <v>Moh. Amirudin, S.IP, MM</v>
          </cell>
          <cell r="AA65" t="str">
            <v>Himawan T P, S.Sos</v>
          </cell>
          <cell r="AB65" t="str">
            <v>0000069601590009577</v>
          </cell>
          <cell r="AC65">
            <v>3086</v>
          </cell>
          <cell r="AD65">
            <v>7.6324500000000004</v>
          </cell>
          <cell r="AE65" t="str">
            <v>109,62882</v>
          </cell>
          <cell r="AF65" t="str">
            <v>Surat Keterangan Pejabat</v>
          </cell>
          <cell r="AG65" t="str">
            <v>Listrik</v>
          </cell>
          <cell r="AH65" t="str">
            <v>GENTENG/USUK/RENG LAPUK</v>
          </cell>
          <cell r="AI65" t="str">
            <v>TANAH</v>
          </cell>
          <cell r="AJ65" t="str">
            <v>PAPAN/ BILIK BAMBU</v>
          </cell>
          <cell r="AK65" t="str">
            <v>GENTENG/USUK/RENG</v>
          </cell>
          <cell r="AL65">
            <v>88</v>
          </cell>
          <cell r="AM65" t="str">
            <v>RABAT BETON</v>
          </cell>
          <cell r="AN65">
            <v>54</v>
          </cell>
          <cell r="AO65" t="str">
            <v>BATA MERAH/ BATAKO</v>
          </cell>
          <cell r="AP65">
            <v>90</v>
          </cell>
          <cell r="AQ65" t="str">
            <v>Pengempon, ____ Oktober 2015</v>
          </cell>
          <cell r="AR65" t="str">
            <v xml:space="preserve">S0DIKIN </v>
          </cell>
          <cell r="AS65" t="str">
            <v>KLAPA SAWIT</v>
          </cell>
          <cell r="AT65" t="str">
            <v>MUNCUL BARU</v>
          </cell>
          <cell r="AU65" t="str">
            <v>Jl. Simpang lima Rt.3/Rw.1 Kec.Pejagoan</v>
          </cell>
          <cell r="AV65" t="str">
            <v>Mohamad Mansur</v>
          </cell>
          <cell r="AW65" t="str">
            <v>BTN KCP KEBUMEN</v>
          </cell>
          <cell r="AX65" t="str">
            <v>'00696</v>
          </cell>
          <cell r="AY65" t="str">
            <v>00696-01-50-000542-4</v>
          </cell>
        </row>
        <row r="66">
          <cell r="A66">
            <v>61</v>
          </cell>
          <cell r="B66" t="str">
            <v xml:space="preserve">SAMIRAH </v>
          </cell>
          <cell r="C66" t="str">
            <v>P</v>
          </cell>
          <cell r="D66" t="str">
            <v>3305146705470002</v>
          </cell>
          <cell r="E66" t="str">
            <v>PENGEMPON RT 03/RW 04</v>
          </cell>
          <cell r="F66" t="str">
            <v>PENGEMPON</v>
          </cell>
          <cell r="G66" t="str">
            <v>SRUWENG</v>
          </cell>
          <cell r="H66" t="str">
            <v>KEBUMEN</v>
          </cell>
          <cell r="I66" t="str">
            <v>JAWA TENGAH</v>
          </cell>
          <cell r="J66">
            <v>15000000</v>
          </cell>
          <cell r="K66">
            <v>67</v>
          </cell>
          <cell r="L66" t="str">
            <v>PETANI/PEKEBUN</v>
          </cell>
          <cell r="M66">
            <v>300000</v>
          </cell>
          <cell r="N66">
            <v>2</v>
          </cell>
          <cell r="O66" t="str">
            <v>Tidak Layak</v>
          </cell>
          <cell r="P66" t="str">
            <v>Tidak Layak</v>
          </cell>
          <cell r="Q66" t="str">
            <v>Tidak Layak</v>
          </cell>
          <cell r="R66">
            <v>72</v>
          </cell>
          <cell r="S66">
            <v>0</v>
          </cell>
          <cell r="T66" t="str">
            <v>YUDO SUDOMO</v>
          </cell>
          <cell r="U66">
            <v>0</v>
          </cell>
          <cell r="V66" t="str">
            <v>(0287) 3872017</v>
          </cell>
          <cell r="W66" t="str">
            <v>SIGIT KARSENO</v>
          </cell>
          <cell r="X66">
            <v>0</v>
          </cell>
          <cell r="Y66" t="str">
            <v>NIP :19680424 199803 1011</v>
          </cell>
          <cell r="Z66" t="str">
            <v>Moh. Amirudin, S.IP, MM</v>
          </cell>
          <cell r="AA66" t="str">
            <v>Himawan T P, S.Sos</v>
          </cell>
          <cell r="AB66" t="str">
            <v>0000069601590006668</v>
          </cell>
          <cell r="AC66">
            <v>3086</v>
          </cell>
          <cell r="AD66">
            <v>7.6320600000000001</v>
          </cell>
          <cell r="AE66" t="str">
            <v>109,63014</v>
          </cell>
          <cell r="AF66" t="str">
            <v>Surat Keterangan Pejabat</v>
          </cell>
          <cell r="AG66" t="str">
            <v>Tidak Ada</v>
          </cell>
          <cell r="AH66" t="str">
            <v>GENTENG/USUK/RENG LAPUK</v>
          </cell>
          <cell r="AI66" t="str">
            <v>TANAH</v>
          </cell>
          <cell r="AJ66" t="str">
            <v>PAPAN/ BILIK BAMBU</v>
          </cell>
          <cell r="AK66" t="str">
            <v>GENTENG/USUK/RENG</v>
          </cell>
          <cell r="AL66">
            <v>88</v>
          </cell>
          <cell r="AM66" t="str">
            <v>RABAT BETON</v>
          </cell>
          <cell r="AN66">
            <v>54</v>
          </cell>
          <cell r="AO66" t="str">
            <v>BATA MERAH/ BATAKO</v>
          </cell>
          <cell r="AP66">
            <v>90</v>
          </cell>
          <cell r="AQ66" t="str">
            <v>Pengempon, ____ Oktober 2015</v>
          </cell>
          <cell r="AR66" t="str">
            <v xml:space="preserve">S0DIKIN </v>
          </cell>
          <cell r="AS66" t="str">
            <v>KLAPA SAWIT</v>
          </cell>
          <cell r="AT66" t="str">
            <v>MUNCUL BARU</v>
          </cell>
          <cell r="AU66" t="str">
            <v>Jl. Simpang lima Rt.3/Rw.1 Kec.Pejagoan</v>
          </cell>
          <cell r="AV66" t="str">
            <v>Mohamad Mansur</v>
          </cell>
          <cell r="AW66" t="str">
            <v>BTN KCP KEBUMEN</v>
          </cell>
          <cell r="AX66" t="str">
            <v>'00696</v>
          </cell>
          <cell r="AY66" t="str">
            <v>00696-01-50-000542-4</v>
          </cell>
        </row>
        <row r="67">
          <cell r="A67">
            <v>62</v>
          </cell>
          <cell r="B67" t="str">
            <v>AHMAD IHSAN</v>
          </cell>
          <cell r="C67" t="str">
            <v>L</v>
          </cell>
          <cell r="D67" t="str">
            <v>3305141611840001</v>
          </cell>
          <cell r="E67" t="str">
            <v>PENGEMPON RT 03/RW 04</v>
          </cell>
          <cell r="F67" t="str">
            <v>PENGEMPON</v>
          </cell>
          <cell r="G67" t="str">
            <v>SRUWENG</v>
          </cell>
          <cell r="H67" t="str">
            <v>KEBUMEN</v>
          </cell>
          <cell r="I67" t="str">
            <v>JAWA TENGAH</v>
          </cell>
          <cell r="J67">
            <v>15000000</v>
          </cell>
          <cell r="K67">
            <v>30</v>
          </cell>
          <cell r="L67" t="str">
            <v>WIRASWASTA</v>
          </cell>
          <cell r="M67">
            <v>500000</v>
          </cell>
          <cell r="N67">
            <v>4</v>
          </cell>
          <cell r="O67" t="str">
            <v>Tidak Layak</v>
          </cell>
          <cell r="P67" t="str">
            <v>Tidak Layak</v>
          </cell>
          <cell r="Q67" t="str">
            <v>Tidak Layak</v>
          </cell>
          <cell r="R67">
            <v>36</v>
          </cell>
          <cell r="S67">
            <v>0</v>
          </cell>
          <cell r="T67" t="str">
            <v>YUDO SUDOMO</v>
          </cell>
          <cell r="U67">
            <v>0</v>
          </cell>
          <cell r="V67" t="str">
            <v>(0287) 3872017</v>
          </cell>
          <cell r="W67" t="str">
            <v>SIGIT KARSENO</v>
          </cell>
          <cell r="X67">
            <v>0</v>
          </cell>
          <cell r="Y67" t="str">
            <v>NIP :19680424 199803 1011</v>
          </cell>
          <cell r="Z67" t="str">
            <v>Moh. Amirudin, S.IP, MM</v>
          </cell>
          <cell r="AA67" t="str">
            <v>Himawan T P, S.Sos</v>
          </cell>
          <cell r="AB67" t="str">
            <v>0000069601590000272</v>
          </cell>
          <cell r="AC67">
            <v>3086</v>
          </cell>
          <cell r="AD67">
            <v>7.6345799999999997</v>
          </cell>
          <cell r="AE67" t="str">
            <v>109,62894</v>
          </cell>
          <cell r="AF67" t="str">
            <v>Surat Keterangan Pejabat</v>
          </cell>
          <cell r="AG67" t="str">
            <v>Listrik &amp; MCK</v>
          </cell>
          <cell r="AH67" t="str">
            <v>GENTENG/USUK/RENG LAPUK</v>
          </cell>
          <cell r="AI67" t="str">
            <v>TANAH</v>
          </cell>
          <cell r="AJ67" t="str">
            <v>PAPAN/ BILIK BAMBU</v>
          </cell>
          <cell r="AK67" t="str">
            <v>GENTENG/USUK/RENG</v>
          </cell>
          <cell r="AL67">
            <v>88</v>
          </cell>
          <cell r="AM67" t="str">
            <v>RABAT BETON</v>
          </cell>
          <cell r="AN67">
            <v>54</v>
          </cell>
          <cell r="AO67" t="str">
            <v>BATA MERAH/ BATAKO</v>
          </cell>
          <cell r="AP67">
            <v>90</v>
          </cell>
          <cell r="AQ67" t="str">
            <v>Pengempon, ____ Oktober 2015</v>
          </cell>
          <cell r="AR67" t="str">
            <v>KHAMIDI</v>
          </cell>
          <cell r="AS67" t="str">
            <v>KEDUNG TAWANG</v>
          </cell>
          <cell r="AT67" t="str">
            <v>MUNCUL BARU</v>
          </cell>
          <cell r="AU67" t="str">
            <v>Jl. Simpang lima Rt.3/Rw.1 Kec.Pejagoan</v>
          </cell>
          <cell r="AV67" t="str">
            <v>Mohamad Mansur</v>
          </cell>
          <cell r="AW67" t="str">
            <v>BTN KCP KEBUMEN</v>
          </cell>
          <cell r="AX67" t="str">
            <v>'00696</v>
          </cell>
          <cell r="AY67" t="str">
            <v>00696-01-50-000542-4</v>
          </cell>
        </row>
        <row r="68">
          <cell r="A68">
            <v>63</v>
          </cell>
          <cell r="B68" t="str">
            <v>MAHMUDIN</v>
          </cell>
          <cell r="C68" t="str">
            <v>L</v>
          </cell>
          <cell r="D68" t="str">
            <v>3305141205750002</v>
          </cell>
          <cell r="E68" t="str">
            <v>PENGEMPON RT 03/RW 04</v>
          </cell>
          <cell r="F68" t="str">
            <v>PENGEMPON</v>
          </cell>
          <cell r="G68" t="str">
            <v>SRUWENG</v>
          </cell>
          <cell r="H68" t="str">
            <v>KEBUMEN</v>
          </cell>
          <cell r="I68" t="str">
            <v>JAWA TENGAH</v>
          </cell>
          <cell r="J68">
            <v>15000000</v>
          </cell>
          <cell r="K68">
            <v>39</v>
          </cell>
          <cell r="L68" t="str">
            <v>BURUH HARIAN LEPAS</v>
          </cell>
          <cell r="M68">
            <v>500000</v>
          </cell>
          <cell r="N68">
            <v>3</v>
          </cell>
          <cell r="O68" t="str">
            <v>Tidak Layak</v>
          </cell>
          <cell r="P68" t="str">
            <v>Tidak Layak</v>
          </cell>
          <cell r="Q68" t="str">
            <v>Tidak Layak</v>
          </cell>
          <cell r="R68">
            <v>72</v>
          </cell>
          <cell r="S68">
            <v>0</v>
          </cell>
          <cell r="T68" t="str">
            <v>YUDO SUDOMO</v>
          </cell>
          <cell r="U68">
            <v>0</v>
          </cell>
          <cell r="V68" t="str">
            <v>(0287) 3872017</v>
          </cell>
          <cell r="W68" t="str">
            <v>SIGIT KARSENO</v>
          </cell>
          <cell r="X68">
            <v>0</v>
          </cell>
          <cell r="Y68" t="str">
            <v>NIP :19680424 199803 1011</v>
          </cell>
          <cell r="Z68" t="str">
            <v>Moh. Amirudin, S.IP, MM</v>
          </cell>
          <cell r="AA68" t="str">
            <v>Himawan T P, S.Sos</v>
          </cell>
          <cell r="AB68" t="str">
            <v>0000069601590003068</v>
          </cell>
          <cell r="AC68">
            <v>3086</v>
          </cell>
          <cell r="AD68">
            <v>7.6314099999999998</v>
          </cell>
          <cell r="AE68" t="str">
            <v>109,62974</v>
          </cell>
          <cell r="AF68" t="str">
            <v>Surat Keterangan Pejabat</v>
          </cell>
          <cell r="AG68" t="str">
            <v>Tidak Ada</v>
          </cell>
          <cell r="AH68" t="str">
            <v>GENTENG/USUK/RENG LAPUK</v>
          </cell>
          <cell r="AI68" t="str">
            <v>TANAH</v>
          </cell>
          <cell r="AJ68" t="str">
            <v>PAPAN/ BILIK BAMBU</v>
          </cell>
          <cell r="AK68" t="str">
            <v>GENTENG/USUK/RENG</v>
          </cell>
          <cell r="AL68">
            <v>88</v>
          </cell>
          <cell r="AM68" t="str">
            <v>RABAT BETON</v>
          </cell>
          <cell r="AN68">
            <v>54</v>
          </cell>
          <cell r="AO68" t="str">
            <v>BATA MERAH/ BATAKO</v>
          </cell>
          <cell r="AP68">
            <v>90</v>
          </cell>
          <cell r="AQ68" t="str">
            <v>Pengempon, ____ Oktober 2015</v>
          </cell>
          <cell r="AR68" t="str">
            <v xml:space="preserve">S0DIKIN </v>
          </cell>
          <cell r="AS68" t="str">
            <v>KLAPA SAWIT</v>
          </cell>
          <cell r="AT68" t="str">
            <v>MUNCUL BARU</v>
          </cell>
          <cell r="AU68" t="str">
            <v>Jl. Simpang lima Rt.3/Rw.1 Kec.Pejagoan</v>
          </cell>
          <cell r="AV68" t="str">
            <v>Mohamad Mansur</v>
          </cell>
          <cell r="AW68" t="str">
            <v>BTN KCP KEBUMEN</v>
          </cell>
          <cell r="AX68" t="str">
            <v>'00696</v>
          </cell>
          <cell r="AY68" t="str">
            <v>00696-01-50-000542-4</v>
          </cell>
        </row>
        <row r="69">
          <cell r="A69">
            <v>64</v>
          </cell>
          <cell r="B69" t="str">
            <v>SALIMIN</v>
          </cell>
          <cell r="C69" t="str">
            <v>L</v>
          </cell>
          <cell r="D69" t="str">
            <v>3305143112600002</v>
          </cell>
          <cell r="E69" t="str">
            <v>PENGEMPON RT 03/RW 04</v>
          </cell>
          <cell r="F69" t="str">
            <v>PENGEMPON</v>
          </cell>
          <cell r="G69" t="str">
            <v>SRUWENG</v>
          </cell>
          <cell r="H69" t="str">
            <v>KEBUMEN</v>
          </cell>
          <cell r="I69" t="str">
            <v>JAWA TENGAH</v>
          </cell>
          <cell r="J69">
            <v>15000000</v>
          </cell>
          <cell r="K69">
            <v>54</v>
          </cell>
          <cell r="L69" t="str">
            <v>BURUH HARIAN LEPAS</v>
          </cell>
          <cell r="M69">
            <v>400000</v>
          </cell>
          <cell r="N69">
            <v>8</v>
          </cell>
          <cell r="O69" t="str">
            <v>Tidak Layak</v>
          </cell>
          <cell r="P69" t="str">
            <v>Tidak Layak</v>
          </cell>
          <cell r="Q69" t="str">
            <v>Tidak Layak</v>
          </cell>
          <cell r="R69">
            <v>72</v>
          </cell>
          <cell r="S69">
            <v>0</v>
          </cell>
          <cell r="T69" t="str">
            <v>YUDO SUDOMO</v>
          </cell>
          <cell r="U69">
            <v>0</v>
          </cell>
          <cell r="V69" t="str">
            <v>(0287) 3872017</v>
          </cell>
          <cell r="W69" t="str">
            <v>SIGIT KARSENO</v>
          </cell>
          <cell r="X69">
            <v>0</v>
          </cell>
          <cell r="Y69" t="str">
            <v>NIP :19680424 199803 1011</v>
          </cell>
          <cell r="Z69" t="str">
            <v>Moh. Amirudin, S.IP, MM</v>
          </cell>
          <cell r="AA69" t="str">
            <v>Himawan T P, S.Sos</v>
          </cell>
          <cell r="AB69" t="str">
            <v>0000069601590006430</v>
          </cell>
          <cell r="AC69">
            <v>3086</v>
          </cell>
          <cell r="AD69">
            <v>7.6322200000000002</v>
          </cell>
          <cell r="AE69" t="str">
            <v>109,6287</v>
          </cell>
          <cell r="AF69" t="str">
            <v>Surat Keterangan Pejabat</v>
          </cell>
          <cell r="AG69" t="str">
            <v>Tidak Ada</v>
          </cell>
          <cell r="AH69" t="str">
            <v>GENTENG/USUK/RENG LAPUK</v>
          </cell>
          <cell r="AI69" t="str">
            <v>TANAH</v>
          </cell>
          <cell r="AJ69" t="str">
            <v>PAPAN/ BILIK BAMBU</v>
          </cell>
          <cell r="AK69" t="str">
            <v>GENTENG/USUK/RENG</v>
          </cell>
          <cell r="AL69">
            <v>88</v>
          </cell>
          <cell r="AM69" t="str">
            <v>RABAT BETON</v>
          </cell>
          <cell r="AN69">
            <v>54</v>
          </cell>
          <cell r="AO69" t="str">
            <v>BATA MERAH/ BATAKO</v>
          </cell>
          <cell r="AP69">
            <v>90</v>
          </cell>
          <cell r="AQ69" t="str">
            <v>Pengempon, ____ Oktober 2015</v>
          </cell>
          <cell r="AR69" t="str">
            <v xml:space="preserve">S0DIKIN </v>
          </cell>
          <cell r="AS69" t="str">
            <v>KLAPA SAWIT</v>
          </cell>
          <cell r="AT69" t="str">
            <v>MUNCUL BARU</v>
          </cell>
          <cell r="AU69" t="str">
            <v>Jl. Simpang lima Rt.3/Rw.1 Kec.Pejagoan</v>
          </cell>
          <cell r="AV69" t="str">
            <v>Mohamad Mansur</v>
          </cell>
          <cell r="AW69" t="str">
            <v>BTN KCP KEBUMEN</v>
          </cell>
          <cell r="AX69" t="str">
            <v>'00696</v>
          </cell>
          <cell r="AY69" t="str">
            <v>00696-01-50-000542-4</v>
          </cell>
        </row>
        <row r="70">
          <cell r="A70">
            <v>65</v>
          </cell>
          <cell r="B70" t="str">
            <v>NUR FATIMAH AZAHRA</v>
          </cell>
          <cell r="C70" t="str">
            <v>P</v>
          </cell>
          <cell r="D70" t="str">
            <v>3305145302880004</v>
          </cell>
          <cell r="E70" t="str">
            <v>PENGEMPON RT 03/RW 04</v>
          </cell>
          <cell r="F70" t="str">
            <v>PENGEMPON</v>
          </cell>
          <cell r="G70" t="str">
            <v>SRUWENG</v>
          </cell>
          <cell r="H70" t="str">
            <v>KEBUMEN</v>
          </cell>
          <cell r="I70" t="str">
            <v>JAWA TENGAH</v>
          </cell>
          <cell r="J70">
            <v>15000000</v>
          </cell>
          <cell r="K70">
            <v>26</v>
          </cell>
          <cell r="L70" t="str">
            <v>BURUH HARIAN LEPAS</v>
          </cell>
          <cell r="M70">
            <v>750000</v>
          </cell>
          <cell r="N70">
            <v>2</v>
          </cell>
          <cell r="O70" t="str">
            <v>Tidak Layak</v>
          </cell>
          <cell r="P70" t="str">
            <v>Tidak Layak</v>
          </cell>
          <cell r="Q70" t="str">
            <v>Tidak Layak</v>
          </cell>
          <cell r="R70">
            <v>54</v>
          </cell>
          <cell r="S70">
            <v>0</v>
          </cell>
          <cell r="T70" t="str">
            <v>YUDO SUDOMO</v>
          </cell>
          <cell r="U70">
            <v>0</v>
          </cell>
          <cell r="V70" t="str">
            <v>(0287) 3872017</v>
          </cell>
          <cell r="W70" t="str">
            <v>SIGIT KARSENO</v>
          </cell>
          <cell r="X70">
            <v>0</v>
          </cell>
          <cell r="Y70" t="str">
            <v>NIP :19680424 199803 1011</v>
          </cell>
          <cell r="Z70" t="str">
            <v>Moh. Amirudin, S.IP, MM</v>
          </cell>
          <cell r="AA70" t="str">
            <v>Himawan T P, S.Sos</v>
          </cell>
          <cell r="AB70" t="str">
            <v>0000069601590004569</v>
          </cell>
          <cell r="AC70">
            <v>3086</v>
          </cell>
          <cell r="AD70">
            <v>7.6329700000000003</v>
          </cell>
          <cell r="AE70" t="str">
            <v>109,62898</v>
          </cell>
          <cell r="AF70" t="str">
            <v>Surat Keterangan Pejabat</v>
          </cell>
          <cell r="AG70" t="str">
            <v>Listrik</v>
          </cell>
          <cell r="AH70" t="str">
            <v>GENTENG/USUK/RENG LAPUK</v>
          </cell>
          <cell r="AI70" t="str">
            <v>TANAH</v>
          </cell>
          <cell r="AJ70" t="str">
            <v>PAPAN/ BILIK BAMBU</v>
          </cell>
          <cell r="AK70" t="str">
            <v>GENTENG/USUK/RENG</v>
          </cell>
          <cell r="AL70">
            <v>88</v>
          </cell>
          <cell r="AM70" t="str">
            <v>RABAT BETON</v>
          </cell>
          <cell r="AN70">
            <v>54</v>
          </cell>
          <cell r="AO70" t="str">
            <v>BATA MERAH/ BATAKO</v>
          </cell>
          <cell r="AP70">
            <v>90</v>
          </cell>
          <cell r="AQ70" t="str">
            <v>Pengempon, ____ Oktober 2015</v>
          </cell>
          <cell r="AR70" t="str">
            <v xml:space="preserve">S0DIKIN </v>
          </cell>
          <cell r="AS70" t="str">
            <v>KLAPA SAWIT</v>
          </cell>
          <cell r="AT70" t="str">
            <v>MUNCUL BARU</v>
          </cell>
          <cell r="AU70" t="str">
            <v>Jl. Simpang lima Rt.3/Rw.1 Kec.Pejagoan</v>
          </cell>
          <cell r="AV70" t="str">
            <v>Mohamad Mansur</v>
          </cell>
          <cell r="AW70" t="str">
            <v>BTN KCP KEBUMEN</v>
          </cell>
          <cell r="AX70" t="str">
            <v>'00696</v>
          </cell>
          <cell r="AY70" t="str">
            <v>00696-01-50-000542-4</v>
          </cell>
        </row>
        <row r="71">
          <cell r="A71">
            <v>66</v>
          </cell>
          <cell r="B71" t="str">
            <v>SUNARTO</v>
          </cell>
          <cell r="C71" t="str">
            <v>L</v>
          </cell>
          <cell r="D71" t="str">
            <v>3305143112650016</v>
          </cell>
          <cell r="E71" t="str">
            <v>PENGEMPON RT 03/RW 04</v>
          </cell>
          <cell r="F71" t="str">
            <v>PENGEMPON</v>
          </cell>
          <cell r="G71" t="str">
            <v>SRUWENG</v>
          </cell>
          <cell r="H71" t="str">
            <v>KEBUMEN</v>
          </cell>
          <cell r="I71" t="str">
            <v>JAWA TENGAH</v>
          </cell>
          <cell r="J71">
            <v>15000000</v>
          </cell>
          <cell r="K71">
            <v>49</v>
          </cell>
          <cell r="L71" t="str">
            <v>BURUH HARIAN LEPAS</v>
          </cell>
          <cell r="M71">
            <v>750000</v>
          </cell>
          <cell r="N71">
            <v>6</v>
          </cell>
          <cell r="O71" t="str">
            <v>Tidak Layak</v>
          </cell>
          <cell r="P71" t="str">
            <v>Tidak Layak</v>
          </cell>
          <cell r="Q71" t="str">
            <v>Tidak Layak</v>
          </cell>
          <cell r="R71">
            <v>36</v>
          </cell>
          <cell r="S71">
            <v>0</v>
          </cell>
          <cell r="T71" t="str">
            <v>YUDO SUDOMO</v>
          </cell>
          <cell r="U71">
            <v>0</v>
          </cell>
          <cell r="V71" t="str">
            <v>(0287) 3872017</v>
          </cell>
          <cell r="W71" t="str">
            <v>SIGIT KARSENO</v>
          </cell>
          <cell r="X71">
            <v>0</v>
          </cell>
          <cell r="Y71" t="str">
            <v>NIP :19680424 199803 1011</v>
          </cell>
          <cell r="Z71" t="str">
            <v>Moh. Amirudin, S.IP, MM</v>
          </cell>
          <cell r="AA71" t="str">
            <v>Himawan T P, S.Sos</v>
          </cell>
          <cell r="AB71" t="str">
            <v>0000069601590009006</v>
          </cell>
          <cell r="AC71">
            <v>3086</v>
          </cell>
          <cell r="AD71">
            <v>7.6318200000000003</v>
          </cell>
          <cell r="AE71" t="str">
            <v>109,63009</v>
          </cell>
          <cell r="AF71" t="str">
            <v>Surat Keterangan Pejabat</v>
          </cell>
          <cell r="AG71" t="str">
            <v>Tidak Ada</v>
          </cell>
          <cell r="AH71" t="str">
            <v>GENTENG/USUK/RENG LAPUK</v>
          </cell>
          <cell r="AI71" t="str">
            <v>TANAH</v>
          </cell>
          <cell r="AJ71" t="str">
            <v>PAPAN/ BILIK BAMBU</v>
          </cell>
          <cell r="AK71" t="str">
            <v>GENTENG/USUK/RENG</v>
          </cell>
          <cell r="AL71">
            <v>88</v>
          </cell>
          <cell r="AM71" t="str">
            <v>RABAT BETON</v>
          </cell>
          <cell r="AN71">
            <v>54</v>
          </cell>
          <cell r="AO71" t="str">
            <v>BATA MERAH/ BATAKO</v>
          </cell>
          <cell r="AP71">
            <v>90</v>
          </cell>
          <cell r="AQ71" t="str">
            <v>Pengempon, ____ Oktober 2015</v>
          </cell>
          <cell r="AR71" t="str">
            <v xml:space="preserve">S0DIKIN </v>
          </cell>
          <cell r="AS71" t="str">
            <v>KLAPA SAWIT</v>
          </cell>
          <cell r="AT71" t="str">
            <v>MUNCUL BARU</v>
          </cell>
          <cell r="AU71" t="str">
            <v>Jl. Simpang lima Rt.3/Rw.1 Kec.Pejagoan</v>
          </cell>
          <cell r="AV71" t="str">
            <v>Mohamad Mansur</v>
          </cell>
          <cell r="AW71" t="str">
            <v>BTN KCP KEBUMEN</v>
          </cell>
          <cell r="AX71" t="str">
            <v>'00696</v>
          </cell>
          <cell r="AY71" t="str">
            <v>00696-01-50-000542-4</v>
          </cell>
        </row>
        <row r="72">
          <cell r="A72">
            <v>67</v>
          </cell>
          <cell r="B72" t="str">
            <v>DULSALAM</v>
          </cell>
          <cell r="C72" t="str">
            <v>L</v>
          </cell>
          <cell r="D72" t="str">
            <v>3305143011270002</v>
          </cell>
          <cell r="E72" t="str">
            <v>PENGEMPON RT 03/RW 04</v>
          </cell>
          <cell r="F72" t="str">
            <v>PENGEMPON</v>
          </cell>
          <cell r="G72" t="str">
            <v>SRUWENG</v>
          </cell>
          <cell r="H72" t="str">
            <v>KEBUMEN</v>
          </cell>
          <cell r="I72" t="str">
            <v>JAWA TENGAH</v>
          </cell>
          <cell r="J72">
            <v>15000000</v>
          </cell>
          <cell r="K72">
            <v>87</v>
          </cell>
          <cell r="L72" t="str">
            <v>PETANI/PEKEBUN</v>
          </cell>
          <cell r="M72">
            <v>400000</v>
          </cell>
          <cell r="N72">
            <v>1</v>
          </cell>
          <cell r="O72" t="str">
            <v>Tidak Layak</v>
          </cell>
          <cell r="P72" t="str">
            <v>Tidak Layak</v>
          </cell>
          <cell r="Q72" t="str">
            <v>Tidak Layak</v>
          </cell>
          <cell r="R72">
            <v>54</v>
          </cell>
          <cell r="S72">
            <v>0</v>
          </cell>
          <cell r="T72" t="str">
            <v>YUDO SUDOMO</v>
          </cell>
          <cell r="U72">
            <v>0</v>
          </cell>
          <cell r="V72" t="str">
            <v>(0287) 3872017</v>
          </cell>
          <cell r="W72" t="str">
            <v>SIGIT KARSENO</v>
          </cell>
          <cell r="X72">
            <v>0</v>
          </cell>
          <cell r="Y72" t="str">
            <v>NIP :19680424 199803 1011</v>
          </cell>
          <cell r="Z72" t="str">
            <v>Moh. Amirudin, S.IP, MM</v>
          </cell>
          <cell r="AA72" t="str">
            <v>Himawan T P, S.Sos</v>
          </cell>
          <cell r="AB72" t="str">
            <v>0000069601590001082</v>
          </cell>
          <cell r="AC72">
            <v>3086</v>
          </cell>
          <cell r="AD72">
            <v>7.6321500000000002</v>
          </cell>
          <cell r="AE72" t="str">
            <v>109,63004</v>
          </cell>
          <cell r="AF72" t="str">
            <v>Surat Keterangan Pejabat</v>
          </cell>
          <cell r="AG72" t="str">
            <v>Tidak Ada</v>
          </cell>
          <cell r="AH72" t="str">
            <v>GENTENG/USUK/RENG LAPUK</v>
          </cell>
          <cell r="AI72" t="str">
            <v>TANAH</v>
          </cell>
          <cell r="AJ72" t="str">
            <v>PAPAN/ BILIK BAMBU</v>
          </cell>
          <cell r="AK72" t="str">
            <v>GENTENG/USUK/RENG</v>
          </cell>
          <cell r="AL72">
            <v>88</v>
          </cell>
          <cell r="AM72" t="str">
            <v>RABAT BETON</v>
          </cell>
          <cell r="AN72">
            <v>54</v>
          </cell>
          <cell r="AO72" t="str">
            <v>BATA MERAH/ BATAKO</v>
          </cell>
          <cell r="AP72">
            <v>90</v>
          </cell>
          <cell r="AQ72" t="str">
            <v>Pengempon, ____ Oktober 2015</v>
          </cell>
          <cell r="AR72" t="str">
            <v xml:space="preserve">S0DIKIN </v>
          </cell>
          <cell r="AS72" t="str">
            <v>KLAPA SAWIT</v>
          </cell>
          <cell r="AT72" t="str">
            <v>MUNCUL BARU</v>
          </cell>
          <cell r="AU72" t="str">
            <v>Jl. Simpang lima Rt.3/Rw.1 Kec.Pejagoan</v>
          </cell>
          <cell r="AV72" t="str">
            <v>Mohamad Mansur</v>
          </cell>
          <cell r="AW72" t="str">
            <v>BTN KCP KEBUMEN</v>
          </cell>
          <cell r="AX72" t="str">
            <v>'00696</v>
          </cell>
          <cell r="AY72" t="str">
            <v>00696-01-50-000542-4</v>
          </cell>
        </row>
        <row r="73">
          <cell r="A73">
            <v>68</v>
          </cell>
          <cell r="B73" t="str">
            <v xml:space="preserve">S0DIKIN </v>
          </cell>
          <cell r="C73" t="str">
            <v>L</v>
          </cell>
          <cell r="D73" t="str">
            <v>3305142105840003</v>
          </cell>
          <cell r="E73" t="str">
            <v>PENGEMPON RT 03/RW 04</v>
          </cell>
          <cell r="F73" t="str">
            <v>PENGEMPON</v>
          </cell>
          <cell r="G73" t="str">
            <v>SRUWENG</v>
          </cell>
          <cell r="H73" t="str">
            <v>KEBUMEN</v>
          </cell>
          <cell r="I73" t="str">
            <v>JAWA TENGAH</v>
          </cell>
          <cell r="J73">
            <v>15000000</v>
          </cell>
          <cell r="K73">
            <v>30</v>
          </cell>
          <cell r="L73" t="str">
            <v>BURUH HARIAN LEPAS</v>
          </cell>
          <cell r="M73">
            <v>600000</v>
          </cell>
          <cell r="N73">
            <v>3</v>
          </cell>
          <cell r="O73" t="str">
            <v>Tidak Layak</v>
          </cell>
          <cell r="P73" t="str">
            <v>Tidak Layak</v>
          </cell>
          <cell r="Q73" t="str">
            <v>Tidak Layak</v>
          </cell>
          <cell r="R73">
            <v>54</v>
          </cell>
          <cell r="S73">
            <v>0</v>
          </cell>
          <cell r="T73" t="str">
            <v>YUDO SUDOMO</v>
          </cell>
          <cell r="U73">
            <v>0</v>
          </cell>
          <cell r="V73" t="str">
            <v>(0287) 3872017</v>
          </cell>
          <cell r="W73" t="str">
            <v>SIGIT KARSENO</v>
          </cell>
          <cell r="X73">
            <v>0</v>
          </cell>
          <cell r="Y73" t="str">
            <v>NIP :19680424 199803 1011</v>
          </cell>
          <cell r="Z73" t="str">
            <v>Moh. Amirudin, S.IP, MM</v>
          </cell>
          <cell r="AA73" t="str">
            <v>Himawan T P, S.Sos</v>
          </cell>
          <cell r="AB73" t="str">
            <v>0000069601590008092</v>
          </cell>
          <cell r="AC73">
            <v>3086</v>
          </cell>
          <cell r="AD73">
            <v>7.6319900000000001</v>
          </cell>
          <cell r="AE73" t="str">
            <v>109,63003</v>
          </cell>
          <cell r="AF73" t="str">
            <v>Surat Keterangan Pejabat</v>
          </cell>
          <cell r="AG73" t="str">
            <v>Tidak Ada</v>
          </cell>
          <cell r="AH73" t="str">
            <v>GENTENG/USUK/RENG LAPUK</v>
          </cell>
          <cell r="AI73" t="str">
            <v>TANAH</v>
          </cell>
          <cell r="AJ73" t="str">
            <v>PAPAN/ BILIK BAMBU</v>
          </cell>
          <cell r="AK73" t="str">
            <v>GENTENG/USUK/RENG</v>
          </cell>
          <cell r="AL73">
            <v>88</v>
          </cell>
          <cell r="AM73" t="str">
            <v>RABAT BETON</v>
          </cell>
          <cell r="AN73">
            <v>54</v>
          </cell>
          <cell r="AO73" t="str">
            <v>BATA MERAH/ BATAKO</v>
          </cell>
          <cell r="AP73">
            <v>90</v>
          </cell>
          <cell r="AQ73" t="str">
            <v>Pengempon, ____ Oktober 2015</v>
          </cell>
          <cell r="AR73" t="str">
            <v xml:space="preserve">S0DIKIN </v>
          </cell>
          <cell r="AS73" t="str">
            <v>KLAPA SAWIT</v>
          </cell>
          <cell r="AT73" t="str">
            <v>MUNCUL BARU</v>
          </cell>
          <cell r="AU73" t="str">
            <v>Jl. Simpang lima Rt.3/Rw.1 Kec.Pejagoan</v>
          </cell>
          <cell r="AV73" t="str">
            <v>Mohamad Mansur</v>
          </cell>
          <cell r="AW73" t="str">
            <v>BTN KCP KEBUMEN</v>
          </cell>
          <cell r="AX73" t="str">
            <v>'00696</v>
          </cell>
          <cell r="AY73" t="str">
            <v>00696-01-50-000542-4</v>
          </cell>
        </row>
        <row r="74">
          <cell r="A74">
            <v>69</v>
          </cell>
          <cell r="B74" t="str">
            <v>KHALIMI</v>
          </cell>
          <cell r="C74" t="str">
            <v>L</v>
          </cell>
          <cell r="D74" t="str">
            <v>3305141406440001</v>
          </cell>
          <cell r="E74" t="str">
            <v>PENGEMPON RT 03/RW 04</v>
          </cell>
          <cell r="F74" t="str">
            <v>PENGEMPON</v>
          </cell>
          <cell r="G74" t="str">
            <v>SRUWENG</v>
          </cell>
          <cell r="H74" t="str">
            <v>KEBUMEN</v>
          </cell>
          <cell r="I74" t="str">
            <v>JAWA TENGAH</v>
          </cell>
          <cell r="J74">
            <v>15000000</v>
          </cell>
          <cell r="K74">
            <v>70</v>
          </cell>
          <cell r="L74" t="str">
            <v>PETANI/PEKEBUN</v>
          </cell>
          <cell r="M74">
            <v>400000</v>
          </cell>
          <cell r="N74">
            <v>2</v>
          </cell>
          <cell r="O74" t="str">
            <v>Tidak Layak</v>
          </cell>
          <cell r="P74" t="str">
            <v>Tidak Layak</v>
          </cell>
          <cell r="Q74" t="str">
            <v>Tidak Layak</v>
          </cell>
          <cell r="R74">
            <v>72</v>
          </cell>
          <cell r="S74">
            <v>0</v>
          </cell>
          <cell r="T74" t="str">
            <v>YUDO SUDOMO</v>
          </cell>
          <cell r="U74">
            <v>0</v>
          </cell>
          <cell r="V74" t="str">
            <v>(0287) 3872017</v>
          </cell>
          <cell r="W74" t="str">
            <v>SIGIT KARSENO</v>
          </cell>
          <cell r="X74">
            <v>0</v>
          </cell>
          <cell r="Y74" t="str">
            <v>NIP :19680424 199803 1011</v>
          </cell>
          <cell r="Z74" t="str">
            <v>Moh. Amirudin, S.IP, MM</v>
          </cell>
          <cell r="AA74" t="str">
            <v>Himawan T P, S.Sos</v>
          </cell>
          <cell r="AB74" t="str">
            <v>0000069601590002305</v>
          </cell>
          <cell r="AC74">
            <v>3086</v>
          </cell>
          <cell r="AD74">
            <v>7.6338999999999997</v>
          </cell>
          <cell r="AE74" t="str">
            <v>109,6284</v>
          </cell>
          <cell r="AF74" t="str">
            <v>Surat Keterangan Pejabat</v>
          </cell>
          <cell r="AG74" t="str">
            <v>Listrik &amp; Air Bersih &amp; MCK</v>
          </cell>
          <cell r="AH74" t="str">
            <v>GENTENG/USUK/RENG LAPUK</v>
          </cell>
          <cell r="AI74" t="str">
            <v>TANAH</v>
          </cell>
          <cell r="AJ74" t="str">
            <v>PAPAN/ BILIK BAMBU</v>
          </cell>
          <cell r="AK74" t="str">
            <v>GENTENG/USUK/RENG</v>
          </cell>
          <cell r="AL74">
            <v>88</v>
          </cell>
          <cell r="AM74" t="str">
            <v>RABAT BETON</v>
          </cell>
          <cell r="AN74">
            <v>54</v>
          </cell>
          <cell r="AO74" t="str">
            <v>BATA MERAH/ BATAKO</v>
          </cell>
          <cell r="AP74">
            <v>90</v>
          </cell>
          <cell r="AQ74" t="str">
            <v>Pengempon, ____ Oktober 2015</v>
          </cell>
          <cell r="AR74" t="str">
            <v>KHAMIDI</v>
          </cell>
          <cell r="AS74" t="str">
            <v>KEDUNG TAWANG</v>
          </cell>
          <cell r="AT74" t="str">
            <v>MUNCUL BARU</v>
          </cell>
          <cell r="AU74" t="str">
            <v>Jl. Simpang lima Rt.3/Rw.1 Kec.Pejagoan</v>
          </cell>
          <cell r="AV74" t="str">
            <v>Mohamad Mansur</v>
          </cell>
          <cell r="AW74" t="str">
            <v>BTN KCP KEBUMEN</v>
          </cell>
          <cell r="AX74" t="str">
            <v>'00696</v>
          </cell>
          <cell r="AY74" t="str">
            <v>00696-01-50-000542-4</v>
          </cell>
        </row>
        <row r="75">
          <cell r="A75">
            <v>70</v>
          </cell>
          <cell r="B75" t="str">
            <v>IMIN HARYANTO</v>
          </cell>
          <cell r="C75" t="str">
            <v>L</v>
          </cell>
          <cell r="D75" t="str">
            <v>3305143112670028</v>
          </cell>
          <cell r="E75" t="str">
            <v>PENGEMPON RT 04/RW 04</v>
          </cell>
          <cell r="F75" t="str">
            <v>PENGEMPON</v>
          </cell>
          <cell r="G75" t="str">
            <v>SRUWENG</v>
          </cell>
          <cell r="H75" t="str">
            <v>KEBUMEN</v>
          </cell>
          <cell r="I75" t="str">
            <v>JAWA TENGAH</v>
          </cell>
          <cell r="J75">
            <v>15000000</v>
          </cell>
          <cell r="K75">
            <v>47</v>
          </cell>
          <cell r="L75" t="str">
            <v>BURUH HARIAN LEPAS</v>
          </cell>
          <cell r="M75">
            <v>700000</v>
          </cell>
          <cell r="N75">
            <v>8</v>
          </cell>
          <cell r="O75" t="str">
            <v>Tidak Layak</v>
          </cell>
          <cell r="P75" t="str">
            <v>Tidak Layak</v>
          </cell>
          <cell r="Q75" t="str">
            <v>Tidak Layak</v>
          </cell>
          <cell r="R75">
            <v>54</v>
          </cell>
          <cell r="S75">
            <v>0</v>
          </cell>
          <cell r="T75" t="str">
            <v>YUDO SUDOMO</v>
          </cell>
          <cell r="U75">
            <v>0</v>
          </cell>
          <cell r="V75" t="str">
            <v>(0287) 3872017</v>
          </cell>
          <cell r="W75" t="str">
            <v>SIGIT KARSENO</v>
          </cell>
          <cell r="X75">
            <v>0</v>
          </cell>
          <cell r="Y75" t="str">
            <v>NIP :19680424 199803 1011</v>
          </cell>
          <cell r="Z75" t="str">
            <v>Moh. Amirudin, S.IP, MM</v>
          </cell>
          <cell r="AA75" t="str">
            <v>Himawan T P, S.Sos</v>
          </cell>
          <cell r="AB75" t="str">
            <v>0000069601590001406</v>
          </cell>
          <cell r="AC75">
            <v>3086</v>
          </cell>
          <cell r="AD75">
            <v>7.6330499999999999</v>
          </cell>
          <cell r="AE75" t="str">
            <v>109,62999</v>
          </cell>
          <cell r="AF75" t="str">
            <v>Surat Keterangan Pejabat</v>
          </cell>
          <cell r="AG75" t="str">
            <v>Tidak Ada</v>
          </cell>
          <cell r="AH75" t="str">
            <v>GENTENG/USUK/RENG LAPUK</v>
          </cell>
          <cell r="AI75" t="str">
            <v>TANAH</v>
          </cell>
          <cell r="AJ75" t="str">
            <v>PAPAN/ BILIK BAMBU</v>
          </cell>
          <cell r="AK75" t="str">
            <v>GENTENG/USUK/RENG</v>
          </cell>
          <cell r="AL75">
            <v>88</v>
          </cell>
          <cell r="AM75" t="str">
            <v>RABAT BETON</v>
          </cell>
          <cell r="AN75">
            <v>54</v>
          </cell>
          <cell r="AO75" t="str">
            <v>BATA MERAH/ BATAKO</v>
          </cell>
          <cell r="AP75">
            <v>90</v>
          </cell>
          <cell r="AQ75" t="str">
            <v>Pengempon, ____ Oktober 2015</v>
          </cell>
          <cell r="AR75" t="str">
            <v>KHAMIDI</v>
          </cell>
          <cell r="AS75" t="str">
            <v>KEDUNG TAWANG</v>
          </cell>
          <cell r="AT75" t="str">
            <v>MUNCUL BARU</v>
          </cell>
          <cell r="AU75" t="str">
            <v>Jl. Simpang lima Rt.3/Rw.1 Kec.Pejagoan</v>
          </cell>
          <cell r="AV75" t="str">
            <v>Mohamad Mansur</v>
          </cell>
          <cell r="AW75" t="str">
            <v>BTN KCP KEBUMEN</v>
          </cell>
          <cell r="AX75" t="str">
            <v>'00696</v>
          </cell>
          <cell r="AY75" t="str">
            <v>00696-01-50-000542-4</v>
          </cell>
        </row>
        <row r="76">
          <cell r="A76">
            <v>71</v>
          </cell>
          <cell r="B76" t="str">
            <v>MARYAM</v>
          </cell>
          <cell r="C76" t="str">
            <v>P</v>
          </cell>
          <cell r="D76" t="str">
            <v>3305145103430001</v>
          </cell>
          <cell r="E76" t="str">
            <v>PENGEMPON RT 03/RW 04</v>
          </cell>
          <cell r="F76" t="str">
            <v>PENGEMPON</v>
          </cell>
          <cell r="G76" t="str">
            <v>SRUWENG</v>
          </cell>
          <cell r="H76" t="str">
            <v>KEBUMEN</v>
          </cell>
          <cell r="I76" t="str">
            <v>JAWA TENGAH</v>
          </cell>
          <cell r="J76">
            <v>15000000</v>
          </cell>
          <cell r="K76">
            <v>69</v>
          </cell>
          <cell r="L76" t="str">
            <v>BURUH HARIAN LEPAS</v>
          </cell>
          <cell r="M76">
            <v>400000</v>
          </cell>
          <cell r="N76">
            <v>0</v>
          </cell>
          <cell r="O76" t="str">
            <v>Tidak Layak</v>
          </cell>
          <cell r="P76" t="str">
            <v>Tidak Layak</v>
          </cell>
          <cell r="Q76" t="str">
            <v>Tidak Layak</v>
          </cell>
          <cell r="R76">
            <v>54</v>
          </cell>
          <cell r="S76">
            <v>0</v>
          </cell>
          <cell r="T76" t="str">
            <v>YUDO SUDOMO</v>
          </cell>
          <cell r="U76">
            <v>0</v>
          </cell>
          <cell r="V76" t="str">
            <v>(0287) 3872017</v>
          </cell>
          <cell r="W76" t="str">
            <v>SIGIT KARSENO</v>
          </cell>
          <cell r="X76">
            <v>0</v>
          </cell>
          <cell r="Y76" t="str">
            <v>NIP :19680424 199803 1011</v>
          </cell>
          <cell r="Z76" t="str">
            <v>Moh. Amirudin, S.IP, MM</v>
          </cell>
          <cell r="AA76" t="str">
            <v>Himawan T P, S.Sos</v>
          </cell>
          <cell r="AB76" t="str">
            <v>0000069601590003327</v>
          </cell>
          <cell r="AC76">
            <v>3086</v>
          </cell>
          <cell r="AD76">
            <v>7.6331600000000002</v>
          </cell>
          <cell r="AE76" t="str">
            <v>109,6297</v>
          </cell>
          <cell r="AF76" t="str">
            <v>Surat Keterangan Pejabat</v>
          </cell>
          <cell r="AG76" t="str">
            <v>Tidak Ada</v>
          </cell>
          <cell r="AH76" t="str">
            <v>GENTENG/USUK/RENG LAPUK</v>
          </cell>
          <cell r="AI76" t="str">
            <v>TANAH</v>
          </cell>
          <cell r="AJ76" t="str">
            <v>PAPAN/ BILIK BAMBU</v>
          </cell>
          <cell r="AK76" t="str">
            <v>GENTENG/USUK/RENG</v>
          </cell>
          <cell r="AL76">
            <v>88</v>
          </cell>
          <cell r="AM76" t="str">
            <v>RABAT BETON</v>
          </cell>
          <cell r="AN76">
            <v>54</v>
          </cell>
          <cell r="AO76" t="str">
            <v>BATA MERAH/ BATAKO</v>
          </cell>
          <cell r="AP76">
            <v>90</v>
          </cell>
          <cell r="AQ76" t="str">
            <v>Pengempon, ____ Oktober 2015</v>
          </cell>
          <cell r="AR76" t="str">
            <v>KHAMIDI</v>
          </cell>
          <cell r="AS76" t="str">
            <v>KEDUNG TAWANG</v>
          </cell>
          <cell r="AT76" t="str">
            <v>MUNCUL BARU</v>
          </cell>
          <cell r="AU76" t="str">
            <v>Jl. Simpang lima Rt.3/Rw.1 Kec.Pejagoan</v>
          </cell>
          <cell r="AV76" t="str">
            <v>Mohamad Mansur</v>
          </cell>
          <cell r="AW76" t="str">
            <v>BTN KCP KEBUMEN</v>
          </cell>
          <cell r="AX76" t="str">
            <v>'00696</v>
          </cell>
          <cell r="AY76" t="str">
            <v>00696-01-50-000542-4</v>
          </cell>
        </row>
        <row r="77">
          <cell r="A77">
            <v>72</v>
          </cell>
          <cell r="B77" t="str">
            <v>SITI ROKHMAH</v>
          </cell>
          <cell r="C77" t="str">
            <v>L</v>
          </cell>
          <cell r="D77" t="str">
            <v>3305145505850006</v>
          </cell>
          <cell r="E77" t="str">
            <v>PENGEMPON RT 03/RW 04</v>
          </cell>
          <cell r="F77" t="str">
            <v>PENGEMPON</v>
          </cell>
          <cell r="G77" t="str">
            <v>SRUWENG</v>
          </cell>
          <cell r="H77" t="str">
            <v>KEBUMEN</v>
          </cell>
          <cell r="I77" t="str">
            <v>JAWA TENGAH</v>
          </cell>
          <cell r="J77">
            <v>15000000</v>
          </cell>
          <cell r="K77">
            <v>29</v>
          </cell>
          <cell r="L77" t="str">
            <v>KARYAWAN SWASTA</v>
          </cell>
          <cell r="M77">
            <v>500000</v>
          </cell>
          <cell r="N77">
            <v>3</v>
          </cell>
          <cell r="O77" t="str">
            <v>Tidak Layak</v>
          </cell>
          <cell r="P77" t="str">
            <v>Tidak Layak</v>
          </cell>
          <cell r="Q77" t="str">
            <v>Tidak Layak</v>
          </cell>
          <cell r="R77">
            <v>54</v>
          </cell>
          <cell r="S77">
            <v>0</v>
          </cell>
          <cell r="T77" t="str">
            <v>YUDO SUDOMO</v>
          </cell>
          <cell r="U77">
            <v>0</v>
          </cell>
          <cell r="V77" t="str">
            <v>(0287) 3872017</v>
          </cell>
          <cell r="W77" t="str">
            <v>SIGIT KARSENO</v>
          </cell>
          <cell r="X77">
            <v>0</v>
          </cell>
          <cell r="Y77" t="str">
            <v>NIP :19680424 199803 1011</v>
          </cell>
          <cell r="Z77" t="str">
            <v>Moh. Amirudin, S.IP, MM</v>
          </cell>
          <cell r="AA77" t="str">
            <v>Himawan T P, S.Sos</v>
          </cell>
          <cell r="AB77" t="str">
            <v>0000069601590007923</v>
          </cell>
          <cell r="AC77">
            <v>3086</v>
          </cell>
          <cell r="AD77">
            <v>7.6315999999999997</v>
          </cell>
          <cell r="AE77" t="str">
            <v>109,62974</v>
          </cell>
          <cell r="AF77" t="str">
            <v>Surat Keterangan Pejabat</v>
          </cell>
          <cell r="AG77" t="str">
            <v>Tidak Ada</v>
          </cell>
          <cell r="AH77" t="str">
            <v>GENTENG/USUK/RENG LAPUK</v>
          </cell>
          <cell r="AI77" t="str">
            <v>TANAH</v>
          </cell>
          <cell r="AJ77" t="str">
            <v>PAPAN/ BILIK BAMBU</v>
          </cell>
          <cell r="AK77" t="str">
            <v>GENTENG/USUK/RENG</v>
          </cell>
          <cell r="AL77">
            <v>88</v>
          </cell>
          <cell r="AM77" t="str">
            <v>RABAT BETON</v>
          </cell>
          <cell r="AN77">
            <v>54</v>
          </cell>
          <cell r="AO77" t="str">
            <v>BATA MERAH/ BATAKO</v>
          </cell>
          <cell r="AP77">
            <v>90</v>
          </cell>
          <cell r="AQ77" t="str">
            <v>Pengempon, ____ Oktober 2015</v>
          </cell>
          <cell r="AR77" t="str">
            <v xml:space="preserve">S0DIKIN </v>
          </cell>
          <cell r="AS77" t="str">
            <v>KLAPA SAWIT</v>
          </cell>
          <cell r="AT77" t="str">
            <v>MUNCUL BARU</v>
          </cell>
          <cell r="AU77" t="str">
            <v>Jl. Simpang lima Rt.3/Rw.1 Kec.Pejagoan</v>
          </cell>
          <cell r="AV77" t="str">
            <v>Mohamad Mansur</v>
          </cell>
          <cell r="AW77" t="str">
            <v>BTN KCP KEBUMEN</v>
          </cell>
          <cell r="AX77" t="str">
            <v>'00696</v>
          </cell>
          <cell r="AY77" t="str">
            <v>00696-01-50-000542-4</v>
          </cell>
        </row>
        <row r="78">
          <cell r="A78">
            <v>73</v>
          </cell>
          <cell r="B78" t="str">
            <v>MUHRONI</v>
          </cell>
          <cell r="C78" t="str">
            <v>L</v>
          </cell>
          <cell r="D78" t="str">
            <v>3305142809400001</v>
          </cell>
          <cell r="E78" t="str">
            <v>PENGEMPON RT 03/RW 04</v>
          </cell>
          <cell r="F78" t="str">
            <v>PENGEMPON</v>
          </cell>
          <cell r="G78" t="str">
            <v>SRUWENG</v>
          </cell>
          <cell r="H78" t="str">
            <v>KEBUMEN</v>
          </cell>
          <cell r="I78" t="str">
            <v>JAWA TENGAH</v>
          </cell>
          <cell r="J78">
            <v>15000000</v>
          </cell>
          <cell r="K78">
            <v>70</v>
          </cell>
          <cell r="L78" t="str">
            <v>TIDAK BEKERJA</v>
          </cell>
          <cell r="M78">
            <v>400000</v>
          </cell>
          <cell r="N78">
            <v>1</v>
          </cell>
          <cell r="O78" t="str">
            <v>Tidak Layak</v>
          </cell>
          <cell r="P78" t="str">
            <v>Tidak Layak</v>
          </cell>
          <cell r="Q78" t="str">
            <v>Tidak Layak</v>
          </cell>
          <cell r="R78">
            <v>72</v>
          </cell>
          <cell r="S78">
            <v>0</v>
          </cell>
          <cell r="T78" t="str">
            <v>YUDO SUDOMO</v>
          </cell>
          <cell r="U78">
            <v>0</v>
          </cell>
          <cell r="V78" t="str">
            <v>(0287) 3872017</v>
          </cell>
          <cell r="W78" t="str">
            <v>SIGIT KARSENO</v>
          </cell>
          <cell r="X78">
            <v>0</v>
          </cell>
          <cell r="Y78" t="str">
            <v>NIP :19680424 199803 1011</v>
          </cell>
          <cell r="Z78" t="str">
            <v>Moh. Amirudin, S.IP, MM</v>
          </cell>
          <cell r="AA78" t="str">
            <v>Himawan T P, S.Sos</v>
          </cell>
          <cell r="AB78" t="str">
            <v>0000069601590003903</v>
          </cell>
          <cell r="AC78">
            <v>3086</v>
          </cell>
          <cell r="AD78">
            <v>7.6340199999999996</v>
          </cell>
          <cell r="AE78" t="str">
            <v>109,6295</v>
          </cell>
          <cell r="AF78" t="str">
            <v>Surat Keterangan Pejabat</v>
          </cell>
          <cell r="AG78" t="str">
            <v>Tidak Ada</v>
          </cell>
          <cell r="AH78" t="str">
            <v>GENTENG/USUK/RENG LAPUK</v>
          </cell>
          <cell r="AI78" t="str">
            <v>TANAH</v>
          </cell>
          <cell r="AJ78" t="str">
            <v>PAPAN/ BILIK BAMBU</v>
          </cell>
          <cell r="AK78" t="str">
            <v>GENTENG/USUK/RENG</v>
          </cell>
          <cell r="AL78">
            <v>88</v>
          </cell>
          <cell r="AM78" t="str">
            <v>RABAT BETON</v>
          </cell>
          <cell r="AN78">
            <v>54</v>
          </cell>
          <cell r="AO78" t="str">
            <v>BATA MERAH/ BATAKO</v>
          </cell>
          <cell r="AP78">
            <v>90</v>
          </cell>
          <cell r="AQ78" t="str">
            <v>Pengempon, ____ Oktober 2015</v>
          </cell>
          <cell r="AR78" t="str">
            <v>KHAMIDI</v>
          </cell>
          <cell r="AS78" t="str">
            <v>KEDUNG TAWANG</v>
          </cell>
          <cell r="AT78" t="str">
            <v>MUNCUL BARU</v>
          </cell>
          <cell r="AU78" t="str">
            <v>Jl. Simpang lima Rt.3/Rw.1 Kec.Pejagoan</v>
          </cell>
          <cell r="AV78" t="str">
            <v>Mohamad Mansur</v>
          </cell>
          <cell r="AW78" t="str">
            <v>BTN KCP KEBUMEN</v>
          </cell>
          <cell r="AX78" t="str">
            <v>'00696</v>
          </cell>
          <cell r="AY78" t="str">
            <v>00696-01-50-000542-4</v>
          </cell>
        </row>
        <row r="79">
          <cell r="A79">
            <v>74</v>
          </cell>
          <cell r="B79" t="str">
            <v>TASIYEM</v>
          </cell>
          <cell r="C79" t="str">
            <v>P</v>
          </cell>
          <cell r="D79" t="str">
            <v>3305145505750002</v>
          </cell>
          <cell r="E79" t="str">
            <v>PENGEMPON RT 03/RW 04</v>
          </cell>
          <cell r="F79" t="str">
            <v>PENGEMPON</v>
          </cell>
          <cell r="G79" t="str">
            <v>SRUWENG</v>
          </cell>
          <cell r="H79" t="str">
            <v>KEBUMEN</v>
          </cell>
          <cell r="I79" t="str">
            <v>JAWA TENGAH</v>
          </cell>
          <cell r="J79">
            <v>15000000</v>
          </cell>
          <cell r="K79">
            <v>39</v>
          </cell>
          <cell r="L79" t="str">
            <v>MENGURUS RUMAH TANGGA</v>
          </cell>
          <cell r="M79">
            <v>500000</v>
          </cell>
          <cell r="N79">
            <v>3</v>
          </cell>
          <cell r="O79" t="str">
            <v>Tidak Layak</v>
          </cell>
          <cell r="P79" t="str">
            <v>Tidak Layak</v>
          </cell>
          <cell r="Q79" t="str">
            <v>Tidak Layak</v>
          </cell>
          <cell r="R79">
            <v>72</v>
          </cell>
          <cell r="S79">
            <v>0</v>
          </cell>
          <cell r="T79" t="str">
            <v>YUDO SUDOMO</v>
          </cell>
          <cell r="U79">
            <v>0</v>
          </cell>
          <cell r="V79" t="str">
            <v>(0287) 3872017</v>
          </cell>
          <cell r="W79" t="str">
            <v>SIGIT KARSENO</v>
          </cell>
          <cell r="X79">
            <v>0</v>
          </cell>
          <cell r="Y79" t="str">
            <v>NIP :19680424 199803 1011</v>
          </cell>
          <cell r="Z79" t="str">
            <v>Moh. Amirudin, S.IP, MM</v>
          </cell>
          <cell r="AA79" t="str">
            <v>Himawan T P, S.Sos</v>
          </cell>
          <cell r="AB79" t="str">
            <v>0000069601590009705</v>
          </cell>
          <cell r="AC79">
            <v>3086</v>
          </cell>
          <cell r="AD79">
            <v>7.63368</v>
          </cell>
          <cell r="AE79" t="str">
            <v>109,62842</v>
          </cell>
          <cell r="AF79" t="str">
            <v>Surat Keterangan Pejabat</v>
          </cell>
          <cell r="AG79" t="str">
            <v>Listrik &amp; Air Bersih</v>
          </cell>
          <cell r="AH79" t="str">
            <v>GENTENG/USUK/RENG LAPUK</v>
          </cell>
          <cell r="AI79" t="str">
            <v>TANAH</v>
          </cell>
          <cell r="AJ79" t="str">
            <v>PAPAN/ BILIK BAMBU</v>
          </cell>
          <cell r="AK79" t="str">
            <v>GENTENG/USUK/RENG</v>
          </cell>
          <cell r="AL79">
            <v>88</v>
          </cell>
          <cell r="AM79" t="str">
            <v>RABAT BETON</v>
          </cell>
          <cell r="AN79">
            <v>54</v>
          </cell>
          <cell r="AO79" t="str">
            <v>BATA MERAH/ BATAKO</v>
          </cell>
          <cell r="AP79">
            <v>90</v>
          </cell>
          <cell r="AQ79" t="str">
            <v>Pengempon, ____ Oktober 2015</v>
          </cell>
          <cell r="AR79" t="str">
            <v>KHAMIDI</v>
          </cell>
          <cell r="AS79" t="str">
            <v>KEDUNG TAWANG</v>
          </cell>
          <cell r="AT79" t="str">
            <v>MUNCUL BARU</v>
          </cell>
          <cell r="AU79" t="str">
            <v>Jl. Simpang lima Rt.3/Rw.1 Kec.Pejagoan</v>
          </cell>
          <cell r="AV79" t="str">
            <v>Mohamad Mansur</v>
          </cell>
          <cell r="AW79" t="str">
            <v>BTN KCP KEBUMEN</v>
          </cell>
          <cell r="AX79" t="str">
            <v>'00696</v>
          </cell>
          <cell r="AY79" t="str">
            <v>00696-01-50-000542-4</v>
          </cell>
        </row>
        <row r="80">
          <cell r="A80">
            <v>75</v>
          </cell>
          <cell r="B80" t="str">
            <v>PARIMIN</v>
          </cell>
          <cell r="C80" t="str">
            <v>L</v>
          </cell>
          <cell r="D80" t="str">
            <v>3305141804490002</v>
          </cell>
          <cell r="E80" t="str">
            <v>PENGEMPON RT 03/RW 04</v>
          </cell>
          <cell r="F80" t="str">
            <v>PENGEMPON</v>
          </cell>
          <cell r="G80" t="str">
            <v>SRUWENG</v>
          </cell>
          <cell r="H80" t="str">
            <v>KEBUMEN</v>
          </cell>
          <cell r="I80" t="str">
            <v>JAWA TENGAH</v>
          </cell>
          <cell r="J80">
            <v>15000000</v>
          </cell>
          <cell r="K80">
            <v>65</v>
          </cell>
          <cell r="L80" t="str">
            <v>BURUH HARIAN LEPAS</v>
          </cell>
          <cell r="M80">
            <v>400000</v>
          </cell>
          <cell r="N80">
            <v>2</v>
          </cell>
          <cell r="O80" t="str">
            <v>Tidak Layak</v>
          </cell>
          <cell r="P80" t="str">
            <v>Tidak Layak</v>
          </cell>
          <cell r="Q80" t="str">
            <v>Tidak Layak</v>
          </cell>
          <cell r="R80">
            <v>54</v>
          </cell>
          <cell r="S80">
            <v>0</v>
          </cell>
          <cell r="T80" t="str">
            <v>YUDO SUDOMO</v>
          </cell>
          <cell r="U80">
            <v>0</v>
          </cell>
          <cell r="V80" t="str">
            <v>(0287) 3872017</v>
          </cell>
          <cell r="W80" t="str">
            <v>SIGIT KARSENO</v>
          </cell>
          <cell r="X80">
            <v>0</v>
          </cell>
          <cell r="Y80" t="str">
            <v>NIP :19680424 199803 1011</v>
          </cell>
          <cell r="Z80" t="str">
            <v>Moh. Amirudin, S.IP, MM</v>
          </cell>
          <cell r="AA80" t="str">
            <v>Himawan T P, S.Sos</v>
          </cell>
          <cell r="AB80" t="str">
            <v>0000069601590004797</v>
          </cell>
          <cell r="AC80">
            <v>3086</v>
          </cell>
          <cell r="AD80">
            <v>7.6318099999999998</v>
          </cell>
          <cell r="AE80" t="str">
            <v>109,62993</v>
          </cell>
          <cell r="AF80" t="str">
            <v>Surat Keterangan Pejabat</v>
          </cell>
          <cell r="AG80" t="str">
            <v>Tidak Ada</v>
          </cell>
          <cell r="AH80" t="str">
            <v>GENTENG/USUK/RENG LAPUK</v>
          </cell>
          <cell r="AI80" t="str">
            <v>TANAH</v>
          </cell>
          <cell r="AJ80" t="str">
            <v>PAPAN/ BILIK BAMBU</v>
          </cell>
          <cell r="AK80" t="str">
            <v>GENTENG/USUK/RENG</v>
          </cell>
          <cell r="AL80">
            <v>88</v>
          </cell>
          <cell r="AM80" t="str">
            <v>RABAT BETON</v>
          </cell>
          <cell r="AN80">
            <v>54</v>
          </cell>
          <cell r="AO80" t="str">
            <v>BATA MERAH/ BATAKO</v>
          </cell>
          <cell r="AP80">
            <v>90</v>
          </cell>
          <cell r="AQ80" t="str">
            <v>Pengempon, ____ Oktober 2015</v>
          </cell>
          <cell r="AR80" t="str">
            <v xml:space="preserve">S0DIKIN </v>
          </cell>
          <cell r="AS80" t="str">
            <v>KLAPA SAWIT</v>
          </cell>
          <cell r="AT80" t="str">
            <v>MUNCUL BARU</v>
          </cell>
          <cell r="AU80" t="str">
            <v>Jl. Simpang lima Rt.3/Rw.1 Kec.Pejagoan</v>
          </cell>
          <cell r="AV80" t="str">
            <v>Mohamad Mansur</v>
          </cell>
          <cell r="AW80" t="str">
            <v>BTN KCP KEBUMEN</v>
          </cell>
          <cell r="AX80" t="str">
            <v>'00696</v>
          </cell>
          <cell r="AY80" t="str">
            <v>00696-01-50-000542-4</v>
          </cell>
        </row>
        <row r="81">
          <cell r="A81">
            <v>76</v>
          </cell>
          <cell r="B81" t="str">
            <v>WATINEM</v>
          </cell>
          <cell r="C81" t="str">
            <v>P</v>
          </cell>
          <cell r="D81" t="str">
            <v>3305145303630005</v>
          </cell>
          <cell r="E81" t="str">
            <v>PENGEMPON RT 03/RW 04</v>
          </cell>
          <cell r="F81" t="str">
            <v>PENGEMPON</v>
          </cell>
          <cell r="G81" t="str">
            <v>SRUWENG</v>
          </cell>
          <cell r="H81" t="str">
            <v>KEBUMEN</v>
          </cell>
          <cell r="I81" t="str">
            <v>JAWA TENGAH</v>
          </cell>
          <cell r="J81">
            <v>15000000</v>
          </cell>
          <cell r="K81">
            <v>51</v>
          </cell>
          <cell r="L81" t="str">
            <v>WIRASWASTA</v>
          </cell>
          <cell r="M81">
            <v>600000</v>
          </cell>
          <cell r="N81">
            <v>5</v>
          </cell>
          <cell r="O81" t="str">
            <v>Tidak Layak</v>
          </cell>
          <cell r="P81" t="str">
            <v>Tidak Layak</v>
          </cell>
          <cell r="Q81" t="str">
            <v>Tidak Layak</v>
          </cell>
          <cell r="R81">
            <v>54</v>
          </cell>
          <cell r="S81">
            <v>0</v>
          </cell>
          <cell r="T81" t="str">
            <v>YUDO SUDOMO</v>
          </cell>
          <cell r="U81">
            <v>0</v>
          </cell>
          <cell r="V81" t="str">
            <v>(0287) 3872017</v>
          </cell>
          <cell r="W81" t="str">
            <v>SIGIT KARSENO</v>
          </cell>
          <cell r="X81">
            <v>0</v>
          </cell>
          <cell r="Y81" t="str">
            <v>NIP :19680424 199803 1011</v>
          </cell>
          <cell r="Z81" t="str">
            <v>Moh. Amirudin, S.IP, MM</v>
          </cell>
          <cell r="AA81" t="str">
            <v>Himawan T P, S.Sos</v>
          </cell>
          <cell r="AB81" t="str">
            <v>0000069601590010641</v>
          </cell>
          <cell r="AC81">
            <v>3086</v>
          </cell>
          <cell r="AD81">
            <v>7.6341599999999996</v>
          </cell>
          <cell r="AE81" t="str">
            <v>109,62846</v>
          </cell>
          <cell r="AF81" t="str">
            <v>Surat Keterangan Pejabat</v>
          </cell>
          <cell r="AG81" t="str">
            <v>Listrik</v>
          </cell>
          <cell r="AH81" t="str">
            <v>GENTENG/USUK/RENG LAPUK</v>
          </cell>
          <cell r="AI81" t="str">
            <v>TANAH</v>
          </cell>
          <cell r="AJ81" t="str">
            <v>PAPAN/ BILIK BAMBU</v>
          </cell>
          <cell r="AK81" t="str">
            <v>GENTENG/USUK/RENG</v>
          </cell>
          <cell r="AL81">
            <v>88</v>
          </cell>
          <cell r="AM81" t="str">
            <v>RABAT BETON</v>
          </cell>
          <cell r="AN81">
            <v>54</v>
          </cell>
          <cell r="AO81" t="str">
            <v>BATA MERAH/ BATAKO</v>
          </cell>
          <cell r="AP81">
            <v>90</v>
          </cell>
          <cell r="AQ81" t="str">
            <v>Pengempon, ____ Oktober 2015</v>
          </cell>
          <cell r="AR81" t="str">
            <v>KHAMIDI</v>
          </cell>
          <cell r="AS81" t="str">
            <v>KEDUNG TAWANG</v>
          </cell>
          <cell r="AT81" t="str">
            <v>MUNCUL BARU</v>
          </cell>
          <cell r="AU81" t="str">
            <v>Jl. Simpang lima Rt.3/Rw.1 Kec.Pejagoan</v>
          </cell>
          <cell r="AV81" t="str">
            <v>Mohamad Mansur</v>
          </cell>
          <cell r="AW81" t="str">
            <v>BTN KCP KEBUMEN</v>
          </cell>
          <cell r="AX81" t="str">
            <v>'00696</v>
          </cell>
          <cell r="AY81" t="str">
            <v>00696-01-50-000542-4</v>
          </cell>
        </row>
        <row r="82">
          <cell r="A82">
            <v>77</v>
          </cell>
          <cell r="B82" t="str">
            <v>ROKHIMAN</v>
          </cell>
          <cell r="C82" t="str">
            <v>L</v>
          </cell>
          <cell r="D82" t="str">
            <v>3305141506820003</v>
          </cell>
          <cell r="E82" t="str">
            <v>PENGEMPON RT 04/RW 04</v>
          </cell>
          <cell r="F82" t="str">
            <v>PENGEMPON</v>
          </cell>
          <cell r="G82" t="str">
            <v>SRUWENG</v>
          </cell>
          <cell r="H82" t="str">
            <v>KEBUMEN</v>
          </cell>
          <cell r="I82" t="str">
            <v>JAWA TENGAH</v>
          </cell>
          <cell r="J82">
            <v>15000000</v>
          </cell>
          <cell r="K82">
            <v>32</v>
          </cell>
          <cell r="L82" t="str">
            <v>KARYAWAN SWASTA</v>
          </cell>
          <cell r="M82">
            <v>650000</v>
          </cell>
          <cell r="N82">
            <v>2</v>
          </cell>
          <cell r="O82" t="str">
            <v>Tidak Layak</v>
          </cell>
          <cell r="P82" t="str">
            <v>Tidak Layak</v>
          </cell>
          <cell r="Q82" t="str">
            <v>Tidak Layak</v>
          </cell>
          <cell r="R82">
            <v>72</v>
          </cell>
          <cell r="S82">
            <v>0</v>
          </cell>
          <cell r="T82" t="str">
            <v>YUDO SUDOMO</v>
          </cell>
          <cell r="U82">
            <v>0</v>
          </cell>
          <cell r="V82" t="str">
            <v>(0287) 3872017</v>
          </cell>
          <cell r="W82" t="str">
            <v>SIGIT KARSENO</v>
          </cell>
          <cell r="X82">
            <v>0</v>
          </cell>
          <cell r="Y82" t="str">
            <v>NIP :19680424 199803 1011</v>
          </cell>
          <cell r="Z82" t="str">
            <v>Moh. Amirudin, S.IP, MM</v>
          </cell>
          <cell r="AA82" t="str">
            <v>Himawan T P, S.Sos</v>
          </cell>
          <cell r="AB82" t="str">
            <v>0000069601590005824</v>
          </cell>
          <cell r="AC82">
            <v>3086</v>
          </cell>
          <cell r="AD82">
            <v>7.6329200000000004</v>
          </cell>
          <cell r="AE82" t="str">
            <v>109,63031</v>
          </cell>
          <cell r="AF82" t="str">
            <v>Surat Keterangan Pejabat</v>
          </cell>
          <cell r="AG82" t="str">
            <v>Listrik</v>
          </cell>
          <cell r="AH82" t="str">
            <v>GENTENG/USUK/RENG LAPUK</v>
          </cell>
          <cell r="AI82" t="str">
            <v>TANAH</v>
          </cell>
          <cell r="AJ82" t="str">
            <v>PAPAN/ BILIK BAMBU</v>
          </cell>
          <cell r="AK82" t="str">
            <v>GENTENG/USUK/RENG</v>
          </cell>
          <cell r="AL82">
            <v>88</v>
          </cell>
          <cell r="AM82" t="str">
            <v>RABAT BETON</v>
          </cell>
          <cell r="AN82">
            <v>54</v>
          </cell>
          <cell r="AO82" t="str">
            <v>BATA MERAH/ BATAKO</v>
          </cell>
          <cell r="AP82">
            <v>90</v>
          </cell>
          <cell r="AQ82" t="str">
            <v>Pengempon, ____ Oktober 2015</v>
          </cell>
          <cell r="AR82" t="str">
            <v>KHAMIDI</v>
          </cell>
          <cell r="AS82" t="str">
            <v>KEDUNG TAWANG</v>
          </cell>
          <cell r="AT82" t="str">
            <v>MUNCUL BARU</v>
          </cell>
          <cell r="AU82" t="str">
            <v>Jl. Simpang lima Rt.3/Rw.1 Kec.Pejagoan</v>
          </cell>
          <cell r="AV82" t="str">
            <v>Mohamad Mansur</v>
          </cell>
          <cell r="AW82" t="str">
            <v>BTN KCP KEBUMEN</v>
          </cell>
          <cell r="AX82" t="str">
            <v>'00696</v>
          </cell>
          <cell r="AY82" t="str">
            <v>00696-01-50-000542-4</v>
          </cell>
        </row>
        <row r="83">
          <cell r="A83">
            <v>78</v>
          </cell>
          <cell r="B83" t="str">
            <v>KASMINI</v>
          </cell>
          <cell r="C83" t="str">
            <v>P</v>
          </cell>
          <cell r="D83" t="str">
            <v>3305144602680002</v>
          </cell>
          <cell r="E83" t="str">
            <v>PENGEMPON RT 03/RW 04</v>
          </cell>
          <cell r="F83" t="str">
            <v>PENGEMPON</v>
          </cell>
          <cell r="G83" t="str">
            <v>SRUWENG</v>
          </cell>
          <cell r="H83" t="str">
            <v>KEBUMEN</v>
          </cell>
          <cell r="I83" t="str">
            <v>JAWA TENGAH</v>
          </cell>
          <cell r="J83">
            <v>15000000</v>
          </cell>
          <cell r="K83">
            <v>46</v>
          </cell>
          <cell r="L83" t="str">
            <v>MENGURUS RUMAH TANGGA</v>
          </cell>
          <cell r="M83">
            <v>400000</v>
          </cell>
          <cell r="N83">
            <v>4</v>
          </cell>
          <cell r="O83" t="str">
            <v>Tidak Layak</v>
          </cell>
          <cell r="P83" t="str">
            <v>Tidak Layak</v>
          </cell>
          <cell r="Q83" t="str">
            <v>Tidak Layak</v>
          </cell>
          <cell r="R83">
            <v>72</v>
          </cell>
          <cell r="S83">
            <v>0</v>
          </cell>
          <cell r="T83" t="str">
            <v>YUDO SUDOMO</v>
          </cell>
          <cell r="U83">
            <v>0</v>
          </cell>
          <cell r="V83" t="str">
            <v>(0287) 3872017</v>
          </cell>
          <cell r="W83" t="str">
            <v>SIGIT KARSENO</v>
          </cell>
          <cell r="X83">
            <v>0</v>
          </cell>
          <cell r="Y83" t="str">
            <v>NIP :19680424 199803 1011</v>
          </cell>
          <cell r="Z83" t="str">
            <v>Moh. Amirudin, S.IP, MM</v>
          </cell>
          <cell r="AA83" t="str">
            <v>Himawan T P, S.Sos</v>
          </cell>
          <cell r="AB83" t="str">
            <v>0000069601590002096</v>
          </cell>
          <cell r="AC83">
            <v>3086</v>
          </cell>
          <cell r="AD83">
            <v>7.6337400000000004</v>
          </cell>
          <cell r="AE83" t="str">
            <v>109,62946</v>
          </cell>
          <cell r="AF83" t="str">
            <v>Surat Keterangan Pejabat</v>
          </cell>
          <cell r="AG83" t="str">
            <v>Listrik</v>
          </cell>
          <cell r="AH83" t="str">
            <v>GENTENG/USUK/RENG LAPUK</v>
          </cell>
          <cell r="AI83" t="str">
            <v>TANAH</v>
          </cell>
          <cell r="AJ83" t="str">
            <v>PAPAN/ BILIK BAMBU</v>
          </cell>
          <cell r="AK83" t="str">
            <v>GENTENG/USUK/RENG</v>
          </cell>
          <cell r="AL83">
            <v>88</v>
          </cell>
          <cell r="AM83" t="str">
            <v>RABAT BETON</v>
          </cell>
          <cell r="AN83">
            <v>54</v>
          </cell>
          <cell r="AO83" t="str">
            <v>BATA MERAH/ BATAKO</v>
          </cell>
          <cell r="AP83">
            <v>90</v>
          </cell>
          <cell r="AQ83" t="str">
            <v>Pengempon, ____ Oktober 2015</v>
          </cell>
          <cell r="AR83" t="str">
            <v>KHAMIDI</v>
          </cell>
          <cell r="AS83" t="str">
            <v>KEDUNG TAWANG</v>
          </cell>
          <cell r="AT83" t="str">
            <v>MUNCUL BARU</v>
          </cell>
          <cell r="AU83" t="str">
            <v>Jl. Simpang lima Rt.3/Rw.1 Kec.Pejagoan</v>
          </cell>
          <cell r="AV83" t="str">
            <v>Mohamad Mansur</v>
          </cell>
          <cell r="AW83" t="str">
            <v>BTN KCP KEBUMEN</v>
          </cell>
          <cell r="AX83" t="str">
            <v>'00696</v>
          </cell>
          <cell r="AY83" t="str">
            <v>00696-01-50-000542-4</v>
          </cell>
        </row>
        <row r="84">
          <cell r="A84">
            <v>79</v>
          </cell>
          <cell r="B84" t="str">
            <v>PARTINI</v>
          </cell>
          <cell r="C84" t="str">
            <v>P</v>
          </cell>
          <cell r="D84" t="str">
            <v>3305145407850004</v>
          </cell>
          <cell r="E84" t="str">
            <v>PENGEMPON RT 04/RW 04</v>
          </cell>
          <cell r="F84" t="str">
            <v>PENGEMPON</v>
          </cell>
          <cell r="G84" t="str">
            <v>SRUWENG</v>
          </cell>
          <cell r="H84" t="str">
            <v>KEBUMEN</v>
          </cell>
          <cell r="I84" t="str">
            <v>JAWA TENGAH</v>
          </cell>
          <cell r="J84">
            <v>15000000</v>
          </cell>
          <cell r="K84">
            <v>29</v>
          </cell>
          <cell r="L84" t="str">
            <v>MENGURUS RUMAH TANGGA</v>
          </cell>
          <cell r="M84">
            <v>400000</v>
          </cell>
          <cell r="N84">
            <v>3</v>
          </cell>
          <cell r="O84" t="str">
            <v>Tidak Layak</v>
          </cell>
          <cell r="P84" t="str">
            <v>Tidak Layak</v>
          </cell>
          <cell r="Q84" t="str">
            <v>Tidak Layak</v>
          </cell>
          <cell r="R84">
            <v>54</v>
          </cell>
          <cell r="S84">
            <v>0</v>
          </cell>
          <cell r="T84" t="str">
            <v>YUDO SUDOMO</v>
          </cell>
          <cell r="U84">
            <v>0</v>
          </cell>
          <cell r="V84" t="str">
            <v>(0287) 3872017</v>
          </cell>
          <cell r="W84" t="str">
            <v>SIGIT KARSENO</v>
          </cell>
          <cell r="X84">
            <v>0</v>
          </cell>
          <cell r="Y84" t="str">
            <v>NIP :19680424 199803 1011</v>
          </cell>
          <cell r="Z84" t="str">
            <v>Moh. Amirudin, S.IP, MM</v>
          </cell>
          <cell r="AA84" t="str">
            <v>Himawan T P, S.Sos</v>
          </cell>
          <cell r="AB84" t="e">
            <v>#N/A</v>
          </cell>
          <cell r="AC84">
            <v>3086</v>
          </cell>
          <cell r="AD84">
            <v>7.6335899999999999</v>
          </cell>
          <cell r="AE84" t="str">
            <v>109,63239</v>
          </cell>
          <cell r="AF84" t="str">
            <v>Surat Keterangan Pejabat</v>
          </cell>
          <cell r="AG84" t="str">
            <v>Listrik</v>
          </cell>
          <cell r="AH84">
            <v>0</v>
          </cell>
          <cell r="AI84">
            <v>0</v>
          </cell>
          <cell r="AJ84">
            <v>0</v>
          </cell>
          <cell r="AQ84">
            <v>0</v>
          </cell>
          <cell r="AR84" t="str">
            <v>_______________</v>
          </cell>
          <cell r="AS84">
            <v>0</v>
          </cell>
          <cell r="AT84">
            <v>0</v>
          </cell>
          <cell r="AU84">
            <v>0</v>
          </cell>
          <cell r="AV84">
            <v>0</v>
          </cell>
          <cell r="AY84">
            <v>0</v>
          </cell>
        </row>
        <row r="85">
          <cell r="A85">
            <v>80</v>
          </cell>
          <cell r="B85" t="str">
            <v>SOLIHUDIN</v>
          </cell>
          <cell r="C85" t="str">
            <v>L</v>
          </cell>
          <cell r="D85" t="str">
            <v>3305141510790005</v>
          </cell>
          <cell r="E85" t="str">
            <v>PENGEMPON RT 04/RW 04</v>
          </cell>
          <cell r="F85" t="str">
            <v>PENGEMPON</v>
          </cell>
          <cell r="G85" t="str">
            <v>SRUWENG</v>
          </cell>
          <cell r="H85" t="str">
            <v>KEBUMEN</v>
          </cell>
          <cell r="I85" t="str">
            <v>JAWA TENGAH</v>
          </cell>
          <cell r="J85">
            <v>15000000</v>
          </cell>
          <cell r="K85">
            <v>35</v>
          </cell>
          <cell r="L85" t="str">
            <v>WIRASWASTA</v>
          </cell>
          <cell r="M85">
            <v>500000</v>
          </cell>
          <cell r="N85">
            <v>1</v>
          </cell>
          <cell r="O85" t="str">
            <v>Tidak Layak</v>
          </cell>
          <cell r="P85" t="str">
            <v>Tidak Layak</v>
          </cell>
          <cell r="Q85" t="str">
            <v>Tidak Layak</v>
          </cell>
          <cell r="R85">
            <v>54</v>
          </cell>
          <cell r="S85">
            <v>0</v>
          </cell>
          <cell r="T85" t="str">
            <v>YUDO SUDOMO</v>
          </cell>
          <cell r="U85">
            <v>0</v>
          </cell>
          <cell r="V85" t="str">
            <v>(0287) 3872017</v>
          </cell>
          <cell r="W85" t="str">
            <v>SIGIT KARSENO</v>
          </cell>
          <cell r="X85">
            <v>0</v>
          </cell>
          <cell r="Y85" t="str">
            <v>NIP :19680424 199803 1011</v>
          </cell>
          <cell r="Z85" t="str">
            <v>Moh. Amirudin, S.IP, MM</v>
          </cell>
          <cell r="AA85" t="str">
            <v>Himawan T P, S.Sos</v>
          </cell>
          <cell r="AB85" t="str">
            <v>0000069601590008204</v>
          </cell>
          <cell r="AC85">
            <v>3086</v>
          </cell>
          <cell r="AD85">
            <v>7.6342100000000004</v>
          </cell>
          <cell r="AE85" t="str">
            <v>109,63148</v>
          </cell>
          <cell r="AF85" t="str">
            <v>Surat Keterangan Pejabat</v>
          </cell>
          <cell r="AG85" t="str">
            <v>Tidak Ada</v>
          </cell>
          <cell r="AH85" t="str">
            <v>GENTENG/USUK/RENG LAPUK</v>
          </cell>
          <cell r="AI85" t="str">
            <v>TANAH</v>
          </cell>
          <cell r="AJ85" t="str">
            <v>PAPAN/ BILIK BAMBU</v>
          </cell>
          <cell r="AK85" t="str">
            <v>GENTENG/USUK/RENG</v>
          </cell>
          <cell r="AL85">
            <v>88</v>
          </cell>
          <cell r="AM85" t="str">
            <v>RABAT BETON</v>
          </cell>
          <cell r="AN85">
            <v>54</v>
          </cell>
          <cell r="AO85" t="str">
            <v>BATA MERAH/ BATAKO</v>
          </cell>
          <cell r="AP85">
            <v>90</v>
          </cell>
          <cell r="AQ85" t="str">
            <v>Pengempon, ____ Oktober 2015</v>
          </cell>
          <cell r="AR85" t="str">
            <v>MU'MININ</v>
          </cell>
          <cell r="AS85" t="str">
            <v>BANTENG</v>
          </cell>
          <cell r="AT85" t="str">
            <v>MUNCUL BARU</v>
          </cell>
          <cell r="AU85" t="str">
            <v>Jl. Simpang lima Rt.3/Rw.1 Kec.Pejagoan</v>
          </cell>
          <cell r="AV85" t="str">
            <v>Mohamad Mansur</v>
          </cell>
          <cell r="AW85" t="str">
            <v>BTN KCP KEBUMEN</v>
          </cell>
          <cell r="AX85" t="str">
            <v>'00696</v>
          </cell>
          <cell r="AY85" t="str">
            <v>00696-01-50-000542-4</v>
          </cell>
        </row>
        <row r="86">
          <cell r="A86">
            <v>81</v>
          </cell>
          <cell r="B86" t="str">
            <v>MUSRINGAH</v>
          </cell>
          <cell r="C86" t="str">
            <v>P</v>
          </cell>
          <cell r="D86" t="str">
            <v>3305146105460002</v>
          </cell>
          <cell r="E86" t="str">
            <v>PENGEMPON RT 04/RW 04</v>
          </cell>
          <cell r="F86" t="str">
            <v>PENGEMPON</v>
          </cell>
          <cell r="G86" t="str">
            <v>SRUWENG</v>
          </cell>
          <cell r="H86" t="str">
            <v>KEBUMEN</v>
          </cell>
          <cell r="I86" t="str">
            <v>JAWA TENGAH</v>
          </cell>
          <cell r="J86">
            <v>15000000</v>
          </cell>
          <cell r="K86">
            <v>68</v>
          </cell>
          <cell r="L86" t="str">
            <v>MENGURUS RUMAH TANGGA</v>
          </cell>
          <cell r="M86">
            <v>450000</v>
          </cell>
          <cell r="N86">
            <v>1</v>
          </cell>
          <cell r="O86" t="str">
            <v>Tidak Layak</v>
          </cell>
          <cell r="P86" t="str">
            <v>Tidak Layak</v>
          </cell>
          <cell r="Q86" t="str">
            <v>Tidak Layak</v>
          </cell>
          <cell r="R86">
            <v>54</v>
          </cell>
          <cell r="S86">
            <v>0</v>
          </cell>
          <cell r="T86" t="str">
            <v>YUDO SUDOMO</v>
          </cell>
          <cell r="U86">
            <v>0</v>
          </cell>
          <cell r="V86" t="str">
            <v>(0287) 3872017</v>
          </cell>
          <cell r="W86" t="str">
            <v>SIGIT KARSENO</v>
          </cell>
          <cell r="X86">
            <v>0</v>
          </cell>
          <cell r="Y86" t="str">
            <v>NIP :19680424 199803 1011</v>
          </cell>
          <cell r="Z86" t="str">
            <v>Moh. Amirudin, S.IP, MM</v>
          </cell>
          <cell r="AA86" t="str">
            <v>Himawan T P, S.Sos</v>
          </cell>
          <cell r="AB86" t="str">
            <v>0000069601590004242</v>
          </cell>
          <cell r="AC86">
            <v>3086</v>
          </cell>
          <cell r="AD86">
            <v>7.6332300000000002</v>
          </cell>
          <cell r="AE86" t="str">
            <v>109,63164</v>
          </cell>
          <cell r="AF86" t="str">
            <v>Surat Keterangan Pejabat</v>
          </cell>
          <cell r="AG86" t="str">
            <v>Tidak Ada</v>
          </cell>
          <cell r="AH86" t="str">
            <v>GENTENG/USUK/RENG LAPUK</v>
          </cell>
          <cell r="AI86" t="str">
            <v>TANAH</v>
          </cell>
          <cell r="AJ86" t="str">
            <v>PAPAN/ BILIK BAMBU</v>
          </cell>
          <cell r="AK86" t="str">
            <v>GENTENG/USUK/RENG</v>
          </cell>
          <cell r="AL86">
            <v>88</v>
          </cell>
          <cell r="AM86" t="str">
            <v>RABAT BETON</v>
          </cell>
          <cell r="AN86">
            <v>54</v>
          </cell>
          <cell r="AO86" t="str">
            <v>BATA MERAH/ BATAKO</v>
          </cell>
          <cell r="AP86">
            <v>90</v>
          </cell>
          <cell r="AQ86" t="str">
            <v>Pengempon, ____ Oktober 2015</v>
          </cell>
          <cell r="AR86" t="str">
            <v>MU'MININ</v>
          </cell>
          <cell r="AS86" t="str">
            <v>BANTENG</v>
          </cell>
          <cell r="AT86" t="str">
            <v>MUNCUL BARU</v>
          </cell>
          <cell r="AU86" t="str">
            <v>Jl. Simpang lima Rt.3/Rw.1 Kec.Pejagoan</v>
          </cell>
          <cell r="AV86" t="str">
            <v>Mohamad Mansur</v>
          </cell>
          <cell r="AW86" t="str">
            <v>BTN KCP KEBUMEN</v>
          </cell>
          <cell r="AX86" t="str">
            <v>'00696</v>
          </cell>
          <cell r="AY86" t="str">
            <v>00696-01-50-000542-4</v>
          </cell>
        </row>
        <row r="87">
          <cell r="A87">
            <v>82</v>
          </cell>
          <cell r="B87" t="str">
            <v>NUR FAIKUN</v>
          </cell>
          <cell r="C87" t="str">
            <v>L</v>
          </cell>
          <cell r="D87" t="str">
            <v>3305141203720002</v>
          </cell>
          <cell r="E87" t="str">
            <v>PENGEMPON RT 04/RW 04</v>
          </cell>
          <cell r="F87" t="str">
            <v>PENGEMPON</v>
          </cell>
          <cell r="G87" t="str">
            <v>SRUWENG</v>
          </cell>
          <cell r="H87" t="str">
            <v>KEBUMEN</v>
          </cell>
          <cell r="I87" t="str">
            <v>JAWA TENGAH</v>
          </cell>
          <cell r="J87">
            <v>15000000</v>
          </cell>
          <cell r="K87">
            <v>42</v>
          </cell>
          <cell r="L87" t="str">
            <v>BURUH HARIAN LEPAS</v>
          </cell>
          <cell r="M87">
            <v>600000</v>
          </cell>
          <cell r="N87">
            <v>7</v>
          </cell>
          <cell r="O87" t="str">
            <v>Tidak Layak</v>
          </cell>
          <cell r="P87" t="str">
            <v>Tidak Layak</v>
          </cell>
          <cell r="Q87" t="str">
            <v>Tidak Layak</v>
          </cell>
          <cell r="R87">
            <v>54</v>
          </cell>
          <cell r="S87">
            <v>0</v>
          </cell>
          <cell r="T87" t="str">
            <v>YUDO SUDOMO</v>
          </cell>
          <cell r="U87">
            <v>0</v>
          </cell>
          <cell r="V87" t="str">
            <v>(0287) 3872017</v>
          </cell>
          <cell r="W87" t="str">
            <v>SIGIT KARSENO</v>
          </cell>
          <cell r="X87">
            <v>0</v>
          </cell>
          <cell r="Y87" t="str">
            <v>NIP :19680424 199803 1011</v>
          </cell>
          <cell r="Z87" t="str">
            <v>Moh. Amirudin, S.IP, MM</v>
          </cell>
          <cell r="AA87" t="str">
            <v>Himawan T P, S.Sos</v>
          </cell>
          <cell r="AB87" t="str">
            <v>0000069601590004543</v>
          </cell>
          <cell r="AC87">
            <v>3086</v>
          </cell>
          <cell r="AD87">
            <v>7.6342499999999998</v>
          </cell>
          <cell r="AE87" t="str">
            <v>109,63178</v>
          </cell>
          <cell r="AF87" t="str">
            <v>Surat Keterangan Pejabat</v>
          </cell>
          <cell r="AG87" t="str">
            <v>Tidak Ada</v>
          </cell>
          <cell r="AH87" t="str">
            <v>GENTENG/USUK/RENG LAPUK</v>
          </cell>
          <cell r="AI87" t="str">
            <v>TANAH</v>
          </cell>
          <cell r="AJ87" t="str">
            <v>PAPAN/ BILIK BAMBU</v>
          </cell>
          <cell r="AK87" t="str">
            <v>GENTENG/USUK/RENG</v>
          </cell>
          <cell r="AL87">
            <v>88</v>
          </cell>
          <cell r="AM87" t="str">
            <v>RABAT BETON</v>
          </cell>
          <cell r="AN87">
            <v>54</v>
          </cell>
          <cell r="AO87" t="str">
            <v>BATA MERAH/ BATAKO</v>
          </cell>
          <cell r="AP87">
            <v>90</v>
          </cell>
          <cell r="AQ87" t="str">
            <v>Pengempon, ____ Oktober 2015</v>
          </cell>
          <cell r="AR87" t="str">
            <v>MU'MININ</v>
          </cell>
          <cell r="AS87" t="str">
            <v>BANTENG</v>
          </cell>
          <cell r="AT87" t="str">
            <v>MUNCUL BARU</v>
          </cell>
          <cell r="AU87" t="str">
            <v>Jl. Simpang lima Rt.3/Rw.1 Kec.Pejagoan</v>
          </cell>
          <cell r="AV87" t="str">
            <v>Mohamad Mansur</v>
          </cell>
          <cell r="AW87" t="str">
            <v>BTN KCP KEBUMEN</v>
          </cell>
          <cell r="AX87" t="str">
            <v>'00696</v>
          </cell>
          <cell r="AY87" t="str">
            <v>00696-01-50-000542-4</v>
          </cell>
        </row>
        <row r="88">
          <cell r="A88">
            <v>83</v>
          </cell>
          <cell r="B88" t="str">
            <v>NASIHUDIN</v>
          </cell>
          <cell r="C88" t="str">
            <v>L</v>
          </cell>
          <cell r="D88" t="str">
            <v>3305142103680001</v>
          </cell>
          <cell r="E88" t="str">
            <v>PENGEMPON RT 04/RW 04</v>
          </cell>
          <cell r="F88" t="str">
            <v>PENGEMPON</v>
          </cell>
          <cell r="G88" t="str">
            <v>SRUWENG</v>
          </cell>
          <cell r="H88" t="str">
            <v>KEBUMEN</v>
          </cell>
          <cell r="I88" t="str">
            <v>JAWA TENGAH</v>
          </cell>
          <cell r="J88">
            <v>15000000</v>
          </cell>
          <cell r="K88">
            <v>46</v>
          </cell>
          <cell r="L88" t="str">
            <v>BURUH HARIAN LEPAS</v>
          </cell>
          <cell r="M88">
            <v>650000</v>
          </cell>
          <cell r="N88">
            <v>7</v>
          </cell>
          <cell r="O88" t="str">
            <v>Tidak Layak</v>
          </cell>
          <cell r="P88" t="str">
            <v>Tidak Layak</v>
          </cell>
          <cell r="Q88" t="str">
            <v>Tidak Layak</v>
          </cell>
          <cell r="R88">
            <v>54</v>
          </cell>
          <cell r="S88">
            <v>0</v>
          </cell>
          <cell r="T88" t="str">
            <v>YUDO SUDOMO</v>
          </cell>
          <cell r="U88">
            <v>0</v>
          </cell>
          <cell r="V88" t="str">
            <v>(0287) 3872017</v>
          </cell>
          <cell r="W88" t="str">
            <v>SIGIT KARSENO</v>
          </cell>
          <cell r="X88">
            <v>0</v>
          </cell>
          <cell r="Y88" t="str">
            <v>NIP :19680424 199803 1011</v>
          </cell>
          <cell r="Z88" t="str">
            <v>Moh. Amirudin, S.IP, MM</v>
          </cell>
          <cell r="AA88" t="str">
            <v>Himawan T P, S.Sos</v>
          </cell>
          <cell r="AB88" t="str">
            <v>0000069601590004381</v>
          </cell>
          <cell r="AC88">
            <v>3086</v>
          </cell>
          <cell r="AD88">
            <v>7.633</v>
          </cell>
          <cell r="AE88" t="str">
            <v>109,63162</v>
          </cell>
          <cell r="AF88" t="str">
            <v>Surat Keterangan Pejabat</v>
          </cell>
          <cell r="AG88" t="str">
            <v>Listrik</v>
          </cell>
          <cell r="AH88" t="str">
            <v>GENTENG/USUK/RENG LAPUK</v>
          </cell>
          <cell r="AI88" t="str">
            <v>TANAH</v>
          </cell>
          <cell r="AJ88" t="str">
            <v>PAPAN/ BILIK BAMBU</v>
          </cell>
          <cell r="AK88" t="str">
            <v>GENTENG/USUK/RENG</v>
          </cell>
          <cell r="AL88">
            <v>88</v>
          </cell>
          <cell r="AM88" t="str">
            <v>RABAT BETON</v>
          </cell>
          <cell r="AN88">
            <v>54</v>
          </cell>
          <cell r="AO88" t="str">
            <v>BATA MERAH/ BATAKO</v>
          </cell>
          <cell r="AP88">
            <v>90</v>
          </cell>
          <cell r="AQ88" t="str">
            <v>Pengempon, ____ Oktober 2015</v>
          </cell>
          <cell r="AR88" t="str">
            <v>MU'MININ</v>
          </cell>
          <cell r="AS88" t="str">
            <v>BANTENG</v>
          </cell>
          <cell r="AT88" t="str">
            <v>MUNCUL BARU</v>
          </cell>
          <cell r="AU88" t="str">
            <v>Jl. Simpang lima Rt.3/Rw.1 Kec.Pejagoan</v>
          </cell>
          <cell r="AV88" t="str">
            <v>Mohamad Mansur</v>
          </cell>
          <cell r="AW88" t="str">
            <v>BTN KCP KEBUMEN</v>
          </cell>
          <cell r="AX88" t="str">
            <v>'00696</v>
          </cell>
          <cell r="AY88" t="str">
            <v>00696-01-50-000542-4</v>
          </cell>
        </row>
        <row r="89">
          <cell r="A89">
            <v>84</v>
          </cell>
          <cell r="B89" t="str">
            <v>SOLIHUN</v>
          </cell>
          <cell r="C89" t="str">
            <v>L</v>
          </cell>
          <cell r="D89" t="str">
            <v>3305141102820003</v>
          </cell>
          <cell r="E89" t="str">
            <v>PENGEMPON RT 04/RW 04</v>
          </cell>
          <cell r="F89" t="str">
            <v>PENGEMPON</v>
          </cell>
          <cell r="G89" t="str">
            <v>SRUWENG</v>
          </cell>
          <cell r="H89" t="str">
            <v>KEBUMEN</v>
          </cell>
          <cell r="I89" t="str">
            <v>JAWA TENGAH</v>
          </cell>
          <cell r="J89">
            <v>15000000</v>
          </cell>
          <cell r="K89">
            <v>32</v>
          </cell>
          <cell r="L89" t="str">
            <v>BURUH HARIAN LEPAS</v>
          </cell>
          <cell r="M89">
            <v>650000</v>
          </cell>
          <cell r="N89">
            <v>3</v>
          </cell>
          <cell r="O89" t="str">
            <v>Tidak Layak</v>
          </cell>
          <cell r="P89" t="str">
            <v>Tidak Layak</v>
          </cell>
          <cell r="Q89" t="str">
            <v>Tidak Layak</v>
          </cell>
          <cell r="R89">
            <v>54</v>
          </cell>
          <cell r="S89">
            <v>0</v>
          </cell>
          <cell r="T89" t="str">
            <v>YUDO SUDOMO</v>
          </cell>
          <cell r="U89">
            <v>0</v>
          </cell>
          <cell r="V89" t="str">
            <v>(0287) 3872017</v>
          </cell>
          <cell r="W89" t="str">
            <v>SIGIT KARSENO</v>
          </cell>
          <cell r="X89">
            <v>0</v>
          </cell>
          <cell r="Y89" t="str">
            <v>NIP :19680424 199803 1011</v>
          </cell>
          <cell r="Z89" t="str">
            <v>Moh. Amirudin, S.IP, MM</v>
          </cell>
          <cell r="AA89" t="str">
            <v>Himawan T P, S.Sos</v>
          </cell>
          <cell r="AB89" t="str">
            <v>0000069601590008220</v>
          </cell>
          <cell r="AC89">
            <v>3086</v>
          </cell>
          <cell r="AD89">
            <v>7.63558</v>
          </cell>
          <cell r="AE89" t="str">
            <v>109,63116</v>
          </cell>
          <cell r="AF89" t="str">
            <v>Surat Keterangan Pejabat</v>
          </cell>
          <cell r="AG89" t="str">
            <v>Listrik</v>
          </cell>
          <cell r="AH89" t="str">
            <v>GENTENG/USUK/RENG LAPUK</v>
          </cell>
          <cell r="AI89" t="str">
            <v>TANAH</v>
          </cell>
          <cell r="AJ89" t="str">
            <v>PAPAN/ BILIK BAMBU</v>
          </cell>
          <cell r="AK89" t="str">
            <v>GENTENG/USUK/RENG</v>
          </cell>
          <cell r="AL89">
            <v>88</v>
          </cell>
          <cell r="AM89" t="str">
            <v>RABAT BETON</v>
          </cell>
          <cell r="AN89">
            <v>54</v>
          </cell>
          <cell r="AO89" t="str">
            <v>BATA MERAH/ BATAKO</v>
          </cell>
          <cell r="AP89">
            <v>90</v>
          </cell>
          <cell r="AQ89" t="str">
            <v>Pengempon, ____ Oktober 2015</v>
          </cell>
          <cell r="AR89" t="str">
            <v>MU'MININ</v>
          </cell>
          <cell r="AS89" t="str">
            <v>BANTENG</v>
          </cell>
          <cell r="AT89" t="str">
            <v>MUNCUL BARU</v>
          </cell>
          <cell r="AU89" t="str">
            <v>Jl. Simpang lima Rt.3/Rw.1 Kec.Pejagoan</v>
          </cell>
          <cell r="AV89" t="str">
            <v>Mohamad Mansur</v>
          </cell>
          <cell r="AW89" t="str">
            <v>BTN KCP KEBUMEN</v>
          </cell>
          <cell r="AX89" t="str">
            <v>'00696</v>
          </cell>
          <cell r="AY89" t="str">
            <v>00696-01-50-000542-4</v>
          </cell>
        </row>
        <row r="90">
          <cell r="A90">
            <v>85</v>
          </cell>
          <cell r="B90" t="str">
            <v>SATIMAN</v>
          </cell>
          <cell r="C90" t="str">
            <v>L</v>
          </cell>
          <cell r="D90" t="str">
            <v>3305143112390014</v>
          </cell>
          <cell r="E90" t="str">
            <v>PENGEMPON RT 04/RW 04</v>
          </cell>
          <cell r="F90" t="str">
            <v>PENGEMPON</v>
          </cell>
          <cell r="G90" t="str">
            <v>SRUWENG</v>
          </cell>
          <cell r="H90" t="str">
            <v>KEBUMEN</v>
          </cell>
          <cell r="I90" t="str">
            <v>JAWA TENGAH</v>
          </cell>
          <cell r="J90">
            <v>15000000</v>
          </cell>
          <cell r="K90">
            <v>75</v>
          </cell>
          <cell r="L90" t="str">
            <v>PETANI/PEKEBUN</v>
          </cell>
          <cell r="M90">
            <v>450000</v>
          </cell>
          <cell r="N90">
            <v>1</v>
          </cell>
          <cell r="O90" t="str">
            <v>Tidak Layak</v>
          </cell>
          <cell r="P90" t="str">
            <v>Tidak Layak</v>
          </cell>
          <cell r="Q90" t="str">
            <v>Tidak Layak</v>
          </cell>
          <cell r="R90">
            <v>54</v>
          </cell>
          <cell r="S90">
            <v>0</v>
          </cell>
          <cell r="T90" t="str">
            <v>YUDO SUDOMO</v>
          </cell>
          <cell r="U90">
            <v>0</v>
          </cell>
          <cell r="V90" t="str">
            <v>(0287) 3872017</v>
          </cell>
          <cell r="W90" t="str">
            <v>SIGIT KARSENO</v>
          </cell>
          <cell r="X90">
            <v>0</v>
          </cell>
          <cell r="Y90" t="str">
            <v>NIP :19680424 199803 1011</v>
          </cell>
          <cell r="Z90" t="str">
            <v>Moh. Amirudin, S.IP, MM</v>
          </cell>
          <cell r="AA90" t="str">
            <v>Himawan T P, S.Sos</v>
          </cell>
          <cell r="AB90" t="str">
            <v>0000069601590007452</v>
          </cell>
          <cell r="AC90">
            <v>3086</v>
          </cell>
          <cell r="AD90">
            <v>7.6356900000000003</v>
          </cell>
          <cell r="AE90" t="str">
            <v>109,63128</v>
          </cell>
          <cell r="AF90" t="str">
            <v>Surat Keterangan Pejabat</v>
          </cell>
          <cell r="AG90" t="str">
            <v>Tidak Ada</v>
          </cell>
          <cell r="AH90" t="str">
            <v>GENTENG/USUK/RENG LAPUK</v>
          </cell>
          <cell r="AI90" t="str">
            <v>TANAH</v>
          </cell>
          <cell r="AJ90" t="str">
            <v>PAPAN/ BILIK BAMBU</v>
          </cell>
          <cell r="AK90" t="str">
            <v>GENTENG/USUK/RENG</v>
          </cell>
          <cell r="AL90">
            <v>88</v>
          </cell>
          <cell r="AM90" t="str">
            <v>RABAT BETON</v>
          </cell>
          <cell r="AN90">
            <v>54</v>
          </cell>
          <cell r="AO90" t="str">
            <v>BATA MERAH/ BATAKO</v>
          </cell>
          <cell r="AP90">
            <v>90</v>
          </cell>
          <cell r="AQ90" t="str">
            <v>Pengempon, ____ Oktober 2015</v>
          </cell>
          <cell r="AR90" t="str">
            <v>MU'MININ</v>
          </cell>
          <cell r="AS90" t="str">
            <v>BANTENG</v>
          </cell>
          <cell r="AT90" t="str">
            <v>MUNCUL BARU</v>
          </cell>
          <cell r="AU90" t="str">
            <v>Jl. Simpang lima Rt.3/Rw.1 Kec.Pejagoan</v>
          </cell>
          <cell r="AV90" t="str">
            <v>Mohamad Mansur</v>
          </cell>
          <cell r="AW90" t="str">
            <v>BTN KCP KEBUMEN</v>
          </cell>
          <cell r="AX90" t="str">
            <v>'00696</v>
          </cell>
          <cell r="AY90" t="str">
            <v>00696-01-50-000542-4</v>
          </cell>
        </row>
        <row r="91">
          <cell r="A91">
            <v>86</v>
          </cell>
          <cell r="B91" t="str">
            <v>SODIKIN</v>
          </cell>
          <cell r="C91" t="str">
            <v>L</v>
          </cell>
          <cell r="D91" t="str">
            <v>3305140810670002</v>
          </cell>
          <cell r="E91" t="str">
            <v>PENGEMPON RT 01/RW 05</v>
          </cell>
          <cell r="F91" t="str">
            <v>PENGEMPON</v>
          </cell>
          <cell r="G91" t="str">
            <v>SRUWENG</v>
          </cell>
          <cell r="H91" t="str">
            <v>KEBUMEN</v>
          </cell>
          <cell r="I91" t="str">
            <v>JAWA TENGAH</v>
          </cell>
          <cell r="J91">
            <v>15000000</v>
          </cell>
          <cell r="K91">
            <v>55</v>
          </cell>
          <cell r="L91" t="str">
            <v>BURUH HARIAN LEPAS</v>
          </cell>
          <cell r="M91">
            <v>850000</v>
          </cell>
          <cell r="N91">
            <v>5</v>
          </cell>
          <cell r="O91" t="str">
            <v>Tidak Layak</v>
          </cell>
          <cell r="P91" t="str">
            <v>Tidak Layak</v>
          </cell>
          <cell r="Q91" t="str">
            <v>Tidak Layak</v>
          </cell>
          <cell r="R91">
            <v>108</v>
          </cell>
          <cell r="S91">
            <v>0</v>
          </cell>
          <cell r="T91" t="str">
            <v>YUDO SUDOMO</v>
          </cell>
          <cell r="U91">
            <v>0</v>
          </cell>
          <cell r="V91" t="str">
            <v>(0287) 3872017</v>
          </cell>
          <cell r="W91" t="str">
            <v>SIGIT KARSENO</v>
          </cell>
          <cell r="X91">
            <v>0</v>
          </cell>
          <cell r="Y91" t="str">
            <v>NIP :19680424 199803 1011</v>
          </cell>
          <cell r="Z91" t="str">
            <v>Moh. Amirudin, S.IP, MM</v>
          </cell>
          <cell r="AA91" t="str">
            <v>Himawan T P, S.Sos</v>
          </cell>
          <cell r="AB91" t="str">
            <v>0000069601590008084</v>
          </cell>
          <cell r="AC91">
            <v>3086</v>
          </cell>
          <cell r="AD91">
            <v>7.6382000000000003</v>
          </cell>
          <cell r="AE91" t="str">
            <v>109,63662</v>
          </cell>
          <cell r="AF91" t="str">
            <v>Surat Keterangan Pejabat</v>
          </cell>
          <cell r="AG91" t="str">
            <v>Tidak Ada</v>
          </cell>
          <cell r="AH91" t="str">
            <v>GENTENG/USUK/RENG LAPUK</v>
          </cell>
          <cell r="AI91" t="str">
            <v>TANAH</v>
          </cell>
          <cell r="AJ91" t="str">
            <v>PAPAN/ BILIK BAMBU</v>
          </cell>
          <cell r="AK91" t="str">
            <v>GENTENG/USUK/RENG</v>
          </cell>
          <cell r="AL91">
            <v>88</v>
          </cell>
          <cell r="AM91" t="str">
            <v>RABAT BETON</v>
          </cell>
          <cell r="AN91">
            <v>54</v>
          </cell>
          <cell r="AO91" t="str">
            <v>BATA MERAH/ BATAKO</v>
          </cell>
          <cell r="AP91">
            <v>90</v>
          </cell>
          <cell r="AQ91" t="str">
            <v>Pengempon, ____ Oktober 2015</v>
          </cell>
          <cell r="AR91" t="str">
            <v>UDINANTO</v>
          </cell>
          <cell r="AS91" t="str">
            <v>ALAS TUA</v>
          </cell>
          <cell r="AT91" t="str">
            <v>MUNCUL BARU</v>
          </cell>
          <cell r="AU91" t="str">
            <v>Jl. Simpang lima Rt.3/Rw.1 Kec.Pejagoan</v>
          </cell>
          <cell r="AV91" t="str">
            <v>Mohamad Mansur</v>
          </cell>
          <cell r="AW91" t="str">
            <v>BTN KCP KEBUMEN</v>
          </cell>
          <cell r="AX91" t="str">
            <v>'00696</v>
          </cell>
          <cell r="AY91" t="str">
            <v>00696-01-50-000542-4</v>
          </cell>
        </row>
        <row r="92">
          <cell r="A92">
            <v>87</v>
          </cell>
          <cell r="B92" t="str">
            <v>SOLIHUDIN</v>
          </cell>
          <cell r="C92" t="str">
            <v>L</v>
          </cell>
          <cell r="D92" t="str">
            <v>3305142604850003</v>
          </cell>
          <cell r="E92" t="str">
            <v>PENGEMPON RT 01/RW 05</v>
          </cell>
          <cell r="F92" t="str">
            <v>PENGEMPON</v>
          </cell>
          <cell r="G92" t="str">
            <v>SRUWENG</v>
          </cell>
          <cell r="H92" t="str">
            <v>KEBUMEN</v>
          </cell>
          <cell r="I92" t="str">
            <v>JAWA TENGAH</v>
          </cell>
          <cell r="J92">
            <v>15000000</v>
          </cell>
          <cell r="K92">
            <v>29</v>
          </cell>
          <cell r="L92" t="str">
            <v>KARYAWAN SWASTA</v>
          </cell>
          <cell r="M92">
            <v>900000</v>
          </cell>
          <cell r="N92">
            <v>1</v>
          </cell>
          <cell r="O92" t="str">
            <v>Tidak Layak</v>
          </cell>
          <cell r="P92" t="str">
            <v>Tidak Layak</v>
          </cell>
          <cell r="Q92" t="str">
            <v>Tidak Layak</v>
          </cell>
          <cell r="R92">
            <v>54</v>
          </cell>
          <cell r="S92">
            <v>0</v>
          </cell>
          <cell r="T92" t="str">
            <v>YUDO SUDOMO</v>
          </cell>
          <cell r="U92">
            <v>0</v>
          </cell>
          <cell r="V92" t="str">
            <v>(0287) 3872017</v>
          </cell>
          <cell r="W92" t="str">
            <v>SIGIT KARSENO</v>
          </cell>
          <cell r="X92">
            <v>0</v>
          </cell>
          <cell r="Y92" t="str">
            <v>NIP :19680424 199803 1011</v>
          </cell>
          <cell r="Z92" t="str">
            <v>Moh. Amirudin, S.IP, MM</v>
          </cell>
          <cell r="AA92" t="str">
            <v>Himawan T P, S.Sos</v>
          </cell>
          <cell r="AB92" t="str">
            <v>0000069601590008212</v>
          </cell>
          <cell r="AC92">
            <v>3086</v>
          </cell>
          <cell r="AD92">
            <v>7.6382399999999997</v>
          </cell>
          <cell r="AE92" t="str">
            <v>109,63702</v>
          </cell>
          <cell r="AF92" t="str">
            <v>Surat Keterangan Pejabat</v>
          </cell>
          <cell r="AG92" t="str">
            <v>Tidak Ada</v>
          </cell>
          <cell r="AH92" t="str">
            <v>GENTENG/USUK/RENG LAPUK</v>
          </cell>
          <cell r="AI92" t="str">
            <v>TANAH</v>
          </cell>
          <cell r="AJ92" t="str">
            <v>PAPAN/ BILIK BAMBU</v>
          </cell>
          <cell r="AK92" t="str">
            <v>GENTENG/USUK/RENG</v>
          </cell>
          <cell r="AL92">
            <v>88</v>
          </cell>
          <cell r="AM92" t="str">
            <v>RABAT BETON</v>
          </cell>
          <cell r="AN92">
            <v>54</v>
          </cell>
          <cell r="AO92" t="str">
            <v>BATA MERAH/ BATAKO</v>
          </cell>
          <cell r="AP92">
            <v>90</v>
          </cell>
          <cell r="AQ92" t="str">
            <v>Pengempon, ____ Oktober 2015</v>
          </cell>
          <cell r="AR92" t="str">
            <v>UDINANTO</v>
          </cell>
          <cell r="AS92" t="str">
            <v>ALAS TUA</v>
          </cell>
          <cell r="AT92" t="str">
            <v>MUNCUL BARU</v>
          </cell>
          <cell r="AU92" t="str">
            <v>Jl. Simpang lima Rt.3/Rw.1 Kec.Pejagoan</v>
          </cell>
          <cell r="AV92" t="str">
            <v>Mohamad Mansur</v>
          </cell>
          <cell r="AW92" t="str">
            <v>BTN KCP KEBUMEN</v>
          </cell>
          <cell r="AX92" t="str">
            <v>'00696</v>
          </cell>
          <cell r="AY92" t="str">
            <v>00696-01-50-000542-4</v>
          </cell>
        </row>
        <row r="93">
          <cell r="A93">
            <v>88</v>
          </cell>
          <cell r="B93" t="str">
            <v>SITI BAENGATUN</v>
          </cell>
          <cell r="C93" t="str">
            <v>P</v>
          </cell>
          <cell r="D93" t="str">
            <v>3305145606770001</v>
          </cell>
          <cell r="E93" t="str">
            <v>PEMGEMPON RT 01/RW 05</v>
          </cell>
          <cell r="F93" t="str">
            <v>PENGEMPON</v>
          </cell>
          <cell r="G93" t="str">
            <v>SRUWENG</v>
          </cell>
          <cell r="H93" t="str">
            <v>KEBUMEN</v>
          </cell>
          <cell r="I93" t="str">
            <v>JAWA TENGAH</v>
          </cell>
          <cell r="J93">
            <v>15000000</v>
          </cell>
          <cell r="K93">
            <v>37</v>
          </cell>
          <cell r="L93" t="str">
            <v>WIRASWASTA</v>
          </cell>
          <cell r="M93">
            <v>400000</v>
          </cell>
          <cell r="N93">
            <v>4</v>
          </cell>
          <cell r="O93" t="str">
            <v>Tidak Layak</v>
          </cell>
          <cell r="P93" t="str">
            <v>Tidak Layak</v>
          </cell>
          <cell r="Q93" t="str">
            <v>Tidak Layak</v>
          </cell>
          <cell r="R93">
            <v>54</v>
          </cell>
          <cell r="S93">
            <v>0</v>
          </cell>
          <cell r="T93" t="str">
            <v>YUDO SUDOMO</v>
          </cell>
          <cell r="U93">
            <v>0</v>
          </cell>
          <cell r="V93" t="str">
            <v>(0287) 3872017</v>
          </cell>
          <cell r="W93" t="str">
            <v>SIGIT KARSENO</v>
          </cell>
          <cell r="X93">
            <v>0</v>
          </cell>
          <cell r="Y93" t="str">
            <v>NIP :19680424 199803 1011</v>
          </cell>
          <cell r="Z93" t="str">
            <v>Moh. Amirudin, S.IP, MM</v>
          </cell>
          <cell r="AA93" t="str">
            <v>Himawan T P, S.Sos</v>
          </cell>
          <cell r="AB93" t="str">
            <v>0000069601590007868</v>
          </cell>
          <cell r="AC93">
            <v>3086</v>
          </cell>
          <cell r="AD93">
            <v>7.6382000000000003</v>
          </cell>
          <cell r="AE93" t="str">
            <v>109,63386</v>
          </cell>
          <cell r="AF93" t="str">
            <v>Surat Keterangan Pejabat</v>
          </cell>
          <cell r="AG93" t="str">
            <v>Tidak Ada</v>
          </cell>
          <cell r="AH93" t="str">
            <v>GENTENG/USUK/RENG LAPUK</v>
          </cell>
          <cell r="AI93" t="str">
            <v>TANAH</v>
          </cell>
          <cell r="AJ93" t="str">
            <v>PAPAN/ BILIK BAMBU</v>
          </cell>
          <cell r="AK93" t="str">
            <v>GENTENG/USUK/RENG</v>
          </cell>
          <cell r="AL93">
            <v>88</v>
          </cell>
          <cell r="AM93" t="str">
            <v>RABAT BETON</v>
          </cell>
          <cell r="AN93">
            <v>54</v>
          </cell>
          <cell r="AO93" t="str">
            <v>BATA MERAH/ BATAKO</v>
          </cell>
          <cell r="AP93">
            <v>90</v>
          </cell>
          <cell r="AQ93" t="str">
            <v>Pengempon, ____ Oktober 2015</v>
          </cell>
          <cell r="AR93" t="str">
            <v>UDINANTO</v>
          </cell>
          <cell r="AS93" t="str">
            <v>ALAS TUA</v>
          </cell>
          <cell r="AT93" t="str">
            <v>MUNCUL BARU</v>
          </cell>
          <cell r="AU93" t="str">
            <v>Jl. Simpang lima Rt.3/Rw.1 Kec.Pejagoan</v>
          </cell>
          <cell r="AV93" t="str">
            <v>Mohamad Mansur</v>
          </cell>
          <cell r="AW93" t="str">
            <v>BTN KCP KEBUMEN</v>
          </cell>
          <cell r="AX93" t="str">
            <v>'00696</v>
          </cell>
          <cell r="AY93" t="str">
            <v>00696-01-50-000542-4</v>
          </cell>
        </row>
        <row r="94">
          <cell r="A94">
            <v>89</v>
          </cell>
          <cell r="B94" t="str">
            <v>SOMADI</v>
          </cell>
          <cell r="C94" t="str">
            <v>L</v>
          </cell>
          <cell r="D94" t="str">
            <v>3305140201260001</v>
          </cell>
          <cell r="E94" t="str">
            <v>PENGEMPON RT 02/RW 05</v>
          </cell>
          <cell r="F94" t="str">
            <v>PENGEMPON</v>
          </cell>
          <cell r="G94" t="str">
            <v>SRUWENG</v>
          </cell>
          <cell r="H94" t="str">
            <v>KEBUMEN</v>
          </cell>
          <cell r="I94" t="str">
            <v>JAWA TENGAH</v>
          </cell>
          <cell r="J94">
            <v>15000000</v>
          </cell>
          <cell r="K94">
            <v>88</v>
          </cell>
          <cell r="L94" t="str">
            <v>BURUH HARIAN LEPAS</v>
          </cell>
          <cell r="M94">
            <v>300000</v>
          </cell>
          <cell r="N94">
            <v>1</v>
          </cell>
          <cell r="O94" t="str">
            <v>Tidak Layak</v>
          </cell>
          <cell r="P94" t="str">
            <v>Tidak Layak</v>
          </cell>
          <cell r="Q94" t="str">
            <v>Tidak Layak</v>
          </cell>
          <cell r="R94">
            <v>54</v>
          </cell>
          <cell r="S94">
            <v>0</v>
          </cell>
          <cell r="T94" t="str">
            <v>YUDO SUDOMO</v>
          </cell>
          <cell r="U94">
            <v>0</v>
          </cell>
          <cell r="V94" t="str">
            <v>(0287) 3872017</v>
          </cell>
          <cell r="W94" t="str">
            <v>SIGIT KARSENO</v>
          </cell>
          <cell r="X94">
            <v>0</v>
          </cell>
          <cell r="Y94" t="str">
            <v>NIP :19680424 199803 1011</v>
          </cell>
          <cell r="Z94" t="str">
            <v>Moh. Amirudin, S.IP, MM</v>
          </cell>
          <cell r="AA94" t="str">
            <v>Himawan T P, S.Sos</v>
          </cell>
          <cell r="AB94" t="str">
            <v>0000069601590008254</v>
          </cell>
          <cell r="AC94">
            <v>3086</v>
          </cell>
          <cell r="AD94">
            <v>7.6388800000000003</v>
          </cell>
          <cell r="AE94" t="str">
            <v>109,63926</v>
          </cell>
          <cell r="AF94" t="str">
            <v>Surat Keterangan Pejabat</v>
          </cell>
          <cell r="AG94" t="str">
            <v>Tidak Ada</v>
          </cell>
          <cell r="AH94" t="str">
            <v>GENTENG/USUK/RENG LAPUK</v>
          </cell>
          <cell r="AI94" t="str">
            <v>TANAH</v>
          </cell>
          <cell r="AJ94" t="str">
            <v>PAPAN/ BILIK BAMBU</v>
          </cell>
          <cell r="AK94" t="str">
            <v>GENTENG/USUK/RENG</v>
          </cell>
          <cell r="AL94">
            <v>88</v>
          </cell>
          <cell r="AM94" t="str">
            <v>RABAT BETON</v>
          </cell>
          <cell r="AN94">
            <v>54</v>
          </cell>
          <cell r="AO94" t="str">
            <v>BATA MERAH/ BATAKO</v>
          </cell>
          <cell r="AP94">
            <v>90</v>
          </cell>
          <cell r="AQ94" t="str">
            <v>Pengempon, ____ Oktober 2015</v>
          </cell>
          <cell r="AR94" t="str">
            <v>UDINANTO</v>
          </cell>
          <cell r="AS94" t="str">
            <v>ALAS TUA</v>
          </cell>
          <cell r="AT94" t="str">
            <v>MUNCUL BARU</v>
          </cell>
          <cell r="AU94" t="str">
            <v>Jl. Simpang lima Rt.3/Rw.1 Kec.Pejagoan</v>
          </cell>
          <cell r="AV94" t="str">
            <v>Mohamad Mansur</v>
          </cell>
          <cell r="AW94" t="str">
            <v>BTN KCP KEBUMEN</v>
          </cell>
          <cell r="AX94" t="str">
            <v>'00696</v>
          </cell>
          <cell r="AY94" t="str">
            <v>00696-01-50-000542-4</v>
          </cell>
        </row>
        <row r="95">
          <cell r="A95">
            <v>90</v>
          </cell>
          <cell r="B95" t="str">
            <v>MUFIDUN</v>
          </cell>
          <cell r="C95" t="str">
            <v>L</v>
          </cell>
          <cell r="D95" t="str">
            <v>3305141508850001</v>
          </cell>
          <cell r="E95" t="str">
            <v>PENGEMPON RT 02/RW 05</v>
          </cell>
          <cell r="F95" t="str">
            <v>PENGEMPON</v>
          </cell>
          <cell r="G95" t="str">
            <v>SRUWENG</v>
          </cell>
          <cell r="H95" t="str">
            <v>KEBUMEN</v>
          </cell>
          <cell r="I95" t="str">
            <v>JAWA TENGAH</v>
          </cell>
          <cell r="J95">
            <v>15000000</v>
          </cell>
          <cell r="K95">
            <v>29</v>
          </cell>
          <cell r="L95" t="str">
            <v>KARYAWAN SWASTA</v>
          </cell>
          <cell r="M95">
            <v>800000</v>
          </cell>
          <cell r="N95">
            <v>3</v>
          </cell>
          <cell r="O95" t="str">
            <v>Tidak Layak</v>
          </cell>
          <cell r="P95" t="str">
            <v>Tidak Layak</v>
          </cell>
          <cell r="Q95" t="str">
            <v>Tidak Layak</v>
          </cell>
          <cell r="R95">
            <v>36</v>
          </cell>
          <cell r="S95">
            <v>0</v>
          </cell>
          <cell r="T95" t="str">
            <v>YUDO SUDOMO</v>
          </cell>
          <cell r="U95">
            <v>0</v>
          </cell>
          <cell r="V95" t="str">
            <v>(0287) 3872017</v>
          </cell>
          <cell r="W95" t="str">
            <v>SIGIT KARSENO</v>
          </cell>
          <cell r="X95">
            <v>0</v>
          </cell>
          <cell r="Y95" t="str">
            <v>NIP :19680424 199803 1011</v>
          </cell>
          <cell r="Z95" t="str">
            <v>Moh. Amirudin, S.IP, MM</v>
          </cell>
          <cell r="AA95" t="str">
            <v>Himawan T P, S.Sos</v>
          </cell>
          <cell r="AB95" t="str">
            <v>0000069601590003783</v>
          </cell>
          <cell r="AC95">
            <v>3086</v>
          </cell>
          <cell r="AD95">
            <v>7.6387700000000001</v>
          </cell>
          <cell r="AE95" t="str">
            <v>109,64011</v>
          </cell>
          <cell r="AF95" t="str">
            <v>Surat Keterangan Pejabat</v>
          </cell>
          <cell r="AG95" t="str">
            <v>Tidak Ada</v>
          </cell>
          <cell r="AH95" t="str">
            <v>GENTENG/USUK/RENG LAPUK</v>
          </cell>
          <cell r="AI95" t="str">
            <v>TANAH</v>
          </cell>
          <cell r="AJ95" t="str">
            <v>PAPAN/ BILIK BAMBU</v>
          </cell>
          <cell r="AK95" t="str">
            <v>GENTENG/USUK/RENG</v>
          </cell>
          <cell r="AL95">
            <v>88</v>
          </cell>
          <cell r="AM95" t="str">
            <v>RABAT BETON</v>
          </cell>
          <cell r="AN95">
            <v>54</v>
          </cell>
          <cell r="AO95" t="str">
            <v>BATA MERAH/ BATAKO</v>
          </cell>
          <cell r="AP95">
            <v>90</v>
          </cell>
          <cell r="AQ95" t="str">
            <v>Pengempon, ____ Oktober 2015</v>
          </cell>
          <cell r="AR95" t="str">
            <v>UDINANTO</v>
          </cell>
          <cell r="AS95" t="str">
            <v>ALAS TUA</v>
          </cell>
          <cell r="AT95" t="str">
            <v>MUNCUL BARU</v>
          </cell>
          <cell r="AU95" t="str">
            <v>Jl. Simpang lima Rt.3/Rw.1 Kec.Pejagoan</v>
          </cell>
          <cell r="AV95" t="str">
            <v>Mohamad Mansur</v>
          </cell>
          <cell r="AW95" t="str">
            <v>BTN KCP KEBUMEN</v>
          </cell>
          <cell r="AX95" t="str">
            <v>'00696</v>
          </cell>
          <cell r="AY95" t="str">
            <v>00696-01-50-000542-4</v>
          </cell>
        </row>
        <row r="96">
          <cell r="A96">
            <v>91</v>
          </cell>
          <cell r="B96" t="str">
            <v>RATIMIN</v>
          </cell>
          <cell r="C96" t="str">
            <v>L</v>
          </cell>
          <cell r="D96" t="str">
            <v>3305140707550002</v>
          </cell>
          <cell r="E96" t="str">
            <v>PENGEMPON RT 02/RW 05</v>
          </cell>
          <cell r="F96" t="str">
            <v>PENGEMPON</v>
          </cell>
          <cell r="G96" t="str">
            <v>SRUWENG</v>
          </cell>
          <cell r="H96" t="str">
            <v>KEBUMEN</v>
          </cell>
          <cell r="I96" t="str">
            <v>JAWA TENGAH</v>
          </cell>
          <cell r="J96">
            <v>15000000</v>
          </cell>
          <cell r="K96">
            <v>59</v>
          </cell>
          <cell r="L96" t="str">
            <v>PETANI/PEKEBUN</v>
          </cell>
          <cell r="M96">
            <v>750000</v>
          </cell>
          <cell r="N96">
            <v>6</v>
          </cell>
          <cell r="O96" t="str">
            <v>Tidak Layak</v>
          </cell>
          <cell r="P96" t="str">
            <v>Tidak Layak</v>
          </cell>
          <cell r="Q96" t="str">
            <v>Tidak Layak</v>
          </cell>
          <cell r="R96">
            <v>40</v>
          </cell>
          <cell r="S96">
            <v>0</v>
          </cell>
          <cell r="T96" t="str">
            <v>YUDO SUDOMO</v>
          </cell>
          <cell r="U96">
            <v>0</v>
          </cell>
          <cell r="V96" t="str">
            <v>(0287) 3872017</v>
          </cell>
          <cell r="W96" t="str">
            <v>SIGIT KARSENO</v>
          </cell>
          <cell r="X96">
            <v>0</v>
          </cell>
          <cell r="Y96" t="str">
            <v>NIP :19680424 199803 1011</v>
          </cell>
          <cell r="Z96" t="str">
            <v>Moh. Amirudin, S.IP, MM</v>
          </cell>
          <cell r="AA96" t="str">
            <v>Himawan T P, S.Sos</v>
          </cell>
          <cell r="AB96" t="str">
            <v>0000069601590005557</v>
          </cell>
          <cell r="AC96">
            <v>3086</v>
          </cell>
          <cell r="AD96">
            <v>7.6400699999999997</v>
          </cell>
          <cell r="AE96" t="str">
            <v>109,63556</v>
          </cell>
          <cell r="AF96" t="str">
            <v>Surat Keterangan Pejabat</v>
          </cell>
          <cell r="AG96" t="str">
            <v>Tidak Ada</v>
          </cell>
          <cell r="AH96" t="str">
            <v>GENTENG/USUK/RENG LAPUK</v>
          </cell>
          <cell r="AI96" t="str">
            <v>TANAH</v>
          </cell>
          <cell r="AJ96" t="str">
            <v>PAPAN/ BILIK BAMBU</v>
          </cell>
          <cell r="AK96" t="str">
            <v>GENTENG/USUK/RENG</v>
          </cell>
          <cell r="AL96">
            <v>88</v>
          </cell>
          <cell r="AM96" t="str">
            <v>RABAT BETON</v>
          </cell>
          <cell r="AN96">
            <v>54</v>
          </cell>
          <cell r="AO96" t="str">
            <v>BATA MERAH/ BATAKO</v>
          </cell>
          <cell r="AP96">
            <v>90</v>
          </cell>
          <cell r="AQ96" t="str">
            <v>Pengempon, ____ Oktober 2015</v>
          </cell>
          <cell r="AR96" t="str">
            <v>UDINANTO</v>
          </cell>
          <cell r="AS96" t="str">
            <v>ALAS TUA</v>
          </cell>
          <cell r="AT96" t="str">
            <v>MUNCUL BARU</v>
          </cell>
          <cell r="AU96" t="str">
            <v>Jl. Simpang lima Rt.3/Rw.1 Kec.Pejagoan</v>
          </cell>
          <cell r="AV96" t="str">
            <v>Mohamad Mansur</v>
          </cell>
          <cell r="AW96" t="str">
            <v>BTN KCP KEBUMEN</v>
          </cell>
          <cell r="AX96" t="str">
            <v>'00696</v>
          </cell>
          <cell r="AY96" t="str">
            <v>00696-01-50-000542-4</v>
          </cell>
        </row>
        <row r="97">
          <cell r="A97">
            <v>92</v>
          </cell>
          <cell r="B97" t="str">
            <v>UDINANTO</v>
          </cell>
          <cell r="C97" t="str">
            <v>L</v>
          </cell>
          <cell r="D97" t="str">
            <v>3305141709690001</v>
          </cell>
          <cell r="E97" t="str">
            <v>PENGEMPON RT 02/RW 05</v>
          </cell>
          <cell r="F97" t="str">
            <v>PENGEMPON</v>
          </cell>
          <cell r="G97" t="str">
            <v>SRUWENG</v>
          </cell>
          <cell r="H97" t="str">
            <v>KEBUMEN</v>
          </cell>
          <cell r="I97" t="str">
            <v>JAWA TENGAH</v>
          </cell>
          <cell r="J97">
            <v>15000000</v>
          </cell>
          <cell r="K97">
            <v>45</v>
          </cell>
          <cell r="L97" t="str">
            <v>BURUH HARIAN LEPAS</v>
          </cell>
          <cell r="M97">
            <v>600000</v>
          </cell>
          <cell r="N97">
            <v>6</v>
          </cell>
          <cell r="O97" t="str">
            <v>Tidak Layak</v>
          </cell>
          <cell r="P97" t="str">
            <v>Tidak Layak</v>
          </cell>
          <cell r="Q97" t="str">
            <v>Tidak Layak</v>
          </cell>
          <cell r="R97">
            <v>36</v>
          </cell>
          <cell r="S97">
            <v>0</v>
          </cell>
          <cell r="T97" t="str">
            <v>YUDO SUDOMO</v>
          </cell>
          <cell r="U97">
            <v>0</v>
          </cell>
          <cell r="V97" t="str">
            <v>(0287) 3872017</v>
          </cell>
          <cell r="W97" t="str">
            <v>SIGIT KARSENO</v>
          </cell>
          <cell r="X97">
            <v>0</v>
          </cell>
          <cell r="Y97" t="str">
            <v>NIP :19680424 199803 1011</v>
          </cell>
          <cell r="Z97" t="str">
            <v>Moh. Amirudin, S.IP, MM</v>
          </cell>
          <cell r="AA97" t="str">
            <v>Himawan T P, S.Sos</v>
          </cell>
          <cell r="AB97" t="str">
            <v>0000069601590010170</v>
          </cell>
          <cell r="AC97">
            <v>3086</v>
          </cell>
          <cell r="AD97">
            <v>7.6387299999999998</v>
          </cell>
          <cell r="AE97" t="str">
            <v>109,63914</v>
          </cell>
          <cell r="AF97" t="str">
            <v>Surat Keterangan Pejabat</v>
          </cell>
          <cell r="AG97" t="str">
            <v>Tidak Ada</v>
          </cell>
          <cell r="AH97" t="str">
            <v>GENTENG/USUK/RENG LAPUK</v>
          </cell>
          <cell r="AI97" t="str">
            <v>TANAH</v>
          </cell>
          <cell r="AJ97" t="str">
            <v>PAPAN/ BILIK BAMBU</v>
          </cell>
          <cell r="AK97" t="str">
            <v>GENTENG/USUK/RENG</v>
          </cell>
          <cell r="AL97">
            <v>88</v>
          </cell>
          <cell r="AM97" t="str">
            <v>RABAT BETON</v>
          </cell>
          <cell r="AN97">
            <v>54</v>
          </cell>
          <cell r="AO97" t="str">
            <v>BATA MERAH/ BATAKO</v>
          </cell>
          <cell r="AP97">
            <v>90</v>
          </cell>
          <cell r="AQ97" t="str">
            <v>Pengempon, ____ Oktober 2015</v>
          </cell>
          <cell r="AR97" t="str">
            <v>UDINANTO</v>
          </cell>
          <cell r="AS97" t="str">
            <v>ALAS TUA</v>
          </cell>
          <cell r="AT97" t="str">
            <v>MUNCUL BARU</v>
          </cell>
          <cell r="AU97" t="str">
            <v>Jl. Simpang lima Rt.3/Rw.1 Kec.Pejagoan</v>
          </cell>
          <cell r="AV97" t="str">
            <v>Mohamad Mansur</v>
          </cell>
          <cell r="AW97" t="str">
            <v>BTN KCP KEBUMEN</v>
          </cell>
          <cell r="AX97" t="str">
            <v>'00696</v>
          </cell>
          <cell r="AY97" t="str">
            <v>00696-01-50-000542-4</v>
          </cell>
        </row>
        <row r="98">
          <cell r="A98">
            <v>93</v>
          </cell>
          <cell r="B98" t="str">
            <v>SARIMUN</v>
          </cell>
          <cell r="C98" t="str">
            <v>L</v>
          </cell>
          <cell r="D98" t="str">
            <v>3305143112690020</v>
          </cell>
          <cell r="E98" t="str">
            <v>PENGEMPON RT 02/RW 05</v>
          </cell>
          <cell r="F98" t="str">
            <v>PENGEMPON</v>
          </cell>
          <cell r="G98" t="str">
            <v>SRUWENG</v>
          </cell>
          <cell r="H98" t="str">
            <v>KEBUMEN</v>
          </cell>
          <cell r="I98" t="str">
            <v>JAWA TENGAH</v>
          </cell>
          <cell r="J98">
            <v>15000000</v>
          </cell>
          <cell r="K98">
            <v>45</v>
          </cell>
          <cell r="L98" t="str">
            <v>BURUH HARIAN LEPAS</v>
          </cell>
          <cell r="M98">
            <v>700000</v>
          </cell>
          <cell r="N98">
            <v>3</v>
          </cell>
          <cell r="O98" t="str">
            <v>Tidak Layak</v>
          </cell>
          <cell r="P98" t="str">
            <v>Tidak Layak</v>
          </cell>
          <cell r="Q98" t="str">
            <v>Tidak Layak</v>
          </cell>
          <cell r="R98">
            <v>78</v>
          </cell>
          <cell r="S98">
            <v>0</v>
          </cell>
          <cell r="T98" t="str">
            <v>YUDO SUDOMO</v>
          </cell>
          <cell r="U98">
            <v>0</v>
          </cell>
          <cell r="V98" t="str">
            <v>(0287) 3872017</v>
          </cell>
          <cell r="W98" t="str">
            <v>SIGIT KARSENO</v>
          </cell>
          <cell r="X98">
            <v>0</v>
          </cell>
          <cell r="Y98" t="str">
            <v>NIP :19680424 199803 1011</v>
          </cell>
          <cell r="Z98" t="str">
            <v>Moh. Amirudin, S.IP, MM</v>
          </cell>
          <cell r="AA98" t="str">
            <v>Himawan T P, S.Sos</v>
          </cell>
          <cell r="AB98" t="str">
            <v>0000069601590007216</v>
          </cell>
          <cell r="AC98">
            <v>3086</v>
          </cell>
          <cell r="AD98">
            <v>7.6389199999999997</v>
          </cell>
          <cell r="AE98" t="str">
            <v>109,6388</v>
          </cell>
          <cell r="AF98" t="str">
            <v>Surat Keterangan Pejabat</v>
          </cell>
          <cell r="AG98" t="str">
            <v>Tidak Ada</v>
          </cell>
          <cell r="AH98" t="str">
            <v>GENTENG/USUK/RENG LAPUK</v>
          </cell>
          <cell r="AI98" t="str">
            <v>TANAH</v>
          </cell>
          <cell r="AJ98" t="str">
            <v>PAPAN/ BILIK BAMBU</v>
          </cell>
          <cell r="AK98" t="str">
            <v>GENTENG/USUK/RENG</v>
          </cell>
          <cell r="AL98">
            <v>88</v>
          </cell>
          <cell r="AM98" t="str">
            <v>RABAT BETON</v>
          </cell>
          <cell r="AN98">
            <v>54</v>
          </cell>
          <cell r="AO98" t="str">
            <v>BATA MERAH/ BATAKO</v>
          </cell>
          <cell r="AP98">
            <v>90</v>
          </cell>
          <cell r="AQ98" t="str">
            <v>Pengempon, ____ Oktober 2015</v>
          </cell>
          <cell r="AR98" t="str">
            <v>UDINANTO</v>
          </cell>
          <cell r="AS98" t="str">
            <v>ALAS TUA</v>
          </cell>
          <cell r="AT98" t="str">
            <v>MUNCUL BARU</v>
          </cell>
          <cell r="AU98" t="str">
            <v>Jl. Simpang lima Rt.3/Rw.1 Kec.Pejagoan</v>
          </cell>
          <cell r="AV98" t="str">
            <v>Mohamad Mansur</v>
          </cell>
          <cell r="AW98" t="str">
            <v>BTN KCP KEBUMEN</v>
          </cell>
          <cell r="AX98" t="str">
            <v>'00696</v>
          </cell>
          <cell r="AY98" t="str">
            <v>00696-01-50-000542-4</v>
          </cell>
        </row>
        <row r="99">
          <cell r="A99">
            <v>94</v>
          </cell>
          <cell r="B99" t="str">
            <v>NUR KHOLIS</v>
          </cell>
          <cell r="C99" t="str">
            <v>L</v>
          </cell>
          <cell r="D99" t="str">
            <v>3305140910810004</v>
          </cell>
          <cell r="E99" t="str">
            <v>PENGEMPON RT 02/RW 05</v>
          </cell>
          <cell r="F99" t="str">
            <v>PENGEMPON</v>
          </cell>
          <cell r="G99" t="str">
            <v>SRUWENG</v>
          </cell>
          <cell r="H99" t="str">
            <v>KEBUMEN</v>
          </cell>
          <cell r="I99" t="str">
            <v>JAWA TENGAH</v>
          </cell>
          <cell r="J99">
            <v>15000000</v>
          </cell>
          <cell r="K99">
            <v>33</v>
          </cell>
          <cell r="L99" t="str">
            <v>BURUH HARIAN LEPAS</v>
          </cell>
          <cell r="M99">
            <v>600000</v>
          </cell>
          <cell r="N99">
            <v>6</v>
          </cell>
          <cell r="O99" t="str">
            <v>Tidak Layak</v>
          </cell>
          <cell r="P99" t="str">
            <v>Tidak Layak</v>
          </cell>
          <cell r="Q99" t="str">
            <v>Tidak Layak</v>
          </cell>
          <cell r="R99">
            <v>40</v>
          </cell>
          <cell r="S99">
            <v>0</v>
          </cell>
          <cell r="T99" t="str">
            <v>YUDO SUDOMO</v>
          </cell>
          <cell r="U99">
            <v>0</v>
          </cell>
          <cell r="V99" t="str">
            <v>(0287) 3872017</v>
          </cell>
          <cell r="W99" t="str">
            <v>SIGIT KARSENO</v>
          </cell>
          <cell r="X99">
            <v>0</v>
          </cell>
          <cell r="Y99" t="str">
            <v>NIP :19680424 199803 1011</v>
          </cell>
          <cell r="Z99" t="str">
            <v>Moh. Amirudin, S.IP, MM</v>
          </cell>
          <cell r="AA99" t="str">
            <v>Himawan T P, S.Sos</v>
          </cell>
          <cell r="AB99" t="str">
            <v>0000069601590004585</v>
          </cell>
          <cell r="AC99">
            <v>3086</v>
          </cell>
          <cell r="AD99">
            <v>7.6401399999999997</v>
          </cell>
          <cell r="AE99" t="str">
            <v>109,63543</v>
          </cell>
          <cell r="AF99" t="str">
            <v>Surat Keterangan Pejabat</v>
          </cell>
          <cell r="AG99" t="str">
            <v>Tidak Ada</v>
          </cell>
          <cell r="AH99" t="str">
            <v>GENTENG/USUK/RENG LAPUK</v>
          </cell>
          <cell r="AI99" t="str">
            <v>TANAH</v>
          </cell>
          <cell r="AJ99" t="str">
            <v>PAPAN/ BILIK BAMBU</v>
          </cell>
          <cell r="AK99" t="str">
            <v>GENTENG/USUK/RENG</v>
          </cell>
          <cell r="AL99">
            <v>88</v>
          </cell>
          <cell r="AM99" t="str">
            <v>RABAT BETON</v>
          </cell>
          <cell r="AN99">
            <v>54</v>
          </cell>
          <cell r="AO99" t="str">
            <v>BATA MERAH/ BATAKO</v>
          </cell>
          <cell r="AP99">
            <v>90</v>
          </cell>
          <cell r="AQ99" t="str">
            <v>Pengempon, ____ Oktober 2015</v>
          </cell>
          <cell r="AR99" t="str">
            <v>UDINANTO</v>
          </cell>
          <cell r="AS99" t="str">
            <v>ALAS TUA</v>
          </cell>
          <cell r="AT99" t="str">
            <v>MUNCUL BARU</v>
          </cell>
          <cell r="AU99" t="str">
            <v>Jl. Simpang lima Rt.3/Rw.1 Kec.Pejagoan</v>
          </cell>
          <cell r="AV99" t="str">
            <v>Mohamad Mansur</v>
          </cell>
          <cell r="AW99" t="str">
            <v>BTN KCP KEBUMEN</v>
          </cell>
          <cell r="AX99" t="str">
            <v>'00696</v>
          </cell>
          <cell r="AY99" t="str">
            <v>00696-01-50-000542-4</v>
          </cell>
        </row>
        <row r="100">
          <cell r="A100">
            <v>95</v>
          </cell>
          <cell r="B100" t="str">
            <v>SAKIMIN</v>
          </cell>
          <cell r="C100" t="str">
            <v>L</v>
          </cell>
          <cell r="D100" t="str">
            <v>3305141210490001</v>
          </cell>
          <cell r="E100" t="str">
            <v>PENGEMPON RT 03/RW 05</v>
          </cell>
          <cell r="F100" t="str">
            <v>PENGEMPON</v>
          </cell>
          <cell r="G100" t="str">
            <v>SRUWENG</v>
          </cell>
          <cell r="H100" t="str">
            <v>KEBUMEN</v>
          </cell>
          <cell r="I100" t="str">
            <v>JAWA TENGAH</v>
          </cell>
          <cell r="J100">
            <v>15000000</v>
          </cell>
          <cell r="K100">
            <v>65</v>
          </cell>
          <cell r="L100" t="str">
            <v>BURUH HARIAN LEPAS</v>
          </cell>
          <cell r="M100">
            <v>700000</v>
          </cell>
          <cell r="N100">
            <v>3</v>
          </cell>
          <cell r="O100" t="str">
            <v>Tidak Layak</v>
          </cell>
          <cell r="P100" t="str">
            <v>Tidak Layak</v>
          </cell>
          <cell r="Q100" t="str">
            <v>Tidak Layak</v>
          </cell>
          <cell r="R100">
            <v>54</v>
          </cell>
          <cell r="S100">
            <v>0</v>
          </cell>
          <cell r="T100" t="str">
            <v>YUDO SUDOMO</v>
          </cell>
          <cell r="U100">
            <v>0</v>
          </cell>
          <cell r="V100" t="str">
            <v>(0287) 3872017</v>
          </cell>
          <cell r="W100" t="str">
            <v>SIGIT KARSENO</v>
          </cell>
          <cell r="X100">
            <v>0</v>
          </cell>
          <cell r="Y100" t="str">
            <v>NIP :19680424 199803 1011</v>
          </cell>
          <cell r="Z100" t="str">
            <v>Moh. Amirudin, S.IP, MM</v>
          </cell>
          <cell r="AA100" t="str">
            <v>Himawan T P, S.Sos</v>
          </cell>
          <cell r="AB100" t="str">
            <v>0000069601590006286</v>
          </cell>
          <cell r="AC100">
            <v>3086</v>
          </cell>
          <cell r="AD100">
            <v>7.6362800000000002</v>
          </cell>
          <cell r="AE100" t="str">
            <v>109,64006</v>
          </cell>
          <cell r="AF100" t="str">
            <v>Surat Keterangan Pejabat</v>
          </cell>
          <cell r="AG100" t="str">
            <v>Listrik</v>
          </cell>
          <cell r="AH100" t="str">
            <v>GENTENG/USUK/RENG LAPUK</v>
          </cell>
          <cell r="AI100" t="str">
            <v>TANAH</v>
          </cell>
          <cell r="AJ100" t="str">
            <v>PAPAN/ BILIK BAMBU</v>
          </cell>
          <cell r="AK100" t="str">
            <v>GENTENG/USUK/RENG</v>
          </cell>
          <cell r="AL100">
            <v>88</v>
          </cell>
          <cell r="AM100" t="str">
            <v>RABAT BETON</v>
          </cell>
          <cell r="AN100">
            <v>54</v>
          </cell>
          <cell r="AO100" t="str">
            <v>BATA MERAH/ BATAKO</v>
          </cell>
          <cell r="AP100">
            <v>90</v>
          </cell>
          <cell r="AQ100" t="str">
            <v>Pengempon, ____ Oktober 2015</v>
          </cell>
          <cell r="AR100" t="str">
            <v>KASAN</v>
          </cell>
          <cell r="AS100" t="str">
            <v>CINGKRANG</v>
          </cell>
          <cell r="AT100" t="str">
            <v>MUNCUL BARU</v>
          </cell>
          <cell r="AU100" t="str">
            <v>Jl. Simpang lima Rt.3/Rw.1 Kec.Pejagoan</v>
          </cell>
          <cell r="AV100" t="str">
            <v>Mohamad Mansur</v>
          </cell>
          <cell r="AW100" t="str">
            <v>BTN KCP KEBUMEN</v>
          </cell>
          <cell r="AX100" t="str">
            <v>'00696</v>
          </cell>
          <cell r="AY100" t="str">
            <v>00696-01-50-000542-4</v>
          </cell>
        </row>
        <row r="101">
          <cell r="A101">
            <v>96</v>
          </cell>
          <cell r="B101" t="str">
            <v>SURYATI</v>
          </cell>
          <cell r="C101" t="str">
            <v>P</v>
          </cell>
          <cell r="D101" t="str">
            <v>3305144505590006</v>
          </cell>
          <cell r="E101" t="str">
            <v>PENGEMPON RT 03/RW 05</v>
          </cell>
          <cell r="F101" t="str">
            <v>PENGEMPON</v>
          </cell>
          <cell r="G101" t="str">
            <v>SRUWENG</v>
          </cell>
          <cell r="H101" t="str">
            <v>KEBUMEN</v>
          </cell>
          <cell r="I101" t="str">
            <v>JAWA TENGAH</v>
          </cell>
          <cell r="J101">
            <v>15000000</v>
          </cell>
          <cell r="K101">
            <v>55</v>
          </cell>
          <cell r="L101" t="str">
            <v>BURUH HARIAN LEPAS</v>
          </cell>
          <cell r="M101">
            <v>660000</v>
          </cell>
          <cell r="N101">
            <v>5</v>
          </cell>
          <cell r="O101" t="str">
            <v>Tidak Layak</v>
          </cell>
          <cell r="P101" t="str">
            <v>Tidak Layak</v>
          </cell>
          <cell r="Q101" t="str">
            <v>Tidak Layak</v>
          </cell>
          <cell r="R101">
            <v>54</v>
          </cell>
          <cell r="S101">
            <v>0</v>
          </cell>
          <cell r="T101" t="str">
            <v>YUDO SUDOMO</v>
          </cell>
          <cell r="U101">
            <v>0</v>
          </cell>
          <cell r="V101" t="str">
            <v>(0287) 3872017</v>
          </cell>
          <cell r="W101" t="str">
            <v>SIGIT KARSENO</v>
          </cell>
          <cell r="X101">
            <v>0</v>
          </cell>
          <cell r="Y101" t="str">
            <v>NIP :19680424 199803 1011</v>
          </cell>
          <cell r="Z101" t="str">
            <v>Moh. Amirudin, S.IP, MM</v>
          </cell>
          <cell r="AA101" t="str">
            <v>Himawan T P, S.Sos</v>
          </cell>
          <cell r="AB101" t="str">
            <v>0000069601590009292</v>
          </cell>
          <cell r="AC101">
            <v>3086</v>
          </cell>
          <cell r="AD101">
            <v>7.6358600000000001</v>
          </cell>
          <cell r="AE101" t="str">
            <v>109,63984</v>
          </cell>
          <cell r="AF101" t="str">
            <v>Surat Keterangan Pejabat</v>
          </cell>
          <cell r="AG101" t="str">
            <v>Tidak Ada</v>
          </cell>
          <cell r="AH101" t="str">
            <v>GENTENG/USUK/RENG LAPUK</v>
          </cell>
          <cell r="AI101" t="str">
            <v>TANAH</v>
          </cell>
          <cell r="AJ101" t="str">
            <v>PAPAN/ BILIK BAMBU</v>
          </cell>
          <cell r="AK101" t="str">
            <v>GENTENG/USUK/RENG</v>
          </cell>
          <cell r="AL101">
            <v>88</v>
          </cell>
          <cell r="AM101" t="str">
            <v>RABAT BETON</v>
          </cell>
          <cell r="AN101">
            <v>54</v>
          </cell>
          <cell r="AO101" t="str">
            <v>BATA MERAH/ BATAKO</v>
          </cell>
          <cell r="AP101">
            <v>90</v>
          </cell>
          <cell r="AQ101" t="str">
            <v>Pengempon, ____ Oktober 2015</v>
          </cell>
          <cell r="AR101" t="str">
            <v>KASAN</v>
          </cell>
          <cell r="AS101" t="str">
            <v>CINGKRANG</v>
          </cell>
          <cell r="AT101" t="str">
            <v>MUNCUL BARU</v>
          </cell>
          <cell r="AU101" t="str">
            <v>Jl. Simpang lima Rt.3/Rw.1 Kec.Pejagoan</v>
          </cell>
          <cell r="AV101" t="str">
            <v>Mohamad Mansur</v>
          </cell>
          <cell r="AW101" t="str">
            <v>BTN KCP KEBUMEN</v>
          </cell>
          <cell r="AX101" t="str">
            <v>'00696</v>
          </cell>
          <cell r="AY101" t="str">
            <v>00696-01-50-000542-4</v>
          </cell>
        </row>
        <row r="102">
          <cell r="A102">
            <v>97</v>
          </cell>
          <cell r="B102" t="str">
            <v>KASAN</v>
          </cell>
          <cell r="C102" t="str">
            <v>L</v>
          </cell>
          <cell r="D102" t="str">
            <v>3305141608660003</v>
          </cell>
          <cell r="E102" t="str">
            <v>PENGEMPON RT 03/RW 05</v>
          </cell>
          <cell r="F102" t="str">
            <v>PENGEMPON</v>
          </cell>
          <cell r="G102" t="str">
            <v>SRUWENG</v>
          </cell>
          <cell r="H102" t="str">
            <v>KEBUMEN</v>
          </cell>
          <cell r="I102" t="str">
            <v>JAWA TENGAH</v>
          </cell>
          <cell r="J102">
            <v>15000000</v>
          </cell>
          <cell r="K102">
            <v>48</v>
          </cell>
          <cell r="L102" t="str">
            <v>WIRASWASTA</v>
          </cell>
          <cell r="M102">
            <v>650000</v>
          </cell>
          <cell r="N102">
            <v>7</v>
          </cell>
          <cell r="O102" t="str">
            <v>Tidak Layak</v>
          </cell>
          <cell r="P102" t="str">
            <v>Tidak Layak</v>
          </cell>
          <cell r="Q102" t="str">
            <v>Tidak Layak</v>
          </cell>
          <cell r="R102">
            <v>72</v>
          </cell>
          <cell r="S102">
            <v>0</v>
          </cell>
          <cell r="T102" t="str">
            <v>YUDO SUDOMO</v>
          </cell>
          <cell r="U102">
            <v>0</v>
          </cell>
          <cell r="V102" t="str">
            <v>(0287) 3872017</v>
          </cell>
          <cell r="W102" t="str">
            <v>SIGIT KARSENO</v>
          </cell>
          <cell r="X102">
            <v>0</v>
          </cell>
          <cell r="Y102" t="str">
            <v>NIP :19680424 199803 1011</v>
          </cell>
          <cell r="Z102" t="str">
            <v>Moh. Amirudin, S.IP, MM</v>
          </cell>
          <cell r="AA102" t="str">
            <v>Himawan T P, S.Sos</v>
          </cell>
          <cell r="AB102" t="str">
            <v>0000069601590001927</v>
          </cell>
          <cell r="AC102">
            <v>3086</v>
          </cell>
          <cell r="AD102">
            <v>7.6355700000000004</v>
          </cell>
          <cell r="AE102" t="str">
            <v>109,63914</v>
          </cell>
          <cell r="AF102" t="str">
            <v>Surat Keterangan Pejabat</v>
          </cell>
          <cell r="AG102" t="str">
            <v>Tidak Ada</v>
          </cell>
          <cell r="AH102" t="str">
            <v>GENTENG/USUK/RENG LAPUK</v>
          </cell>
          <cell r="AI102" t="str">
            <v>TANAH</v>
          </cell>
          <cell r="AJ102" t="str">
            <v>PAPAN/ BILIK BAMBU</v>
          </cell>
          <cell r="AK102" t="str">
            <v>GENTENG/USUK/RENG</v>
          </cell>
          <cell r="AL102">
            <v>88</v>
          </cell>
          <cell r="AM102" t="str">
            <v>RABAT BETON</v>
          </cell>
          <cell r="AN102">
            <v>54</v>
          </cell>
          <cell r="AO102" t="str">
            <v>BATA MERAH/ BATAKO</v>
          </cell>
          <cell r="AP102">
            <v>90</v>
          </cell>
          <cell r="AQ102" t="str">
            <v>Pengempon, ____ Oktober 2015</v>
          </cell>
          <cell r="AR102" t="str">
            <v>KASAN</v>
          </cell>
          <cell r="AS102" t="str">
            <v>CINGKRANG</v>
          </cell>
          <cell r="AT102" t="str">
            <v>MUNCUL BARU</v>
          </cell>
          <cell r="AU102" t="str">
            <v>Jl. Simpang lima Rt.3/Rw.1 Kec.Pejagoan</v>
          </cell>
          <cell r="AV102" t="str">
            <v>Mohamad Mansur</v>
          </cell>
          <cell r="AW102" t="str">
            <v>BTN KCP KEBUMEN</v>
          </cell>
          <cell r="AX102" t="str">
            <v>'00696</v>
          </cell>
          <cell r="AY102" t="str">
            <v>00696-01-50-000542-4</v>
          </cell>
        </row>
        <row r="103">
          <cell r="A103">
            <v>98</v>
          </cell>
          <cell r="B103" t="str">
            <v>SUPARJO</v>
          </cell>
          <cell r="C103" t="str">
            <v>L</v>
          </cell>
          <cell r="D103" t="str">
            <v>3305141108860005</v>
          </cell>
          <cell r="E103" t="str">
            <v>PENGEMPON RT 03/RW 05</v>
          </cell>
          <cell r="F103" t="str">
            <v>PENGEMPON</v>
          </cell>
          <cell r="G103" t="str">
            <v>SRUWENG</v>
          </cell>
          <cell r="H103" t="str">
            <v>KEBUMEN</v>
          </cell>
          <cell r="I103" t="str">
            <v>JAWA TENGAH</v>
          </cell>
          <cell r="J103">
            <v>15000000</v>
          </cell>
          <cell r="K103">
            <v>48</v>
          </cell>
          <cell r="L103" t="str">
            <v>BURUH HARIAN LEPAS</v>
          </cell>
          <cell r="M103">
            <v>500000</v>
          </cell>
          <cell r="N103">
            <v>5</v>
          </cell>
          <cell r="O103" t="str">
            <v>Tidak Layak</v>
          </cell>
          <cell r="P103" t="str">
            <v>Tidak Layak</v>
          </cell>
          <cell r="Q103" t="str">
            <v>Tidak Layak</v>
          </cell>
          <cell r="R103">
            <v>63</v>
          </cell>
          <cell r="S103">
            <v>0</v>
          </cell>
          <cell r="T103" t="str">
            <v>YUDO SUDOMO</v>
          </cell>
          <cell r="U103">
            <v>0</v>
          </cell>
          <cell r="V103" t="str">
            <v>(0287) 3872017</v>
          </cell>
          <cell r="W103" t="str">
            <v>SIGIT KARSENO</v>
          </cell>
          <cell r="X103">
            <v>0</v>
          </cell>
          <cell r="Y103" t="str">
            <v>NIP :19680424 199803 1011</v>
          </cell>
          <cell r="Z103" t="str">
            <v>Moh. Amirudin, S.IP, MM</v>
          </cell>
          <cell r="AA103" t="str">
            <v>Himawan T P, S.Sos</v>
          </cell>
          <cell r="AB103" t="str">
            <v>0000069601590009030</v>
          </cell>
          <cell r="AC103">
            <v>3086</v>
          </cell>
          <cell r="AD103">
            <v>7.6361400000000001</v>
          </cell>
          <cell r="AE103" t="str">
            <v>109,6393</v>
          </cell>
          <cell r="AF103" t="str">
            <v>Surat Keterangan Pejabat</v>
          </cell>
          <cell r="AG103" t="str">
            <v>Listrik</v>
          </cell>
          <cell r="AH103" t="str">
            <v>GENTENG/USUK/RENG LAPUK</v>
          </cell>
          <cell r="AI103" t="str">
            <v>TANAH</v>
          </cell>
          <cell r="AJ103" t="str">
            <v>PAPAN/ BILIK BAMBU</v>
          </cell>
          <cell r="AK103" t="str">
            <v>GENTENG/USUK/RENG</v>
          </cell>
          <cell r="AL103">
            <v>88</v>
          </cell>
          <cell r="AM103" t="str">
            <v>RABAT BETON</v>
          </cell>
          <cell r="AN103">
            <v>54</v>
          </cell>
          <cell r="AO103" t="str">
            <v>BATA MERAH/ BATAKO</v>
          </cell>
          <cell r="AP103">
            <v>90</v>
          </cell>
          <cell r="AQ103" t="str">
            <v>Pengempon, ____ Oktober 2015</v>
          </cell>
          <cell r="AR103" t="str">
            <v>KASAN</v>
          </cell>
          <cell r="AS103" t="str">
            <v>CINGKRANG</v>
          </cell>
          <cell r="AT103" t="str">
            <v>MUNCUL BARU</v>
          </cell>
          <cell r="AU103" t="str">
            <v>Jl. Simpang lima Rt.3/Rw.1 Kec.Pejagoan</v>
          </cell>
          <cell r="AV103" t="str">
            <v>Mohamad Mansur</v>
          </cell>
          <cell r="AW103" t="str">
            <v>BTN KCP KEBUMEN</v>
          </cell>
          <cell r="AX103" t="str">
            <v>'00696</v>
          </cell>
          <cell r="AY103" t="str">
            <v>00696-01-50-000542-4</v>
          </cell>
        </row>
        <row r="104">
          <cell r="A104">
            <v>99</v>
          </cell>
          <cell r="B104" t="str">
            <v>TRIYONO</v>
          </cell>
          <cell r="C104" t="str">
            <v>L</v>
          </cell>
          <cell r="D104" t="str">
            <v>3305142301810002</v>
          </cell>
          <cell r="E104" t="str">
            <v>PENGEMPON RT 04/RW 05</v>
          </cell>
          <cell r="F104" t="str">
            <v>PENGEMPON</v>
          </cell>
          <cell r="G104" t="str">
            <v>SRUWENG</v>
          </cell>
          <cell r="H104" t="str">
            <v>KEBUMEN</v>
          </cell>
          <cell r="I104" t="str">
            <v>JAWA TENGAH</v>
          </cell>
          <cell r="J104">
            <v>15000000</v>
          </cell>
          <cell r="K104">
            <v>33</v>
          </cell>
          <cell r="L104" t="str">
            <v>BURUH HARIAN LEPAS</v>
          </cell>
          <cell r="M104">
            <v>500000</v>
          </cell>
          <cell r="N104">
            <v>3</v>
          </cell>
          <cell r="O104" t="str">
            <v>Tidak Layak</v>
          </cell>
          <cell r="P104" t="str">
            <v>Tidak Layak</v>
          </cell>
          <cell r="Q104" t="str">
            <v>Tidak Layak</v>
          </cell>
          <cell r="R104">
            <v>54</v>
          </cell>
          <cell r="S104">
            <v>0</v>
          </cell>
          <cell r="T104" t="str">
            <v>YUDO SUDOMO</v>
          </cell>
          <cell r="U104">
            <v>0</v>
          </cell>
          <cell r="V104" t="str">
            <v>(0287) 3872017</v>
          </cell>
          <cell r="W104" t="str">
            <v>SIGIT KARSENO</v>
          </cell>
          <cell r="X104">
            <v>0</v>
          </cell>
          <cell r="Y104" t="str">
            <v>NIP :19680424 199803 1011</v>
          </cell>
          <cell r="Z104" t="str">
            <v>Moh. Amirudin, S.IP, MM</v>
          </cell>
          <cell r="AA104" t="str">
            <v>Himawan T P, S.Sos</v>
          </cell>
          <cell r="AB104" t="str">
            <v>0000069601590009894</v>
          </cell>
          <cell r="AC104">
            <v>3086</v>
          </cell>
          <cell r="AD104">
            <v>7.63659</v>
          </cell>
          <cell r="AE104" t="str">
            <v>109,6377</v>
          </cell>
          <cell r="AF104" t="str">
            <v>Surat Keterangan Pejabat</v>
          </cell>
          <cell r="AG104" t="str">
            <v>Tidak Ada</v>
          </cell>
          <cell r="AH104" t="str">
            <v>GENTENG/USUK/RENG LAPUK</v>
          </cell>
          <cell r="AI104" t="str">
            <v>TANAH</v>
          </cell>
          <cell r="AJ104" t="str">
            <v>PAPAN/ BILIK BAMBU</v>
          </cell>
          <cell r="AK104" t="str">
            <v>GENTENG/USUK/RENG</v>
          </cell>
          <cell r="AL104">
            <v>88</v>
          </cell>
          <cell r="AM104" t="str">
            <v>RABAT BETON</v>
          </cell>
          <cell r="AN104">
            <v>54</v>
          </cell>
          <cell r="AO104" t="str">
            <v>BATA MERAH/ BATAKO</v>
          </cell>
          <cell r="AP104">
            <v>90</v>
          </cell>
          <cell r="AQ104" t="str">
            <v>Pengempon, ____ Oktober 2015</v>
          </cell>
          <cell r="AR104" t="str">
            <v>KASAN</v>
          </cell>
          <cell r="AS104" t="str">
            <v>CINGKRANG</v>
          </cell>
          <cell r="AT104" t="str">
            <v>MUNCUL BARU</v>
          </cell>
          <cell r="AU104" t="str">
            <v>Jl. Simpang lima Rt.3/Rw.1 Kec.Pejagoan</v>
          </cell>
          <cell r="AV104" t="str">
            <v>Mohamad Mansur</v>
          </cell>
          <cell r="AW104" t="str">
            <v>BTN KCP KEBUMEN</v>
          </cell>
          <cell r="AX104" t="str">
            <v>'00696</v>
          </cell>
          <cell r="AY104" t="str">
            <v>00696-01-50-000542-4</v>
          </cell>
        </row>
        <row r="105">
          <cell r="A105">
            <v>100</v>
          </cell>
          <cell r="B105" t="str">
            <v>RUKIYAH</v>
          </cell>
          <cell r="C105" t="str">
            <v>P</v>
          </cell>
          <cell r="D105" t="str">
            <v>3305145108760001</v>
          </cell>
          <cell r="E105" t="str">
            <v>PENGEMPON RT 04/RW 05</v>
          </cell>
          <cell r="F105" t="str">
            <v>PENGEMPON</v>
          </cell>
          <cell r="G105" t="str">
            <v>SRUWENG</v>
          </cell>
          <cell r="H105" t="str">
            <v>KEBUMEN</v>
          </cell>
          <cell r="I105" t="str">
            <v>JAWA TENGAH</v>
          </cell>
          <cell r="J105">
            <v>15000000</v>
          </cell>
          <cell r="K105">
            <v>38</v>
          </cell>
          <cell r="L105" t="str">
            <v>BURUH HARIAN LEPAS</v>
          </cell>
          <cell r="M105">
            <v>350000</v>
          </cell>
          <cell r="N105">
            <v>3</v>
          </cell>
          <cell r="O105" t="str">
            <v>Tidak Layak</v>
          </cell>
          <cell r="P105" t="str">
            <v>Tidak Layak</v>
          </cell>
          <cell r="Q105" t="str">
            <v>Tidak Layak</v>
          </cell>
          <cell r="R105">
            <v>54</v>
          </cell>
          <cell r="S105">
            <v>0</v>
          </cell>
          <cell r="T105" t="str">
            <v>YUDO SUDOMO</v>
          </cell>
          <cell r="U105">
            <v>0</v>
          </cell>
          <cell r="V105" t="str">
            <v>(0287) 3872017</v>
          </cell>
          <cell r="W105" t="str">
            <v>SIGIT KARSENO</v>
          </cell>
          <cell r="X105">
            <v>0</v>
          </cell>
          <cell r="Y105" t="str">
            <v>NIP :19680424 199803 1011</v>
          </cell>
          <cell r="Z105" t="str">
            <v>Moh. Amirudin, S.IP, MM</v>
          </cell>
          <cell r="AA105" t="str">
            <v>Himawan T P, S.Sos</v>
          </cell>
          <cell r="AB105" t="str">
            <v>0000069601590005866</v>
          </cell>
          <cell r="AC105">
            <v>3086</v>
          </cell>
          <cell r="AD105">
            <v>7.6364200000000002</v>
          </cell>
          <cell r="AE105" t="str">
            <v>109,63764</v>
          </cell>
          <cell r="AF105" t="str">
            <v>Surat Keterangan Pejabat</v>
          </cell>
          <cell r="AG105" t="str">
            <v>Listrik</v>
          </cell>
          <cell r="AH105" t="str">
            <v>GENTENG/USUK/RENG LAPUK</v>
          </cell>
          <cell r="AI105" t="str">
            <v>TANAH</v>
          </cell>
          <cell r="AJ105" t="str">
            <v>PAPAN/ BILIK BAMBU</v>
          </cell>
          <cell r="AK105" t="str">
            <v>GENTENG/USUK/RENG</v>
          </cell>
          <cell r="AL105">
            <v>88</v>
          </cell>
          <cell r="AM105" t="str">
            <v>RABAT BETON</v>
          </cell>
          <cell r="AN105">
            <v>54</v>
          </cell>
          <cell r="AO105" t="str">
            <v>BATA MERAH/ BATAKO</v>
          </cell>
          <cell r="AP105">
            <v>90</v>
          </cell>
          <cell r="AQ105" t="str">
            <v>Pengempon, ____ Oktober 2015</v>
          </cell>
          <cell r="AR105" t="str">
            <v>KASAN</v>
          </cell>
          <cell r="AS105" t="str">
            <v>CINGKRANG</v>
          </cell>
          <cell r="AT105" t="str">
            <v>MUNCUL BARU</v>
          </cell>
          <cell r="AU105" t="str">
            <v>Jl. Simpang lima Rt.3/Rw.1 Kec.Pejagoan</v>
          </cell>
          <cell r="AV105" t="str">
            <v>Mohamad Mansur</v>
          </cell>
          <cell r="AW105" t="str">
            <v>BTN KCP KEBUMEN</v>
          </cell>
          <cell r="AX105" t="str">
            <v>'00696</v>
          </cell>
          <cell r="AY105" t="str">
            <v>00696-01-50-000542-4</v>
          </cell>
        </row>
        <row r="106">
          <cell r="A106">
            <v>101</v>
          </cell>
          <cell r="B106" t="str">
            <v>NGALIMIN</v>
          </cell>
          <cell r="C106" t="str">
            <v>L</v>
          </cell>
          <cell r="D106" t="str">
            <v>3305140902470001</v>
          </cell>
          <cell r="E106" t="str">
            <v>PENGEMPON RT 04/RW 05</v>
          </cell>
          <cell r="F106" t="str">
            <v>PENGEMPON</v>
          </cell>
          <cell r="G106" t="str">
            <v>SRUWENG</v>
          </cell>
          <cell r="H106" t="str">
            <v>KEBUMEN</v>
          </cell>
          <cell r="I106" t="str">
            <v>JAWA TENGAH</v>
          </cell>
          <cell r="J106">
            <v>15000000</v>
          </cell>
          <cell r="K106">
            <v>67</v>
          </cell>
          <cell r="L106" t="str">
            <v>PETANI/PEKEBUN</v>
          </cell>
          <cell r="M106">
            <v>300000</v>
          </cell>
          <cell r="N106">
            <v>3</v>
          </cell>
          <cell r="O106" t="str">
            <v>Tidak Layak</v>
          </cell>
          <cell r="P106" t="str">
            <v>Tidak Layak</v>
          </cell>
          <cell r="Q106" t="str">
            <v>Tidak Layak</v>
          </cell>
          <cell r="R106">
            <v>72</v>
          </cell>
          <cell r="S106">
            <v>0</v>
          </cell>
          <cell r="T106" t="str">
            <v>YUDO SUDOMO</v>
          </cell>
          <cell r="U106">
            <v>0</v>
          </cell>
          <cell r="V106" t="str">
            <v>(0287) 3872017</v>
          </cell>
          <cell r="W106" t="str">
            <v>SIGIT KARSENO</v>
          </cell>
          <cell r="X106">
            <v>0</v>
          </cell>
          <cell r="Y106" t="str">
            <v>NIP :19680424 199803 1011</v>
          </cell>
          <cell r="Z106" t="str">
            <v>Moh. Amirudin, S.IP, MM</v>
          </cell>
          <cell r="AA106" t="str">
            <v>Himawan T P, S.Sos</v>
          </cell>
          <cell r="AB106" t="str">
            <v>0000069601590004454</v>
          </cell>
          <cell r="AC106">
            <v>3086</v>
          </cell>
          <cell r="AD106">
            <v>7.63483</v>
          </cell>
          <cell r="AE106" t="str">
            <v>109,63744</v>
          </cell>
          <cell r="AF106" t="str">
            <v>Surat Keterangan Pejabat</v>
          </cell>
          <cell r="AG106" t="str">
            <v>Listrik &amp; MCK</v>
          </cell>
          <cell r="AH106" t="str">
            <v>GENTENG/USUK/RENG LAPUK</v>
          </cell>
          <cell r="AI106" t="str">
            <v>TANAH</v>
          </cell>
          <cell r="AJ106" t="str">
            <v>PAPAN/ BILIK BAMBU</v>
          </cell>
          <cell r="AK106" t="str">
            <v>GENTENG/USUK/RENG</v>
          </cell>
          <cell r="AL106">
            <v>88</v>
          </cell>
          <cell r="AM106" t="str">
            <v>RABAT BETON</v>
          </cell>
          <cell r="AN106">
            <v>54</v>
          </cell>
          <cell r="AO106" t="str">
            <v>BATA MERAH/ BATAKO</v>
          </cell>
          <cell r="AP106">
            <v>90</v>
          </cell>
          <cell r="AQ106" t="str">
            <v>Pengempon, ____ Oktober 2015</v>
          </cell>
          <cell r="AR106" t="str">
            <v>KASAN</v>
          </cell>
          <cell r="AS106" t="str">
            <v>CINGKRANG</v>
          </cell>
          <cell r="AT106" t="str">
            <v>MUNCUL BARU</v>
          </cell>
          <cell r="AU106" t="str">
            <v>Jl. Simpang lima Rt.3/Rw.1 Kec.Pejagoan</v>
          </cell>
          <cell r="AV106" t="str">
            <v>Mohamad Mansur</v>
          </cell>
          <cell r="AW106" t="str">
            <v>BTN KCP KEBUMEN</v>
          </cell>
          <cell r="AX106" t="str">
            <v>'00696</v>
          </cell>
          <cell r="AY106" t="str">
            <v>00696-01-50-000542-4</v>
          </cell>
        </row>
        <row r="107">
          <cell r="A107">
            <v>102</v>
          </cell>
          <cell r="B107" t="str">
            <v>BASORI</v>
          </cell>
          <cell r="C107" t="str">
            <v>L</v>
          </cell>
          <cell r="D107" t="str">
            <v>3305143112520008</v>
          </cell>
          <cell r="E107" t="str">
            <v>PENGEMPON RT 04/RW 05</v>
          </cell>
          <cell r="F107" t="str">
            <v>PENGEMPON</v>
          </cell>
          <cell r="G107" t="str">
            <v>SRUWENG</v>
          </cell>
          <cell r="H107" t="str">
            <v>KEBUMEN</v>
          </cell>
          <cell r="I107" t="str">
            <v>JAWA TENGAH</v>
          </cell>
          <cell r="J107">
            <v>15000000</v>
          </cell>
          <cell r="K107">
            <v>62</v>
          </cell>
          <cell r="L107" t="str">
            <v>BURUH HARIAN LEPAS</v>
          </cell>
          <cell r="M107">
            <v>800000</v>
          </cell>
          <cell r="N107">
            <v>3</v>
          </cell>
          <cell r="O107" t="str">
            <v>Tidak Layak</v>
          </cell>
          <cell r="P107" t="str">
            <v>Tidak Layak</v>
          </cell>
          <cell r="Q107" t="str">
            <v>Tidak Layak</v>
          </cell>
          <cell r="R107">
            <v>54</v>
          </cell>
          <cell r="S107">
            <v>0</v>
          </cell>
          <cell r="T107" t="str">
            <v>YUDO SUDOMO</v>
          </cell>
          <cell r="U107">
            <v>0</v>
          </cell>
          <cell r="V107" t="str">
            <v>(0287) 3872017</v>
          </cell>
          <cell r="W107" t="str">
            <v>SIGIT KARSENO</v>
          </cell>
          <cell r="X107">
            <v>0</v>
          </cell>
          <cell r="Y107" t="str">
            <v>NIP :19680424 199803 1011</v>
          </cell>
          <cell r="Z107" t="str">
            <v>Moh. Amirudin, S.IP, MM</v>
          </cell>
          <cell r="AA107" t="str">
            <v>Himawan T P, S.Sos</v>
          </cell>
          <cell r="AB107" t="e">
            <v>#N/A</v>
          </cell>
          <cell r="AC107">
            <v>3086</v>
          </cell>
          <cell r="AD107">
            <v>7.63544</v>
          </cell>
          <cell r="AE107" t="str">
            <v>109,63553</v>
          </cell>
          <cell r="AF107" t="str">
            <v>Surat Keterangan Pejabat</v>
          </cell>
          <cell r="AG107" t="str">
            <v>Tidak Ada</v>
          </cell>
          <cell r="AH107">
            <v>0</v>
          </cell>
          <cell r="AI107">
            <v>0</v>
          </cell>
          <cell r="AJ107">
            <v>0</v>
          </cell>
          <cell r="AK107">
            <v>0</v>
          </cell>
          <cell r="AL107">
            <v>0</v>
          </cell>
          <cell r="AM107">
            <v>0</v>
          </cell>
          <cell r="AN107">
            <v>0</v>
          </cell>
          <cell r="AO107">
            <v>0</v>
          </cell>
          <cell r="AP107">
            <v>0</v>
          </cell>
          <cell r="AQ107">
            <v>0</v>
          </cell>
          <cell r="AR107" t="str">
            <v>_______________</v>
          </cell>
          <cell r="AS107">
            <v>0</v>
          </cell>
          <cell r="AT107">
            <v>0</v>
          </cell>
          <cell r="AU107">
            <v>0</v>
          </cell>
          <cell r="AV107">
            <v>0</v>
          </cell>
          <cell r="AW107">
            <v>0</v>
          </cell>
          <cell r="AX107">
            <v>0</v>
          </cell>
          <cell r="AY107">
            <v>0</v>
          </cell>
          <cell r="AZ107">
            <v>0</v>
          </cell>
        </row>
        <row r="108">
          <cell r="A108">
            <v>103</v>
          </cell>
          <cell r="B108" t="str">
            <v>SODIRAN</v>
          </cell>
          <cell r="C108" t="str">
            <v>L</v>
          </cell>
          <cell r="D108" t="str">
            <v>3305140711570002</v>
          </cell>
          <cell r="E108" t="str">
            <v>PENGEMPON RT 04/RW 05</v>
          </cell>
          <cell r="F108" t="str">
            <v>PENGEMPON</v>
          </cell>
          <cell r="G108" t="str">
            <v>SRUWENG</v>
          </cell>
          <cell r="H108" t="str">
            <v>KEBUMEN</v>
          </cell>
          <cell r="I108" t="str">
            <v>JAWA TENGAH</v>
          </cell>
          <cell r="J108">
            <v>15000000</v>
          </cell>
          <cell r="K108">
            <v>57</v>
          </cell>
          <cell r="L108" t="str">
            <v>BURUH HARIAN LEPAS</v>
          </cell>
          <cell r="M108">
            <v>700000</v>
          </cell>
          <cell r="N108">
            <v>4</v>
          </cell>
          <cell r="O108" t="str">
            <v>Tidak Layak</v>
          </cell>
          <cell r="P108" t="str">
            <v>Tidak Layak</v>
          </cell>
          <cell r="Q108" t="str">
            <v>Tidak Layak</v>
          </cell>
          <cell r="R108">
            <v>54</v>
          </cell>
          <cell r="S108">
            <v>0</v>
          </cell>
          <cell r="T108" t="str">
            <v>YUDO SUDOMO</v>
          </cell>
          <cell r="U108">
            <v>0</v>
          </cell>
          <cell r="V108" t="str">
            <v>(0287) 3872017</v>
          </cell>
          <cell r="W108" t="str">
            <v>SIGIT KARSENO</v>
          </cell>
          <cell r="X108">
            <v>0</v>
          </cell>
          <cell r="Y108" t="str">
            <v>NIP :19680424 199803 1011</v>
          </cell>
          <cell r="Z108" t="str">
            <v>Moh. Amirudin, S.IP, MM</v>
          </cell>
          <cell r="AA108" t="str">
            <v>Himawan T P, S.Sos</v>
          </cell>
          <cell r="AB108" t="str">
            <v>0000069601590008149</v>
          </cell>
          <cell r="AC108">
            <v>3086</v>
          </cell>
          <cell r="AD108">
            <v>7.6368600000000004</v>
          </cell>
          <cell r="AE108" t="str">
            <v>109,63768</v>
          </cell>
          <cell r="AF108" t="str">
            <v>Surat Keterangan Pejabat</v>
          </cell>
          <cell r="AG108" t="str">
            <v>Tidak Ada</v>
          </cell>
          <cell r="AH108" t="str">
            <v>GENTENG/USUK/RENG LAPUK</v>
          </cell>
          <cell r="AI108" t="str">
            <v>TANAH</v>
          </cell>
          <cell r="AJ108" t="str">
            <v>PAPAN/ BILIK BAMBU</v>
          </cell>
          <cell r="AK108" t="str">
            <v>GENTENG/USUK/RENG</v>
          </cell>
          <cell r="AL108">
            <v>88</v>
          </cell>
          <cell r="AM108" t="str">
            <v>RABAT BETON</v>
          </cell>
          <cell r="AN108">
            <v>54</v>
          </cell>
          <cell r="AO108" t="str">
            <v>BATA MERAH/ BATAKO</v>
          </cell>
          <cell r="AP108">
            <v>90</v>
          </cell>
          <cell r="AQ108" t="str">
            <v>Pengempon, ____ Oktober 2015</v>
          </cell>
          <cell r="AR108" t="str">
            <v>KASAN</v>
          </cell>
          <cell r="AS108" t="str">
            <v>CINGKRANG</v>
          </cell>
          <cell r="AT108" t="str">
            <v>MUNCUL BARU</v>
          </cell>
          <cell r="AU108" t="str">
            <v>Jl. Simpang lima Rt.3/Rw.1 Kec.Pejagoan</v>
          </cell>
          <cell r="AV108" t="str">
            <v>Mohamad Mansur</v>
          </cell>
          <cell r="AW108" t="str">
            <v>BTN KCP KEBUMEN</v>
          </cell>
          <cell r="AX108" t="str">
            <v>'00696</v>
          </cell>
          <cell r="AY108" t="str">
            <v>00696-01-50-000542-4</v>
          </cell>
        </row>
        <row r="109">
          <cell r="A109">
            <v>104</v>
          </cell>
          <cell r="B109" t="str">
            <v>UMUL LATIFAH</v>
          </cell>
          <cell r="C109" t="str">
            <v>P</v>
          </cell>
          <cell r="D109" t="str">
            <v>3305145603830002</v>
          </cell>
          <cell r="E109" t="str">
            <v>PENGEMPON RT 04/RW 05</v>
          </cell>
          <cell r="F109" t="str">
            <v>PENGEMPON</v>
          </cell>
          <cell r="G109" t="str">
            <v>SRUWENG</v>
          </cell>
          <cell r="H109" t="str">
            <v>KEBUMEN</v>
          </cell>
          <cell r="I109" t="str">
            <v>JAWA TENGAH</v>
          </cell>
          <cell r="J109">
            <v>15000000</v>
          </cell>
          <cell r="K109">
            <v>31</v>
          </cell>
          <cell r="L109" t="str">
            <v>MENGURUS RUMAH TANGGA</v>
          </cell>
          <cell r="M109">
            <v>600000</v>
          </cell>
          <cell r="N109">
            <v>3</v>
          </cell>
          <cell r="O109" t="str">
            <v>Tidak Layak</v>
          </cell>
          <cell r="P109" t="str">
            <v>Tidak Layak</v>
          </cell>
          <cell r="Q109" t="str">
            <v>Tidak Layak</v>
          </cell>
          <cell r="R109">
            <v>81</v>
          </cell>
          <cell r="S109">
            <v>0</v>
          </cell>
          <cell r="T109" t="str">
            <v>YUDO SUDOMO</v>
          </cell>
          <cell r="U109">
            <v>0</v>
          </cell>
          <cell r="V109" t="str">
            <v>(0287) 3872017</v>
          </cell>
          <cell r="W109" t="str">
            <v>SIGIT KARSENO</v>
          </cell>
          <cell r="X109">
            <v>0</v>
          </cell>
          <cell r="Y109" t="str">
            <v>NIP :19680424 199803 1011</v>
          </cell>
          <cell r="Z109" t="str">
            <v>Moh. Amirudin, S.IP, MM</v>
          </cell>
          <cell r="AA109" t="str">
            <v>Himawan T P, S.Sos</v>
          </cell>
          <cell r="AB109" t="str">
            <v>0000069601590010188</v>
          </cell>
          <cell r="AC109">
            <v>3086</v>
          </cell>
          <cell r="AD109">
            <v>7.6358300000000003</v>
          </cell>
          <cell r="AE109" t="str">
            <v>109,63428</v>
          </cell>
          <cell r="AF109" t="str">
            <v>Surat Keterangan Pejabat</v>
          </cell>
          <cell r="AG109" t="str">
            <v>Tidak Ada</v>
          </cell>
          <cell r="AH109" t="str">
            <v>GENTENG/USUK/RENG LAPUK</v>
          </cell>
          <cell r="AI109" t="str">
            <v>TANAH</v>
          </cell>
          <cell r="AJ109" t="str">
            <v>PAPAN/ BILIK BAMBU</v>
          </cell>
          <cell r="AK109" t="str">
            <v>GENTENG/USUK/RENG</v>
          </cell>
          <cell r="AL109">
            <v>88</v>
          </cell>
          <cell r="AM109" t="str">
            <v>RABAT BETON</v>
          </cell>
          <cell r="AN109">
            <v>54</v>
          </cell>
          <cell r="AO109" t="str">
            <v>BATA MERAH/ BATAKO</v>
          </cell>
          <cell r="AP109">
            <v>90</v>
          </cell>
          <cell r="AQ109" t="str">
            <v>Pengempon, ____ Oktober 2015</v>
          </cell>
          <cell r="AR109" t="str">
            <v>KASAN</v>
          </cell>
          <cell r="AS109" t="str">
            <v>CINGKRANG</v>
          </cell>
          <cell r="AT109" t="str">
            <v>MUNCUL BARU</v>
          </cell>
          <cell r="AU109" t="str">
            <v>Jl. Simpang lima Rt.3/Rw.1 Kec.Pejagoan</v>
          </cell>
          <cell r="AV109" t="str">
            <v>Mohamad Mansur</v>
          </cell>
          <cell r="AW109" t="str">
            <v>BTN KCP KEBUMEN</v>
          </cell>
          <cell r="AX109" t="str">
            <v>'00696</v>
          </cell>
          <cell r="AY109" t="str">
            <v>00696-01-50-000542-4</v>
          </cell>
          <cell r="AZ109">
            <v>0</v>
          </cell>
        </row>
        <row r="110">
          <cell r="A110">
            <v>105</v>
          </cell>
          <cell r="B110" t="str">
            <v>RUWIYATUN</v>
          </cell>
          <cell r="C110" t="str">
            <v>P</v>
          </cell>
          <cell r="D110" t="str">
            <v>3305144906740003</v>
          </cell>
          <cell r="E110" t="str">
            <v>PENGEMPON RT 04/RW 05</v>
          </cell>
          <cell r="F110" t="str">
            <v>PENGEMPON</v>
          </cell>
          <cell r="G110" t="str">
            <v>SRUWENG</v>
          </cell>
          <cell r="H110" t="str">
            <v>KEBUMEN</v>
          </cell>
          <cell r="I110" t="str">
            <v>JAWA TENGAH</v>
          </cell>
          <cell r="J110">
            <v>30000000</v>
          </cell>
          <cell r="K110">
            <v>40</v>
          </cell>
          <cell r="L110" t="str">
            <v>WIRASWASTA</v>
          </cell>
          <cell r="M110">
            <v>300000</v>
          </cell>
          <cell r="N110">
            <v>2</v>
          </cell>
          <cell r="O110" t="str">
            <v>Tidak Layak</v>
          </cell>
          <cell r="P110" t="str">
            <v>Tidak Layak</v>
          </cell>
          <cell r="Q110" t="str">
            <v>Tidak Layak</v>
          </cell>
          <cell r="R110">
            <v>54</v>
          </cell>
          <cell r="S110">
            <v>0</v>
          </cell>
          <cell r="T110" t="str">
            <v>YUDO SUDOMO</v>
          </cell>
          <cell r="U110">
            <v>0</v>
          </cell>
          <cell r="V110" t="str">
            <v>(0287) 3872017</v>
          </cell>
          <cell r="W110" t="str">
            <v>SIGIT KARSENO</v>
          </cell>
          <cell r="X110">
            <v>0</v>
          </cell>
          <cell r="Y110" t="str">
            <v>NIP :19680424 199803 1011</v>
          </cell>
          <cell r="Z110" t="str">
            <v>Moh. Amirudin, S.IP, MM</v>
          </cell>
          <cell r="AA110" t="str">
            <v>Himawan T P, S.Sos</v>
          </cell>
          <cell r="AB110" t="str">
            <v>0000069601590005971</v>
          </cell>
          <cell r="AC110">
            <v>3086</v>
          </cell>
          <cell r="AD110">
            <v>7.6356599999999997</v>
          </cell>
          <cell r="AE110" t="str">
            <v>109,63476</v>
          </cell>
          <cell r="AF110" t="str">
            <v>Surat Keterangan Pejabat</v>
          </cell>
          <cell r="AG110" t="str">
            <v>Tidak Ada</v>
          </cell>
          <cell r="AH110" t="str">
            <v>GENTENG/USUK/RENG LAPUK</v>
          </cell>
          <cell r="AI110" t="str">
            <v>TANAH</v>
          </cell>
          <cell r="AJ110" t="str">
            <v>PAPAN/ BILIK BAMBU</v>
          </cell>
          <cell r="AK110" t="str">
            <v>GENTENG/USUK/RENG</v>
          </cell>
          <cell r="AL110">
            <v>88</v>
          </cell>
          <cell r="AM110" t="str">
            <v>RABAT BETON</v>
          </cell>
          <cell r="AN110">
            <v>54</v>
          </cell>
          <cell r="AO110" t="str">
            <v>BATA MERAH/ BATAKO</v>
          </cell>
          <cell r="AP110">
            <v>90</v>
          </cell>
          <cell r="AQ110" t="str">
            <v>Pengempon, ____ Oktober 2015</v>
          </cell>
          <cell r="AR110" t="str">
            <v>KASAN</v>
          </cell>
          <cell r="AS110" t="str">
            <v>CINGKRANG</v>
          </cell>
          <cell r="AT110" t="str">
            <v>MUNCUL BARU</v>
          </cell>
          <cell r="AU110" t="str">
            <v>Jl. Simpang lima Rt.3/Rw.1 Kec.Pejagoan</v>
          </cell>
          <cell r="AV110" t="str">
            <v>Mohamad Mansur</v>
          </cell>
          <cell r="AW110" t="str">
            <v>BTN KCP KEBUMEN</v>
          </cell>
          <cell r="AX110" t="str">
            <v>'00696</v>
          </cell>
          <cell r="AY110" t="str">
            <v>00696-01-50-000542-4</v>
          </cell>
        </row>
        <row r="111">
          <cell r="A111">
            <v>106</v>
          </cell>
          <cell r="B111" t="str">
            <v>DARIMUN</v>
          </cell>
          <cell r="C111" t="str">
            <v>L</v>
          </cell>
          <cell r="D111" t="str">
            <v>3305140905730003</v>
          </cell>
          <cell r="E111" t="str">
            <v>PENGEMPON RT 04/RW 05</v>
          </cell>
          <cell r="F111" t="str">
            <v>PENGEMPON</v>
          </cell>
          <cell r="G111" t="str">
            <v>SRUWENG</v>
          </cell>
          <cell r="H111" t="str">
            <v>KEBUMEN</v>
          </cell>
          <cell r="I111" t="str">
            <v>JAWA TENGAH</v>
          </cell>
          <cell r="J111">
            <v>15000000</v>
          </cell>
          <cell r="K111">
            <v>41</v>
          </cell>
          <cell r="L111" t="str">
            <v>BURUH HARIAN LEPAS</v>
          </cell>
          <cell r="M111">
            <v>700000</v>
          </cell>
          <cell r="N111">
            <v>3</v>
          </cell>
          <cell r="O111" t="str">
            <v>Tidak Layak</v>
          </cell>
          <cell r="P111" t="str">
            <v>Tidak Layak</v>
          </cell>
          <cell r="Q111" t="str">
            <v>Tidak Layak</v>
          </cell>
          <cell r="R111">
            <v>36</v>
          </cell>
          <cell r="S111">
            <v>0</v>
          </cell>
          <cell r="T111" t="str">
            <v>YUDO SUDOMO</v>
          </cell>
          <cell r="U111">
            <v>0</v>
          </cell>
          <cell r="V111" t="str">
            <v>(0287) 3872017</v>
          </cell>
          <cell r="W111" t="str">
            <v>SIGIT KARSENO</v>
          </cell>
          <cell r="X111">
            <v>0</v>
          </cell>
          <cell r="Y111" t="str">
            <v>NIP :19680424 199803 1011</v>
          </cell>
          <cell r="Z111" t="str">
            <v>Moh. Amirudin, S.IP, MM</v>
          </cell>
          <cell r="AA111" t="str">
            <v>Himawan T P, S.Sos</v>
          </cell>
          <cell r="AB111" t="str">
            <v>0000069601590000696</v>
          </cell>
          <cell r="AC111">
            <v>3086</v>
          </cell>
          <cell r="AD111">
            <v>7.6356000000000002</v>
          </cell>
          <cell r="AE111" t="str">
            <v>109,63475</v>
          </cell>
          <cell r="AF111" t="str">
            <v>Surat Keterangan Pejabat</v>
          </cell>
          <cell r="AG111" t="str">
            <v>Tidak Ada</v>
          </cell>
          <cell r="AH111" t="str">
            <v>GENTENG/USUK/RENG LAPUK</v>
          </cell>
          <cell r="AI111" t="str">
            <v>TANAH</v>
          </cell>
          <cell r="AJ111" t="str">
            <v>PAPAN/ BILIK BAMBU</v>
          </cell>
          <cell r="AK111" t="str">
            <v>GENTENG/USUK/RENG</v>
          </cell>
          <cell r="AL111">
            <v>88</v>
          </cell>
          <cell r="AM111" t="str">
            <v>RABAT BETON</v>
          </cell>
          <cell r="AN111">
            <v>54</v>
          </cell>
          <cell r="AO111" t="str">
            <v>BATA MERAH/ BATAKO</v>
          </cell>
          <cell r="AP111">
            <v>90</v>
          </cell>
          <cell r="AQ111" t="str">
            <v>Pengempon, ____ Oktober 2015</v>
          </cell>
          <cell r="AR111" t="str">
            <v>KASAN</v>
          </cell>
          <cell r="AS111" t="str">
            <v>CINGKRANG</v>
          </cell>
          <cell r="AT111" t="str">
            <v>MUNCUL BARU</v>
          </cell>
          <cell r="AU111" t="str">
            <v>Jl. Simpang lima Rt.3/Rw.1 Kec.Pejagoan</v>
          </cell>
          <cell r="AV111" t="str">
            <v>Mohamad Mansur</v>
          </cell>
          <cell r="AW111" t="str">
            <v>BTN KCP KEBUMEN</v>
          </cell>
          <cell r="AX111" t="str">
            <v>'00696</v>
          </cell>
          <cell r="AY111" t="str">
            <v>00696-01-50-000542-4</v>
          </cell>
          <cell r="AZ111">
            <v>0</v>
          </cell>
        </row>
        <row r="112">
          <cell r="A112">
            <v>107</v>
          </cell>
          <cell r="B112" t="str">
            <v>ADMAN</v>
          </cell>
          <cell r="C112" t="str">
            <v>L</v>
          </cell>
          <cell r="D112" t="str">
            <v>3305143112370011</v>
          </cell>
          <cell r="E112" t="str">
            <v>PENGEMPON RT 04/RW 05</v>
          </cell>
          <cell r="F112" t="str">
            <v>PENGEMPON</v>
          </cell>
          <cell r="G112" t="str">
            <v>SRUWENG</v>
          </cell>
          <cell r="H112" t="str">
            <v>KEBUMEN</v>
          </cell>
          <cell r="I112" t="str">
            <v>JAWA TENGAH</v>
          </cell>
          <cell r="J112">
            <v>15000000</v>
          </cell>
          <cell r="K112">
            <v>77</v>
          </cell>
          <cell r="L112" t="str">
            <v>PETANI/PEKEBUN</v>
          </cell>
          <cell r="M112">
            <v>400000</v>
          </cell>
          <cell r="N112">
            <v>2</v>
          </cell>
          <cell r="O112" t="str">
            <v>Tidak Layak</v>
          </cell>
          <cell r="P112" t="str">
            <v>Tidak Layak</v>
          </cell>
          <cell r="Q112" t="str">
            <v>Tidak Layak</v>
          </cell>
          <cell r="R112">
            <v>63</v>
          </cell>
          <cell r="S112">
            <v>0</v>
          </cell>
          <cell r="T112" t="str">
            <v>YUDO SUDOMO</v>
          </cell>
          <cell r="U112">
            <v>0</v>
          </cell>
          <cell r="V112" t="str">
            <v>(0287) 3872017</v>
          </cell>
          <cell r="W112" t="str">
            <v>SIGIT KARSENO</v>
          </cell>
          <cell r="X112">
            <v>0</v>
          </cell>
          <cell r="Y112" t="str">
            <v>NIP :19680424 199803 1011</v>
          </cell>
          <cell r="Z112" t="str">
            <v>Moh. Amirudin, S.IP, MM</v>
          </cell>
          <cell r="AA112" t="str">
            <v>Himawan T P, S.Sos</v>
          </cell>
          <cell r="AB112" t="str">
            <v>0000069601590000191</v>
          </cell>
          <cell r="AC112">
            <v>3086</v>
          </cell>
          <cell r="AD112">
            <v>7.6352700000000002</v>
          </cell>
          <cell r="AE112" t="str">
            <v>109,63581</v>
          </cell>
          <cell r="AF112" t="str">
            <v>Surat Keterangan Pejabat</v>
          </cell>
          <cell r="AG112" t="str">
            <v>Tidak Ada</v>
          </cell>
          <cell r="AH112" t="str">
            <v>GENTENG/USUK/RENG LAPUK</v>
          </cell>
          <cell r="AI112" t="str">
            <v>TANAH</v>
          </cell>
          <cell r="AJ112" t="str">
            <v>PAPAN/ BILIK BAMBU</v>
          </cell>
          <cell r="AK112" t="str">
            <v>GENTENG/USUK/RENG</v>
          </cell>
          <cell r="AL112">
            <v>88</v>
          </cell>
          <cell r="AM112" t="str">
            <v>RABAT BETON</v>
          </cell>
          <cell r="AN112">
            <v>54</v>
          </cell>
          <cell r="AO112" t="str">
            <v>BATA MERAH/ BATAKO</v>
          </cell>
          <cell r="AP112">
            <v>90</v>
          </cell>
          <cell r="AQ112" t="str">
            <v>Pengempon, ____ Oktober 2015</v>
          </cell>
          <cell r="AR112" t="str">
            <v>KASAN</v>
          </cell>
          <cell r="AS112" t="str">
            <v>CINGKRANG</v>
          </cell>
          <cell r="AT112" t="str">
            <v>MUNCUL BARU</v>
          </cell>
          <cell r="AU112" t="str">
            <v>Jl. Simpang lima Rt.3/Rw.1 Kec.Pejagoan</v>
          </cell>
          <cell r="AV112" t="str">
            <v>Mohamad Mansur</v>
          </cell>
          <cell r="AW112" t="str">
            <v>BTN KCP KEBUMEN</v>
          </cell>
          <cell r="AX112" t="str">
            <v>'00696</v>
          </cell>
          <cell r="AY112" t="str">
            <v>00696-01-50-000542-4</v>
          </cell>
        </row>
        <row r="113">
          <cell r="A113">
            <v>108</v>
          </cell>
          <cell r="B113" t="str">
            <v>SATIMIN</v>
          </cell>
          <cell r="C113" t="str">
            <v>L</v>
          </cell>
          <cell r="D113" t="str">
            <v>3305143112390006</v>
          </cell>
          <cell r="E113" t="str">
            <v>PENGEMPON RT 04/RW 05</v>
          </cell>
          <cell r="F113" t="str">
            <v>PENGEMPON</v>
          </cell>
          <cell r="G113" t="str">
            <v>SRUWENG</v>
          </cell>
          <cell r="H113" t="str">
            <v>KEBUMEN</v>
          </cell>
          <cell r="I113" t="str">
            <v>JAWA TENGAH</v>
          </cell>
          <cell r="J113">
            <v>15000000</v>
          </cell>
          <cell r="K113">
            <v>75</v>
          </cell>
          <cell r="L113" t="str">
            <v>PETANI/PEKEBUN</v>
          </cell>
          <cell r="M113">
            <v>300000</v>
          </cell>
          <cell r="N113">
            <v>1</v>
          </cell>
          <cell r="O113" t="str">
            <v>Tidak Layak</v>
          </cell>
          <cell r="P113" t="str">
            <v>Tidak Layak</v>
          </cell>
          <cell r="Q113" t="str">
            <v>Tidak Layak</v>
          </cell>
          <cell r="R113">
            <v>81</v>
          </cell>
          <cell r="S113">
            <v>0</v>
          </cell>
          <cell r="T113" t="str">
            <v>YUDO SUDOMO</v>
          </cell>
          <cell r="U113">
            <v>0</v>
          </cell>
          <cell r="V113" t="str">
            <v>(0287) 3872017</v>
          </cell>
          <cell r="W113" t="str">
            <v>SIGIT KARSENO</v>
          </cell>
          <cell r="X113">
            <v>0</v>
          </cell>
          <cell r="Y113" t="str">
            <v>NIP :19680424 199803 1011</v>
          </cell>
          <cell r="Z113" t="str">
            <v>Moh. Amirudin, S.IP, MM</v>
          </cell>
          <cell r="AA113" t="str">
            <v>Himawan T P, S.Sos</v>
          </cell>
          <cell r="AB113" t="str">
            <v>0000069601590007460</v>
          </cell>
          <cell r="AC113">
            <v>3086</v>
          </cell>
          <cell r="AD113">
            <v>7.6361800000000004</v>
          </cell>
          <cell r="AE113" t="str">
            <v>109,63376</v>
          </cell>
          <cell r="AF113" t="str">
            <v>Surat Keterangan Pejabat</v>
          </cell>
          <cell r="AG113" t="str">
            <v>Tidak Ada</v>
          </cell>
          <cell r="AH113" t="str">
            <v>GENTENG/USUK/RENG LAPUK</v>
          </cell>
          <cell r="AI113" t="str">
            <v>TANAH</v>
          </cell>
          <cell r="AJ113" t="str">
            <v>PAPAN/ BILIK BAMBU</v>
          </cell>
          <cell r="AK113" t="str">
            <v>GENTENG/USUK/RENG</v>
          </cell>
          <cell r="AL113">
            <v>88</v>
          </cell>
          <cell r="AM113" t="str">
            <v>RABAT BETON</v>
          </cell>
          <cell r="AN113">
            <v>54</v>
          </cell>
          <cell r="AO113" t="str">
            <v>BATA MERAH/ BATAKO</v>
          </cell>
          <cell r="AP113">
            <v>90</v>
          </cell>
          <cell r="AQ113" t="str">
            <v>Pengempon, ____ Oktober 2015</v>
          </cell>
          <cell r="AR113" t="str">
            <v>KASAN</v>
          </cell>
          <cell r="AS113" t="str">
            <v>CINGKRANG</v>
          </cell>
          <cell r="AT113" t="str">
            <v>MUNCUL BARU</v>
          </cell>
          <cell r="AU113" t="str">
            <v>Jl. Simpang lima Rt.3/Rw.1 Kec.Pejagoan</v>
          </cell>
          <cell r="AV113" t="str">
            <v>Mohamad Mansur</v>
          </cell>
          <cell r="AW113" t="str">
            <v>BTN KCP KEBUMEN</v>
          </cell>
          <cell r="AX113" t="str">
            <v>'00696</v>
          </cell>
          <cell r="AY113" t="str">
            <v>00696-01-50-000542-4</v>
          </cell>
          <cell r="AZ113">
            <v>0</v>
          </cell>
        </row>
        <row r="114">
          <cell r="A114">
            <v>109</v>
          </cell>
          <cell r="B114" t="str">
            <v>SURATMIN</v>
          </cell>
          <cell r="C114" t="str">
            <v>L</v>
          </cell>
          <cell r="D114" t="str">
            <v>3305143112420047</v>
          </cell>
          <cell r="E114" t="str">
            <v>PENGEMPON RT 04/RW 05</v>
          </cell>
          <cell r="F114" t="str">
            <v>PENGEMPON</v>
          </cell>
          <cell r="G114" t="str">
            <v>SRUWENG</v>
          </cell>
          <cell r="H114" t="str">
            <v>KEBUMEN</v>
          </cell>
          <cell r="I114" t="str">
            <v>JAWA TENGAH</v>
          </cell>
          <cell r="J114">
            <v>15000000</v>
          </cell>
          <cell r="K114">
            <v>72</v>
          </cell>
          <cell r="L114" t="str">
            <v>BURUH HARIAN LEPAS</v>
          </cell>
          <cell r="M114">
            <v>400000</v>
          </cell>
          <cell r="N114">
            <v>3</v>
          </cell>
          <cell r="O114" t="str">
            <v>Tidak Layak</v>
          </cell>
          <cell r="P114" t="str">
            <v>Tidak Layak</v>
          </cell>
          <cell r="Q114" t="str">
            <v>Tidak Layak</v>
          </cell>
          <cell r="R114">
            <v>72</v>
          </cell>
          <cell r="S114">
            <v>0</v>
          </cell>
          <cell r="T114" t="str">
            <v>YUDO SUDOMO</v>
          </cell>
          <cell r="U114">
            <v>0</v>
          </cell>
          <cell r="V114" t="str">
            <v>(0287) 3872017</v>
          </cell>
          <cell r="W114" t="str">
            <v>SIGIT KARSENO</v>
          </cell>
          <cell r="X114">
            <v>0</v>
          </cell>
          <cell r="Y114" t="str">
            <v>NIP :19680424 199803 1011</v>
          </cell>
          <cell r="Z114" t="str">
            <v>Moh. Amirudin, S.IP, MM</v>
          </cell>
          <cell r="AA114" t="str">
            <v>Himawan T P, S.Sos</v>
          </cell>
          <cell r="AB114" t="str">
            <v>0000069601590009179</v>
          </cell>
          <cell r="AC114">
            <v>3086</v>
          </cell>
          <cell r="AD114">
            <v>7.6350499999999997</v>
          </cell>
          <cell r="AE114" t="str">
            <v>109,63436</v>
          </cell>
          <cell r="AF114" t="str">
            <v>Surat Keterangan Pejabat</v>
          </cell>
          <cell r="AG114" t="str">
            <v>Tidak Ada</v>
          </cell>
          <cell r="AH114" t="str">
            <v>GENTENG/USUK/RENG LAPUK</v>
          </cell>
          <cell r="AI114" t="str">
            <v>TANAH</v>
          </cell>
          <cell r="AJ114" t="str">
            <v>PAPAN/ BILIK BAMBU</v>
          </cell>
          <cell r="AK114" t="str">
            <v>GENTENG/USUK/RENG</v>
          </cell>
          <cell r="AL114">
            <v>88</v>
          </cell>
          <cell r="AM114" t="str">
            <v>RABAT BETON</v>
          </cell>
          <cell r="AN114">
            <v>54</v>
          </cell>
          <cell r="AO114" t="str">
            <v>BATA MERAH/ BATAKO</v>
          </cell>
          <cell r="AP114">
            <v>90</v>
          </cell>
          <cell r="AQ114" t="str">
            <v>Pengempon, ____ Oktober 2015</v>
          </cell>
          <cell r="AR114" t="str">
            <v>KASAN</v>
          </cell>
          <cell r="AS114" t="str">
            <v>CINGKRANG</v>
          </cell>
          <cell r="AT114" t="str">
            <v>MUNCUL BARU</v>
          </cell>
          <cell r="AU114" t="str">
            <v>Jl. Simpang lima Rt.3/Rw.1 Kec.Pejagoan</v>
          </cell>
          <cell r="AV114" t="str">
            <v>Mohamad Mansur</v>
          </cell>
          <cell r="AW114" t="str">
            <v>BTN KCP KEBUMEN</v>
          </cell>
          <cell r="AX114" t="str">
            <v>'00696</v>
          </cell>
          <cell r="AY114" t="str">
            <v>00696-01-50-000542-4</v>
          </cell>
        </row>
        <row r="115">
          <cell r="A115">
            <v>110</v>
          </cell>
          <cell r="B115" t="str">
            <v>SAMIDIN</v>
          </cell>
          <cell r="C115" t="str">
            <v>L</v>
          </cell>
          <cell r="D115" t="str">
            <v>3305141405780004</v>
          </cell>
          <cell r="E115" t="str">
            <v>PENGEMPON RT 04/RW 06</v>
          </cell>
          <cell r="F115" t="str">
            <v>PENGEMPON</v>
          </cell>
          <cell r="G115" t="str">
            <v>SRUWENG</v>
          </cell>
          <cell r="H115" t="str">
            <v>KEBUMEN</v>
          </cell>
          <cell r="I115" t="str">
            <v>JAWA TENGAH</v>
          </cell>
          <cell r="J115">
            <v>30000000</v>
          </cell>
          <cell r="K115">
            <v>36</v>
          </cell>
          <cell r="L115" t="str">
            <v>BURUH HARIAN LEPAS</v>
          </cell>
          <cell r="M115">
            <v>300000</v>
          </cell>
          <cell r="N115">
            <v>4</v>
          </cell>
          <cell r="O115" t="str">
            <v>Tidak Layak</v>
          </cell>
          <cell r="P115" t="str">
            <v>Tidak Layak</v>
          </cell>
          <cell r="Q115" t="str">
            <v>Tidak Layak</v>
          </cell>
          <cell r="R115">
            <v>9</v>
          </cell>
          <cell r="S115">
            <v>0</v>
          </cell>
          <cell r="T115" t="str">
            <v>YUDO SUDOMO</v>
          </cell>
          <cell r="U115">
            <v>0</v>
          </cell>
          <cell r="V115" t="str">
            <v>(0287) 3872017</v>
          </cell>
          <cell r="W115" t="str">
            <v>SIGIT KARSENO</v>
          </cell>
          <cell r="X115">
            <v>0</v>
          </cell>
          <cell r="Y115" t="str">
            <v>NIP :19680424 199803 1011</v>
          </cell>
          <cell r="Z115" t="str">
            <v>Moh. Amirudin, S.IP, MM</v>
          </cell>
          <cell r="AA115" t="str">
            <v>Himawan T P, S.Sos</v>
          </cell>
          <cell r="AB115" t="str">
            <v>0000069601590006537</v>
          </cell>
          <cell r="AC115">
            <v>3086</v>
          </cell>
          <cell r="AD115">
            <v>7.6350899999999999</v>
          </cell>
          <cell r="AE115">
            <v>109.63343999999999</v>
          </cell>
          <cell r="AF115" t="str">
            <v>Surat Keterangan Pejabat</v>
          </cell>
          <cell r="AG115" t="str">
            <v>Tidak Ada</v>
          </cell>
          <cell r="AH115" t="str">
            <v>GENTENG/USUK/RENG LAPUK</v>
          </cell>
          <cell r="AI115" t="str">
            <v>TANAH</v>
          </cell>
          <cell r="AJ115" t="str">
            <v>PAPAN/ BILIK BAMBU</v>
          </cell>
          <cell r="AK115" t="str">
            <v>GENTENG/USUK/RENG</v>
          </cell>
          <cell r="AL115">
            <v>88</v>
          </cell>
          <cell r="AM115" t="str">
            <v>RABAT BETON</v>
          </cell>
          <cell r="AN115">
            <v>54</v>
          </cell>
          <cell r="AO115" t="str">
            <v>BATA MERAH/ BATAKO</v>
          </cell>
          <cell r="AP115">
            <v>90</v>
          </cell>
          <cell r="AQ115" t="str">
            <v>Pengempon, ____ Oktober 2015</v>
          </cell>
          <cell r="AR115" t="str">
            <v>KASAN</v>
          </cell>
          <cell r="AS115" t="str">
            <v>CINGKRANG</v>
          </cell>
          <cell r="AT115" t="str">
            <v>MUNCUL BARU</v>
          </cell>
          <cell r="AU115" t="str">
            <v>Jl. Simpang lima Rt.3/Rw.1 Kec.Pejagoan</v>
          </cell>
          <cell r="AV115" t="str">
            <v>Mohamad Mansur</v>
          </cell>
          <cell r="AW115" t="str">
            <v>BTN KCP KEBUMEN</v>
          </cell>
          <cell r="AX115" t="str">
            <v>'00696</v>
          </cell>
          <cell r="AY115" t="str">
            <v>00696-01-50-000542-4</v>
          </cell>
          <cell r="AZ115">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_Exc_Prod"/>
      <sheetName val="Anl_Exc_Milik"/>
      <sheetName val="Anl_Exc_Operasi"/>
      <sheetName val="add_sompak"/>
      <sheetName val="Anl_Sat_Exc"/>
      <sheetName val="anl teknik"/>
      <sheetName val="Schedule"/>
      <sheetName val="Rekapitulasi"/>
      <sheetName val="Kuantitas"/>
      <sheetName val="Anl_Harga_Sat"/>
      <sheetName val="Daf_Upah_Bahan"/>
      <sheetName val="Mat_On_Site"/>
      <sheetName val="rab 3 daun"/>
      <sheetName val="rab 4 daun"/>
      <sheetName val="jembatan12x3"/>
      <sheetName val="cover"/>
    </sheetNames>
    <sheetDataSet>
      <sheetData sheetId="0"/>
      <sheetData sheetId="1"/>
      <sheetData sheetId="2"/>
      <sheetData sheetId="3"/>
      <sheetData sheetId="4"/>
      <sheetData sheetId="5"/>
      <sheetData sheetId="6"/>
      <sheetData sheetId="7"/>
      <sheetData sheetId="8"/>
      <sheetData sheetId="9"/>
      <sheetData sheetId="10">
        <row r="33">
          <cell r="H33">
            <v>9750</v>
          </cell>
        </row>
        <row r="49">
          <cell r="H49">
            <v>35000</v>
          </cell>
        </row>
      </sheetData>
      <sheetData sheetId="11"/>
      <sheetData sheetId="12"/>
      <sheetData sheetId="13"/>
      <sheetData sheetId="14"/>
      <sheetData sheetId="15"/>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m. Salak"/>
      <sheetName val="RK. Kmp salak"/>
      <sheetName val="RK. singkarak"/>
      <sheetName val="SINGKARAK"/>
      <sheetName val="RK Kamp Key "/>
      <sheetName val=" Kamp Key "/>
      <sheetName val="RK. Takunai"/>
      <sheetName val="Takunai"/>
      <sheetName val="RK. Gurabesy HBM"/>
      <sheetName val="Gurabesy HBM"/>
      <sheetName val="RK.BAK  TMP"/>
      <sheetName val="BAK  TMP"/>
      <sheetName val="RK. Jln Bima"/>
      <sheetName val="Jl. Bima"/>
      <sheetName val="RK. DPn Saga"/>
      <sheetName val="DPn Saga"/>
      <sheetName val="RK.jl. Pramuka"/>
      <sheetName val="jl. Pramuka"/>
      <sheetName val="RK.Pembersihan Km11"/>
      <sheetName val="Pembersihan Km11"/>
      <sheetName val="RK.Kelapa2"/>
      <sheetName val="Kelapa2"/>
      <sheetName val="RK.Lokalisasi"/>
      <sheetName val="Lokalisasi"/>
      <sheetName val="RK.jl..FKaispo"/>
      <sheetName val=".jl..FKaispo"/>
      <sheetName val="RK. WOROT"/>
      <sheetName val="WOROT"/>
      <sheetName val="RK. Handayani"/>
      <sheetName val="Kam. Handayani"/>
      <sheetName val="Informasi"/>
      <sheetName val="%"/>
      <sheetName val="anal bhn"/>
      <sheetName val="Pekerjaan Utama"/>
      <sheetName val="Rekap Biaya"/>
      <sheetName val="Kuantitas &amp; Harga"/>
      <sheetName val="Basic Price"/>
      <sheetName val="Peralatan (2)"/>
      <sheetName val="JL.Polisi"/>
      <sheetName val="RKP.06 "/>
      <sheetName val="JL.maruni"/>
      <sheetName val="RKP.07"/>
      <sheetName val="DEI.2"/>
      <sheetName val="DEV.3"/>
      <sheetName val="DEV.3 Alat"/>
      <sheetName val="DEV.3 (2)"/>
      <sheetName val="DEV.5"/>
      <sheetName val="DEV.6"/>
      <sheetName val="DEV.7 (2)"/>
      <sheetName val="DEVI 7 cerucut"/>
      <sheetName val="DEV.7"/>
      <sheetName val="DEVI 7 (2)"/>
      <sheetName val="TELFORD"/>
      <sheetName val="Agregat Halus &amp; Kasar"/>
      <sheetName val="Mobilisasi"/>
      <sheetName val="DEV 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247">
          <cell r="W247">
            <v>955563.22273972607</v>
          </cell>
        </row>
        <row r="439">
          <cell r="Z439">
            <v>9050</v>
          </cell>
        </row>
      </sheetData>
      <sheetData sheetId="43">
        <row r="48">
          <cell r="AI48">
            <v>29216.073453133111</v>
          </cell>
        </row>
        <row r="155">
          <cell r="AI155">
            <v>33389.682539682544</v>
          </cell>
        </row>
        <row r="216">
          <cell r="AI216">
            <v>89019.632084589786</v>
          </cell>
        </row>
        <row r="343">
          <cell r="AI343">
            <v>7096.0358429216139</v>
          </cell>
        </row>
      </sheetData>
      <sheetData sheetId="44">
        <row r="48">
          <cell r="AI48">
            <v>39522.157794819053</v>
          </cell>
        </row>
      </sheetData>
      <sheetData sheetId="45"/>
      <sheetData sheetId="46"/>
      <sheetData sheetId="47"/>
      <sheetData sheetId="48"/>
      <sheetData sheetId="49">
        <row r="653">
          <cell r="AA653">
            <v>10767.741935483873</v>
          </cell>
        </row>
      </sheetData>
      <sheetData sheetId="50"/>
      <sheetData sheetId="51"/>
      <sheetData sheetId="52"/>
      <sheetData sheetId="53"/>
      <sheetData sheetId="54"/>
      <sheetData sheetId="55"/>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overed_Sheet1"/>
      <sheetName val="Recovered_Sheet2"/>
      <sheetName val="000000"/>
      <sheetName val="laroux"/>
      <sheetName val="laroux_2"/>
      <sheetName val="upah"/>
      <sheetName val="BHNNON"/>
      <sheetName val="BHNLOKAL"/>
      <sheetName val="R-pompa"/>
      <sheetName val="m-wele"/>
      <sheetName val="pem-lama"/>
      <sheetName val="klamalu"/>
      <sheetName val="mariyai"/>
      <sheetName val="re-akhir"/>
      <sheetName val="Hid um"/>
      <sheetName val="analisa"/>
      <sheetName val="RabPenawaran"/>
    </sheetNames>
    <sheetDataSet>
      <sheetData sheetId="0"/>
      <sheetData sheetId="1"/>
      <sheetData sheetId="2"/>
      <sheetData sheetId="3"/>
      <sheetData sheetId="4"/>
      <sheetData sheetId="5" refreshError="1">
        <row r="12">
          <cell r="I12">
            <v>27500</v>
          </cell>
        </row>
        <row r="19">
          <cell r="I19">
            <v>35000</v>
          </cell>
        </row>
      </sheetData>
      <sheetData sheetId="6"/>
      <sheetData sheetId="7">
        <row r="12">
          <cell r="I12">
            <v>125000</v>
          </cell>
        </row>
      </sheetData>
      <sheetData sheetId="8"/>
      <sheetData sheetId="9"/>
      <sheetData sheetId="10"/>
      <sheetData sheetId="11"/>
      <sheetData sheetId="12"/>
      <sheetData sheetId="13"/>
      <sheetData sheetId="14"/>
      <sheetData sheetId="15"/>
      <sheetData sheetId="1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1-99"/>
      <sheetName val="DATA BASE 99-180"/>
      <sheetName val="PT-01 KPB 1"/>
      <sheetName val="PT-01 KPB 1 (2)"/>
      <sheetName val="selisih"/>
      <sheetName val="PT-01 KPB 1 (2)kosong"/>
      <sheetName val="LPM-01"/>
      <sheetName val="PM-03"/>
      <sheetName val="LPM-03"/>
      <sheetName val="1-100"/>
      <sheetName val="1-100D"/>
      <sheetName val="1-100T"/>
      <sheetName val="1-102"/>
      <sheetName val="1-102R"/>
      <sheetName val="1-102D"/>
      <sheetName val="1-102T"/>
      <sheetName val="1-2"/>
      <sheetName val="1-2R"/>
      <sheetName val="1-2D"/>
      <sheetName val="1-2T"/>
      <sheetName val="1-1"/>
      <sheetName val="1-1D"/>
      <sheetName val="1-1T"/>
      <sheetName val="1-4"/>
      <sheetName val="1-4D"/>
      <sheetName val="1-4T"/>
      <sheetName val="1-5"/>
      <sheetName val="1-5D"/>
      <sheetName val="1-6"/>
      <sheetName val="1-6D"/>
      <sheetName val="1-6T"/>
      <sheetName val="1-101"/>
      <sheetName val="1-101D"/>
      <sheetName val="1-101T"/>
      <sheetName val="1-41"/>
      <sheetName val="1-41D"/>
      <sheetName val="1-41T"/>
      <sheetName val="1-103"/>
      <sheetName val="1-103R"/>
      <sheetName val="1-103D"/>
      <sheetName val="1-103T"/>
      <sheetName val="PT-09-1"/>
      <sheetName val="SK-1"/>
      <sheetName val="2-9"/>
      <sheetName val="2-9D"/>
      <sheetName val="1-9T"/>
      <sheetName val="2-10"/>
      <sheetName val="2-10D"/>
      <sheetName val="1-10T"/>
      <sheetName val="2-7"/>
      <sheetName val="2-7D"/>
      <sheetName val="1-7T"/>
      <sheetName val="2-8"/>
      <sheetName val="2-8D"/>
      <sheetName val="1-8T"/>
      <sheetName val="2-12"/>
      <sheetName val="2-12D"/>
      <sheetName val="1-12T"/>
      <sheetName val="2-14"/>
      <sheetName val="2-14R"/>
      <sheetName val="2-14D"/>
      <sheetName val="1-14T"/>
      <sheetName val="2-15"/>
      <sheetName val="2-15D"/>
      <sheetName val="1-15T"/>
      <sheetName val="2-16"/>
      <sheetName val="2-16R"/>
      <sheetName val="2-16D"/>
      <sheetName val="1-16T"/>
      <sheetName val="2-17"/>
      <sheetName val="2-17D"/>
      <sheetName val="1-17T"/>
      <sheetName val="2-18"/>
      <sheetName val="2-18R"/>
      <sheetName val="2-18D"/>
      <sheetName val="PT-09-2"/>
      <sheetName val="SK-2"/>
      <sheetName val="3-21"/>
      <sheetName val="3-21R"/>
      <sheetName val="3-21D"/>
      <sheetName val="3-21T"/>
      <sheetName val="3-50"/>
      <sheetName val="3-50R"/>
      <sheetName val="3-50D"/>
      <sheetName val="3-50T"/>
      <sheetName val="3-26"/>
      <sheetName val="3-26R"/>
      <sheetName val="3-26D"/>
      <sheetName val="3-26T"/>
      <sheetName val="3-19"/>
      <sheetName val="3-19R"/>
      <sheetName val="3-19D"/>
      <sheetName val="3-19T"/>
      <sheetName val="3-20"/>
      <sheetName val="3-20R"/>
      <sheetName val="3-20D"/>
      <sheetName val="3-20T"/>
      <sheetName val="3-22"/>
      <sheetName val="3-22R"/>
      <sheetName val="3-22D"/>
      <sheetName val="3-22T"/>
      <sheetName val="3-24"/>
      <sheetName val="3-24D"/>
      <sheetName val="3-24T"/>
      <sheetName val="3-25"/>
      <sheetName val="3-25D"/>
      <sheetName val="3-25T"/>
      <sheetName val="3-27"/>
      <sheetName val="3-27D"/>
      <sheetName val="3-27T"/>
      <sheetName val="3-28"/>
      <sheetName val="3-28D"/>
      <sheetName val="3-28T"/>
      <sheetName val="PT-09-3"/>
      <sheetName val="SK-3"/>
      <sheetName val="4-29"/>
      <sheetName val="4-29D"/>
      <sheetName val="4-29T"/>
      <sheetName val="4-31"/>
      <sheetName val="4-31D"/>
      <sheetName val="4-31T"/>
      <sheetName val="4-33"/>
      <sheetName val="4-33D"/>
      <sheetName val="4-33T"/>
      <sheetName val="4-32"/>
      <sheetName val="4-32D"/>
      <sheetName val="4-32T"/>
      <sheetName val="4-34"/>
      <sheetName val="4-34D"/>
      <sheetName val="4-36"/>
      <sheetName val="4-36D"/>
      <sheetName val="4-36T"/>
      <sheetName val="4-37"/>
      <sheetName val="4-37D"/>
      <sheetName val="4-37T"/>
      <sheetName val="4-39"/>
      <sheetName val="4-39D"/>
      <sheetName val="4-39T"/>
      <sheetName val="4-40"/>
      <sheetName val="4-40D"/>
      <sheetName val="4-40T"/>
      <sheetName val="PT-09-4"/>
      <sheetName val="SK-4"/>
      <sheetName val="5-42"/>
      <sheetName val="5-42D"/>
      <sheetName val="5-42T"/>
      <sheetName val="5-48"/>
      <sheetName val="5-48D"/>
      <sheetName val="5-48T "/>
      <sheetName val="5-108"/>
      <sheetName val="5-108D"/>
      <sheetName val="5-108T"/>
      <sheetName val="5-44"/>
      <sheetName val="5-44D"/>
      <sheetName val="5-44T"/>
      <sheetName val="5-46"/>
      <sheetName val="5-46D"/>
      <sheetName val="5-46T"/>
      <sheetName val="5-47"/>
      <sheetName val="5-47D"/>
      <sheetName val="5-47T"/>
      <sheetName val="5-49"/>
      <sheetName val="5-49D"/>
      <sheetName val="5-49T"/>
      <sheetName val="5-52"/>
      <sheetName val="5-52D"/>
      <sheetName val="5-104"/>
      <sheetName val="5-104D"/>
      <sheetName val="5-104T"/>
      <sheetName val="5-105"/>
      <sheetName val="5-105D"/>
      <sheetName val="5-105T"/>
      <sheetName val="5-106"/>
      <sheetName val="5-106D"/>
      <sheetName val="5-106T"/>
      <sheetName val="PT-09-5"/>
      <sheetName val="SK-5"/>
      <sheetName val="6-60"/>
      <sheetName val="6-60D"/>
      <sheetName val="6-60T"/>
      <sheetName val="6-56"/>
      <sheetName val="6-56D"/>
      <sheetName val="6-56T"/>
      <sheetName val="6-55"/>
      <sheetName val="6-55D"/>
      <sheetName val="6-55T"/>
      <sheetName val="6-57"/>
      <sheetName val="6-57D"/>
      <sheetName val="6-57T"/>
      <sheetName val="6-58"/>
      <sheetName val="6-58D"/>
      <sheetName val="6-58T"/>
      <sheetName val="6-59"/>
      <sheetName val="6-59D"/>
      <sheetName val="6-59T"/>
      <sheetName val="6-54"/>
      <sheetName val="6-54D"/>
      <sheetName val="PT-09-6"/>
      <sheetName val="SK-6"/>
      <sheetName val="7-69"/>
      <sheetName val="7-69D"/>
      <sheetName val="7-69T"/>
      <sheetName val="7-71"/>
      <sheetName val="7-71D"/>
      <sheetName val="7-71T"/>
      <sheetName val="7-68"/>
      <sheetName val="7-68D"/>
      <sheetName val="7-68T"/>
      <sheetName val="7-61"/>
      <sheetName val="7-61D"/>
      <sheetName val="7-61T"/>
      <sheetName val="7-62"/>
      <sheetName val="7-62D"/>
      <sheetName val="7-62T"/>
      <sheetName val="7-63"/>
      <sheetName val="7-63D"/>
      <sheetName val="7-63T"/>
      <sheetName val="7-64"/>
      <sheetName val="7-64D"/>
      <sheetName val="7-64T"/>
      <sheetName val="7-65"/>
      <sheetName val="7-65D"/>
      <sheetName val="7-65T"/>
      <sheetName val="7-66"/>
      <sheetName val="7-66D"/>
      <sheetName val="7-66T"/>
      <sheetName val="7-67"/>
      <sheetName val="7-67D"/>
      <sheetName val="7-67T"/>
      <sheetName val="7-70"/>
      <sheetName val="7-70D"/>
      <sheetName val="7-70T"/>
      <sheetName val="7-72"/>
      <sheetName val="7-72D"/>
      <sheetName val="7-74"/>
      <sheetName val="7-74D"/>
      <sheetName val="7-74T"/>
      <sheetName val="7-75"/>
      <sheetName val="7-75D"/>
      <sheetName val="7-75T"/>
      <sheetName val="PT-09-7"/>
      <sheetName val="SK-7"/>
      <sheetName val="8-80"/>
      <sheetName val="8-80D"/>
      <sheetName val="8-81"/>
      <sheetName val="8-81D"/>
      <sheetName val="8-79"/>
      <sheetName val="8-79D"/>
      <sheetName val="8-76"/>
      <sheetName val="8-76D"/>
      <sheetName val="8-76T"/>
      <sheetName val="8-77"/>
      <sheetName val="8-77D"/>
      <sheetName val="8-77T"/>
      <sheetName val="8-82"/>
      <sheetName val="8-82D"/>
      <sheetName val="PT-09-8"/>
      <sheetName val="SK-8"/>
      <sheetName val="9-89"/>
      <sheetName val="9-89D"/>
      <sheetName val="9-89T"/>
      <sheetName val="9-91"/>
      <sheetName val="9-91D"/>
      <sheetName val="9-91T"/>
      <sheetName val="9-85"/>
      <sheetName val="9-85R"/>
      <sheetName val="9-85D"/>
      <sheetName val="9-85T"/>
      <sheetName val="9-83"/>
      <sheetName val="9-83R"/>
      <sheetName val="9-83D"/>
      <sheetName val="9-83T"/>
      <sheetName val="9-84"/>
      <sheetName val="9-84R"/>
      <sheetName val="9-84D"/>
      <sheetName val="9-86"/>
      <sheetName val="9-86R"/>
      <sheetName val="9-86D"/>
      <sheetName val="9-86T"/>
      <sheetName val="9-87"/>
      <sheetName val="9-87D"/>
      <sheetName val="9-87T"/>
      <sheetName val="9-88"/>
      <sheetName val="9-88D"/>
      <sheetName val="9-88T"/>
      <sheetName val="9-90"/>
      <sheetName val="9-90R"/>
      <sheetName val="9-90D"/>
      <sheetName val="9-90T"/>
      <sheetName val="9-92"/>
      <sheetName val="9-92D"/>
      <sheetName val="9-92T"/>
      <sheetName val="9-93"/>
      <sheetName val="9-93D"/>
      <sheetName val="9-93T"/>
      <sheetName val="PT-09-9"/>
      <sheetName val="SK-9"/>
      <sheetName val="10-120"/>
      <sheetName val="10-120D"/>
      <sheetName val="10-120T"/>
      <sheetName val="10-110"/>
      <sheetName val="10-110D"/>
      <sheetName val="10-110T"/>
      <sheetName val="10-94"/>
      <sheetName val="10-94D"/>
      <sheetName val="10-94T"/>
      <sheetName val="10-95"/>
      <sheetName val="10-95D"/>
      <sheetName val="10-95T"/>
      <sheetName val="10-96"/>
      <sheetName val="10-96D"/>
      <sheetName val="10-96T"/>
      <sheetName val="10-97"/>
      <sheetName val="10-97D"/>
      <sheetName val="10-97T"/>
      <sheetName val="10-111"/>
      <sheetName val="10-111D"/>
      <sheetName val="10-111T"/>
      <sheetName val="10-112"/>
      <sheetName val="10-112D"/>
      <sheetName val="10-112T"/>
      <sheetName val="10-113"/>
      <sheetName val="10-113D"/>
      <sheetName val="10-113T"/>
      <sheetName val="PT-09-10"/>
      <sheetName val="SK-10"/>
      <sheetName val="14-162"/>
      <sheetName val="14-162D"/>
      <sheetName val="14-162T"/>
      <sheetName val="14-150"/>
      <sheetName val="14-150D"/>
      <sheetName val="14-150T"/>
      <sheetName val="14-154"/>
      <sheetName val="14-154D"/>
      <sheetName val="14-154T"/>
      <sheetName val="14-147"/>
      <sheetName val="14-147D"/>
      <sheetName val="14-147T"/>
      <sheetName val="14-149"/>
      <sheetName val="14-149D"/>
      <sheetName val="14-149T"/>
      <sheetName val="14-151"/>
      <sheetName val="14-151D"/>
      <sheetName val="14-151T"/>
      <sheetName val="14-152"/>
      <sheetName val="14-152D"/>
      <sheetName val="14-152T"/>
      <sheetName val="14-153"/>
      <sheetName val="14-153D"/>
      <sheetName val="14-153T"/>
      <sheetName val="14-155"/>
      <sheetName val="14-155D"/>
      <sheetName val="14-155T"/>
      <sheetName val="14-156"/>
      <sheetName val="14-156D"/>
      <sheetName val="14-156T"/>
      <sheetName val="14-157"/>
      <sheetName val="14-157D"/>
      <sheetName val="14-157T"/>
      <sheetName val="14-158"/>
      <sheetName val="14-158D"/>
      <sheetName val="14-158T"/>
      <sheetName val="14-160"/>
      <sheetName val="14-160D"/>
      <sheetName val="14-160T"/>
      <sheetName val="14-161"/>
      <sheetName val="14-161D"/>
      <sheetName val="14-161T"/>
      <sheetName val="PT-09-14"/>
      <sheetName val="SK-14"/>
      <sheetName val="11-140"/>
      <sheetName val="11-140D"/>
      <sheetName val="11-140T"/>
      <sheetName val="11-130"/>
      <sheetName val="11-130D"/>
      <sheetName val="11-130T"/>
      <sheetName val="11-142"/>
      <sheetName val="11-142D"/>
      <sheetName val="11-142T"/>
      <sheetName val="11-126"/>
      <sheetName val="11-126D"/>
      <sheetName val="11-126T"/>
      <sheetName val="11-144"/>
      <sheetName val="11-144D"/>
      <sheetName val="11-144T"/>
      <sheetName val="11-135"/>
      <sheetName val="11-135D"/>
      <sheetName val="11-135T"/>
      <sheetName val="11-133"/>
      <sheetName val="11-133D"/>
      <sheetName val="11-133T"/>
      <sheetName val="11-129"/>
      <sheetName val="11-129D"/>
      <sheetName val="11-129T"/>
      <sheetName val="11-139"/>
      <sheetName val="11-139D"/>
      <sheetName val="11-139T"/>
      <sheetName val="11-146"/>
      <sheetName val="11-146D"/>
      <sheetName val="11-146T"/>
      <sheetName val="11-145"/>
      <sheetName val="11-145D"/>
      <sheetName val="11-145T"/>
      <sheetName val="PT-09-11"/>
      <sheetName val="SK-11"/>
      <sheetName val="12-134"/>
      <sheetName val="12-134D"/>
      <sheetName val="12-134T"/>
      <sheetName val="12-124"/>
      <sheetName val="12-124D"/>
      <sheetName val="12-124T"/>
      <sheetName val="12-143"/>
      <sheetName val="12-143D"/>
      <sheetName val="12-143T"/>
      <sheetName val="12-132"/>
      <sheetName val="12-132D"/>
      <sheetName val="12-132T"/>
      <sheetName val="12-125"/>
      <sheetName val="12-125D"/>
      <sheetName val="12-125T"/>
      <sheetName val="12-159"/>
      <sheetName val="12-159D"/>
      <sheetName val="12-159T"/>
      <sheetName val="12-138"/>
      <sheetName val="12-138D"/>
      <sheetName val="12-138T"/>
      <sheetName val="12-128"/>
      <sheetName val="12-128D"/>
      <sheetName val="12-128T"/>
      <sheetName val="12-141"/>
      <sheetName val="12-141D"/>
      <sheetName val="12-141T"/>
      <sheetName val="12-131"/>
      <sheetName val="12-131D"/>
      <sheetName val="12-131T"/>
      <sheetName val="12-127"/>
      <sheetName val="12-127D"/>
      <sheetName val="12-127T"/>
      <sheetName val="12-137"/>
      <sheetName val="12-137D"/>
      <sheetName val="12-137T"/>
      <sheetName val="PT-09-12"/>
      <sheetName val="SK-12"/>
      <sheetName val="13-122"/>
      <sheetName val="13-122D"/>
      <sheetName val="13-122T"/>
      <sheetName val="13-114"/>
      <sheetName val="13-114D"/>
      <sheetName val="13-114T"/>
      <sheetName val="13-119"/>
      <sheetName val="13-119D"/>
      <sheetName val="13-119T"/>
      <sheetName val="13-118"/>
      <sheetName val="13-118D"/>
      <sheetName val="13-118T"/>
      <sheetName val="13-115"/>
      <sheetName val="13-115D"/>
      <sheetName val="13-115T"/>
      <sheetName val="13-117"/>
      <sheetName val="13-117D"/>
      <sheetName val="13-117T"/>
      <sheetName val="13-121"/>
      <sheetName val="13-121D"/>
      <sheetName val="13-121T"/>
      <sheetName val="13-123"/>
      <sheetName val="13-123D"/>
      <sheetName val="13-123T"/>
      <sheetName val="13-136"/>
      <sheetName val="13-136D"/>
      <sheetName val="13-136T"/>
      <sheetName val="13-116"/>
      <sheetName val="13-116D"/>
      <sheetName val="13-116T"/>
      <sheetName val="13-148"/>
      <sheetName val="13-148D"/>
      <sheetName val="13-148T"/>
      <sheetName val="PT-09-13"/>
      <sheetName val="SK-13"/>
      <sheetName val="16-174"/>
      <sheetName val="16-174D"/>
      <sheetName val="16-174T"/>
      <sheetName val="16-176"/>
      <sheetName val="16-176D"/>
      <sheetName val="16-176T"/>
      <sheetName val="16-178"/>
      <sheetName val="16-178D"/>
      <sheetName val="16-178T"/>
      <sheetName val="16-172"/>
      <sheetName val="16-172D"/>
      <sheetName val="16-172T"/>
      <sheetName val="16-173"/>
      <sheetName val="16-173D"/>
      <sheetName val="16-173T"/>
      <sheetName val="16-175"/>
      <sheetName val="16-175D"/>
      <sheetName val="16-175T"/>
      <sheetName val="16-177"/>
      <sheetName val="16-177D"/>
      <sheetName val="16-177T"/>
      <sheetName val="16-179"/>
      <sheetName val="16-179D"/>
      <sheetName val="16-179T"/>
      <sheetName val="PT-09-16"/>
      <sheetName val="SK-16"/>
      <sheetName val="15-169"/>
      <sheetName val="15-169D"/>
      <sheetName val="15-169T"/>
      <sheetName val="15-170"/>
      <sheetName val="15-170D"/>
      <sheetName val="15-170T"/>
      <sheetName val="15-165"/>
      <sheetName val="15-165D"/>
      <sheetName val="15-165T"/>
      <sheetName val="15-163"/>
      <sheetName val="15-163D"/>
      <sheetName val="15-163T"/>
      <sheetName val="15-164"/>
      <sheetName val="15-164D"/>
      <sheetName val="15-164T"/>
      <sheetName val="15-166"/>
      <sheetName val="15-166D"/>
      <sheetName val="15-166T"/>
      <sheetName val="15-167"/>
      <sheetName val="15-167D"/>
      <sheetName val="15-167T"/>
      <sheetName val="15-168"/>
      <sheetName val="15-168D"/>
      <sheetName val="15-168T"/>
      <sheetName val="15-171"/>
      <sheetName val="15-171D"/>
      <sheetName val="15-171T"/>
      <sheetName val="PT-09-15"/>
      <sheetName val="SK-15"/>
      <sheetName val="Luas"/>
      <sheetName val="LPM-04"/>
      <sheetName val="PM-05 KPB 1"/>
      <sheetName val="PM-06 KPB 1"/>
      <sheetName val="PM-05 KPB 2"/>
      <sheetName val="PM-06 KPB 2"/>
      <sheetName val="PM-05 KPB 3"/>
      <sheetName val="PM-06 KPB 3"/>
      <sheetName val="PM-05 KPB 4"/>
      <sheetName val="PM-06 KPB 4"/>
      <sheetName val="PM-05 KPB 5"/>
      <sheetName val="PM-06 KPB 5"/>
      <sheetName val="PM-05 KPB 6"/>
      <sheetName val="PM-06 KPB 6"/>
      <sheetName val="PM-05 KPB 7"/>
      <sheetName val="PM-06 KPB 7"/>
      <sheetName val="PM-05 KPB 8"/>
      <sheetName val="PM-06 KPB 8"/>
      <sheetName val="PM-05 KPB 9"/>
      <sheetName val="PM-06 KPB 9"/>
      <sheetName val="PM-05 KPB 10"/>
      <sheetName val="PM-06 KPB 10"/>
      <sheetName val="PM-05 KPB 11"/>
      <sheetName val="PM-06 KPB 11"/>
      <sheetName val="PM-05 KPB 12"/>
      <sheetName val="PM-06 KPB 12"/>
      <sheetName val="PM-05 KPB 13"/>
      <sheetName val="PM-06 KPB 13"/>
      <sheetName val="PM-05 KPB 14"/>
      <sheetName val="PM-06 KPB 14"/>
      <sheetName val="PM-05 KPB 15"/>
      <sheetName val="PM-06 KPB 15"/>
      <sheetName val="PM-05 KPB 16"/>
      <sheetName val="jml KPB"/>
      <sheetName val="PM-06 KPB 16"/>
      <sheetName val="LPM-06 KPB 1"/>
      <sheetName val="foto"/>
      <sheetName val="absen"/>
      <sheetName val="LAMP KEPALA DESA"/>
      <sheetName val="PT-4"/>
      <sheetName val="PT-04A"/>
    </sheetNames>
    <sheetDataSet>
      <sheetData sheetId="0"/>
      <sheetData sheetId="1"/>
      <sheetData sheetId="2"/>
      <sheetData sheetId="3">
        <row r="17">
          <cell r="J17">
            <v>73000</v>
          </cell>
        </row>
      </sheetData>
      <sheetData sheetId="4"/>
      <sheetData sheetId="5"/>
      <sheetData sheetId="6"/>
      <sheetData sheetId="7">
        <row r="13">
          <cell r="B13">
            <v>1</v>
          </cell>
        </row>
      </sheetData>
      <sheetData sheetId="8"/>
      <sheetData sheetId="9">
        <row r="21">
          <cell r="K21">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sheetName val="Upah Bahan"/>
      <sheetName val="1"/>
      <sheetName val="Harga IHS Upah Bahan 2016"/>
      <sheetName val="Format II-9"/>
      <sheetName val="Format II-9 oke"/>
      <sheetName val="Format II-9a (2)"/>
      <sheetName val="Format II-9a"/>
    </sheetNames>
    <sheetDataSet>
      <sheetData sheetId="0">
        <row r="5">
          <cell r="A5">
            <v>1</v>
          </cell>
          <cell r="B5" t="str">
            <v>Roni Fabia</v>
          </cell>
          <cell r="C5" t="str">
            <v>L</v>
          </cell>
          <cell r="D5" t="str">
            <v>3305180610820004</v>
          </cell>
          <cell r="E5" t="str">
            <v>Desa Tunjungseto RT 01 RW 06</v>
          </cell>
          <cell r="G5" t="str">
            <v>KPB IX</v>
          </cell>
          <cell r="H5" t="str">
            <v>Purwanto</v>
          </cell>
          <cell r="I5" t="str">
            <v>AAA</v>
          </cell>
          <cell r="J5" t="str">
            <v>BBB</v>
          </cell>
          <cell r="K5" t="str">
            <v>CCC</v>
          </cell>
          <cell r="L5" t="str">
            <v>DDD</v>
          </cell>
        </row>
        <row r="6">
          <cell r="A6">
            <v>2</v>
          </cell>
          <cell r="B6" t="str">
            <v>Sanwito</v>
          </cell>
          <cell r="C6" t="str">
            <v>L</v>
          </cell>
          <cell r="D6" t="str">
            <v>3305181704570002</v>
          </cell>
          <cell r="E6" t="str">
            <v>Desa Tunjungseto RT 03 RW 01</v>
          </cell>
          <cell r="G6" t="str">
            <v>KPB II</v>
          </cell>
          <cell r="H6" t="str">
            <v>Wagiyo</v>
          </cell>
          <cell r="I6" t="str">
            <v>AAA</v>
          </cell>
          <cell r="J6" t="str">
            <v>BBB</v>
          </cell>
          <cell r="K6" t="str">
            <v>CCC</v>
          </cell>
          <cell r="L6" t="str">
            <v>DDD</v>
          </cell>
        </row>
        <row r="7">
          <cell r="A7">
            <v>3</v>
          </cell>
          <cell r="B7" t="str">
            <v>Satini</v>
          </cell>
          <cell r="C7" t="str">
            <v>P</v>
          </cell>
          <cell r="D7" t="str">
            <v>3305186703640001</v>
          </cell>
          <cell r="E7" t="str">
            <v>Desa Tunjungseto RT 02 RW 01</v>
          </cell>
          <cell r="G7" t="str">
            <v>KPB I</v>
          </cell>
          <cell r="H7" t="str">
            <v>Semin Sandiharjo</v>
          </cell>
          <cell r="I7" t="str">
            <v>AAA</v>
          </cell>
          <cell r="J7" t="str">
            <v>BBB</v>
          </cell>
          <cell r="K7" t="str">
            <v>CCC</v>
          </cell>
          <cell r="L7" t="str">
            <v>DDD</v>
          </cell>
        </row>
        <row r="8">
          <cell r="A8">
            <v>4</v>
          </cell>
          <cell r="B8" t="str">
            <v>Satiman</v>
          </cell>
          <cell r="C8" t="str">
            <v>L</v>
          </cell>
          <cell r="D8" t="str">
            <v>3305180811740003</v>
          </cell>
          <cell r="E8" t="str">
            <v>Desa Tunjungseto RT 02 RW 01</v>
          </cell>
          <cell r="G8" t="str">
            <v>KPB I</v>
          </cell>
          <cell r="H8" t="str">
            <v>Semin Sandiharjo</v>
          </cell>
          <cell r="I8" t="str">
            <v>AAA</v>
          </cell>
          <cell r="J8" t="str">
            <v>BBB</v>
          </cell>
          <cell r="K8" t="str">
            <v>CCC</v>
          </cell>
          <cell r="L8" t="str">
            <v>DDD</v>
          </cell>
        </row>
        <row r="9">
          <cell r="A9">
            <v>5</v>
          </cell>
          <cell r="B9" t="str">
            <v>Kodrat sanoto</v>
          </cell>
          <cell r="C9" t="str">
            <v>L</v>
          </cell>
          <cell r="D9" t="str">
            <v>3305181607510002</v>
          </cell>
          <cell r="E9" t="str">
            <v>Desa Tunjungseto RT 02 RW 01</v>
          </cell>
          <cell r="G9" t="str">
            <v>KPB I</v>
          </cell>
          <cell r="H9" t="str">
            <v>Semin Sandiharjo</v>
          </cell>
          <cell r="I9" t="str">
            <v>AAA</v>
          </cell>
          <cell r="J9" t="str">
            <v>BBB</v>
          </cell>
          <cell r="K9" t="str">
            <v>CCC</v>
          </cell>
          <cell r="L9" t="str">
            <v>DDD</v>
          </cell>
        </row>
        <row r="10">
          <cell r="A10">
            <v>6</v>
          </cell>
          <cell r="B10" t="str">
            <v>Parso</v>
          </cell>
          <cell r="C10" t="str">
            <v>L</v>
          </cell>
          <cell r="D10" t="str">
            <v>3305181807500001</v>
          </cell>
          <cell r="E10" t="str">
            <v>Desa Tunjungseto RT 03 RW 01</v>
          </cell>
          <cell r="G10" t="str">
            <v>KPB II</v>
          </cell>
          <cell r="H10" t="str">
            <v>Wagiyo</v>
          </cell>
          <cell r="I10" t="str">
            <v>AAA</v>
          </cell>
          <cell r="J10" t="str">
            <v>BBB</v>
          </cell>
          <cell r="K10" t="str">
            <v>CCC</v>
          </cell>
          <cell r="L10" t="str">
            <v>DDD</v>
          </cell>
        </row>
        <row r="11">
          <cell r="A11">
            <v>7</v>
          </cell>
          <cell r="B11" t="str">
            <v>Patiman</v>
          </cell>
          <cell r="C11" t="str">
            <v>L</v>
          </cell>
          <cell r="D11" t="str">
            <v>3305180606660007</v>
          </cell>
          <cell r="E11" t="str">
            <v>Desa Tunjungseto RT 02 RW 01</v>
          </cell>
          <cell r="G11" t="str">
            <v>KPB I</v>
          </cell>
          <cell r="H11" t="str">
            <v>Semin Sandiharjo</v>
          </cell>
          <cell r="I11" t="str">
            <v>AAA</v>
          </cell>
          <cell r="J11" t="str">
            <v>BBB</v>
          </cell>
          <cell r="K11" t="str">
            <v>CCC</v>
          </cell>
          <cell r="L11" t="str">
            <v>DDD</v>
          </cell>
        </row>
        <row r="12">
          <cell r="A12">
            <v>8</v>
          </cell>
          <cell r="B12" t="str">
            <v>Semin Sandiharjo</v>
          </cell>
          <cell r="C12" t="str">
            <v>L</v>
          </cell>
          <cell r="D12" t="str">
            <v>3305181806640002</v>
          </cell>
          <cell r="E12" t="str">
            <v>Desa Tunjungseto RT 02 RW 01</v>
          </cell>
          <cell r="F12" t="str">
            <v>Ketua Kelompok</v>
          </cell>
          <cell r="G12" t="str">
            <v>KPB I</v>
          </cell>
          <cell r="H12" t="str">
            <v>Semin Sandiharjo</v>
          </cell>
          <cell r="I12" t="str">
            <v>AAA</v>
          </cell>
          <cell r="J12" t="str">
            <v>BBB</v>
          </cell>
          <cell r="K12" t="str">
            <v>CCC</v>
          </cell>
          <cell r="L12" t="str">
            <v>DDD</v>
          </cell>
        </row>
        <row r="13">
          <cell r="A13">
            <v>9</v>
          </cell>
          <cell r="B13" t="str">
            <v>Imam Suwarji</v>
          </cell>
          <cell r="C13" t="str">
            <v>L</v>
          </cell>
          <cell r="D13" t="str">
            <v>3327101906840089</v>
          </cell>
          <cell r="E13" t="str">
            <v>Desa Tunjungseto RT 02 RW 01</v>
          </cell>
          <cell r="G13" t="str">
            <v>KPB I</v>
          </cell>
          <cell r="H13" t="str">
            <v>Semin Sandiharjo</v>
          </cell>
          <cell r="I13" t="str">
            <v>AAA</v>
          </cell>
          <cell r="J13" t="str">
            <v>BBB</v>
          </cell>
          <cell r="K13" t="str">
            <v>CCC</v>
          </cell>
          <cell r="L13" t="str">
            <v>DDD</v>
          </cell>
        </row>
        <row r="14">
          <cell r="A14">
            <v>10</v>
          </cell>
          <cell r="B14" t="str">
            <v>Yatini</v>
          </cell>
          <cell r="C14" t="str">
            <v>P</v>
          </cell>
          <cell r="D14" t="str">
            <v>3305185001570001</v>
          </cell>
          <cell r="E14" t="str">
            <v>Desa Tunjungseto RT 03 RW 01</v>
          </cell>
          <cell r="G14" t="str">
            <v>KPB II</v>
          </cell>
          <cell r="H14" t="str">
            <v>Wagiyo</v>
          </cell>
          <cell r="I14" t="str">
            <v>AAA</v>
          </cell>
          <cell r="J14" t="str">
            <v>BBB</v>
          </cell>
          <cell r="K14" t="str">
            <v>CCC</v>
          </cell>
          <cell r="L14" t="str">
            <v>DDD</v>
          </cell>
        </row>
        <row r="15">
          <cell r="A15">
            <v>11</v>
          </cell>
          <cell r="B15" t="str">
            <v>Tatang</v>
          </cell>
          <cell r="C15" t="str">
            <v>L</v>
          </cell>
          <cell r="D15" t="str">
            <v>3305183112460002</v>
          </cell>
          <cell r="E15" t="str">
            <v>Desa Tunjungseto RT 02 RW 01</v>
          </cell>
          <cell r="G15" t="str">
            <v>KPB I</v>
          </cell>
          <cell r="H15" t="str">
            <v>Semin Sandiharjo</v>
          </cell>
          <cell r="I15" t="str">
            <v>AAA</v>
          </cell>
          <cell r="J15" t="str">
            <v>BBB</v>
          </cell>
          <cell r="K15" t="str">
            <v>CCC</v>
          </cell>
          <cell r="L15" t="str">
            <v>DDD</v>
          </cell>
        </row>
        <row r="16">
          <cell r="A16">
            <v>12</v>
          </cell>
          <cell r="B16" t="str">
            <v>Ripah</v>
          </cell>
          <cell r="C16" t="str">
            <v>P</v>
          </cell>
          <cell r="D16" t="str">
            <v>3305184107580081</v>
          </cell>
          <cell r="E16" t="str">
            <v>Desa Tunjungseto RT 03 RW 01</v>
          </cell>
          <cell r="G16" t="str">
            <v>KPB II</v>
          </cell>
          <cell r="H16" t="str">
            <v>Wagiyo</v>
          </cell>
          <cell r="I16" t="str">
            <v>AAA</v>
          </cell>
          <cell r="J16" t="str">
            <v>BBB</v>
          </cell>
          <cell r="K16" t="str">
            <v>CCC</v>
          </cell>
          <cell r="L16" t="str">
            <v>DDD</v>
          </cell>
        </row>
        <row r="17">
          <cell r="A17">
            <v>13</v>
          </cell>
          <cell r="B17" t="str">
            <v>Sutrisno</v>
          </cell>
          <cell r="C17" t="str">
            <v>L</v>
          </cell>
          <cell r="D17" t="str">
            <v>3305180703820004</v>
          </cell>
          <cell r="E17" t="str">
            <v>Desa Tunjungseto RT 03 RW 01</v>
          </cell>
          <cell r="G17" t="str">
            <v>KPB II</v>
          </cell>
          <cell r="H17" t="str">
            <v>Wagiyo</v>
          </cell>
          <cell r="I17" t="str">
            <v>AAA</v>
          </cell>
          <cell r="J17" t="str">
            <v>BBB</v>
          </cell>
          <cell r="K17" t="str">
            <v>CCC</v>
          </cell>
          <cell r="L17" t="str">
            <v>DDD</v>
          </cell>
        </row>
        <row r="18">
          <cell r="A18">
            <v>14</v>
          </cell>
          <cell r="B18" t="str">
            <v>Surip</v>
          </cell>
          <cell r="C18" t="str">
            <v>L</v>
          </cell>
          <cell r="D18" t="str">
            <v>3305185304330002</v>
          </cell>
          <cell r="E18" t="str">
            <v>Desa Tunjungseto RT 03 RW 01</v>
          </cell>
          <cell r="G18" t="str">
            <v>KPB II</v>
          </cell>
          <cell r="H18" t="str">
            <v>Wagiyo</v>
          </cell>
          <cell r="I18" t="str">
            <v>AAA</v>
          </cell>
          <cell r="J18" t="str">
            <v>BBB</v>
          </cell>
          <cell r="K18" t="str">
            <v>CCC</v>
          </cell>
          <cell r="L18" t="str">
            <v>DDD</v>
          </cell>
        </row>
        <row r="19">
          <cell r="A19">
            <v>15</v>
          </cell>
          <cell r="B19" t="str">
            <v>Marsudi</v>
          </cell>
          <cell r="C19" t="str">
            <v>L</v>
          </cell>
          <cell r="D19" t="str">
            <v>3305182310640001</v>
          </cell>
          <cell r="E19" t="str">
            <v>Desa Tunjungseto RT 04 RW 01</v>
          </cell>
          <cell r="G19" t="str">
            <v>KPB I</v>
          </cell>
          <cell r="H19" t="str">
            <v>Semin Sandiharjo</v>
          </cell>
          <cell r="I19" t="str">
            <v>AAA</v>
          </cell>
          <cell r="J19" t="str">
            <v>BBB</v>
          </cell>
          <cell r="K19" t="str">
            <v>CCC</v>
          </cell>
          <cell r="L19" t="str">
            <v>DDD</v>
          </cell>
        </row>
        <row r="20">
          <cell r="A20">
            <v>16</v>
          </cell>
          <cell r="B20" t="str">
            <v>Painem</v>
          </cell>
          <cell r="C20" t="str">
            <v>P</v>
          </cell>
          <cell r="D20" t="str">
            <v>3305184312460001</v>
          </cell>
          <cell r="E20" t="str">
            <v>Desa Tunjungseto RT 04 RW 01</v>
          </cell>
          <cell r="G20" t="str">
            <v>KPB I</v>
          </cell>
          <cell r="H20" t="str">
            <v>Semin Sandiharjo</v>
          </cell>
          <cell r="I20" t="str">
            <v>AAA</v>
          </cell>
          <cell r="J20" t="str">
            <v>BBB</v>
          </cell>
          <cell r="K20" t="str">
            <v>CCC</v>
          </cell>
          <cell r="L20" t="str">
            <v>DDD</v>
          </cell>
        </row>
        <row r="21">
          <cell r="A21">
            <v>17</v>
          </cell>
          <cell r="B21" t="str">
            <v>Wagiyo</v>
          </cell>
          <cell r="C21" t="str">
            <v>L</v>
          </cell>
          <cell r="D21" t="str">
            <v>3305183003640001</v>
          </cell>
          <cell r="E21" t="str">
            <v>Desa Tunjungseto RT 04 RW 01</v>
          </cell>
          <cell r="F21" t="str">
            <v>Ketua Kelompok</v>
          </cell>
          <cell r="G21" t="str">
            <v>KPB II</v>
          </cell>
          <cell r="H21" t="str">
            <v>Wagiyo</v>
          </cell>
          <cell r="I21" t="str">
            <v>AAA</v>
          </cell>
          <cell r="J21" t="str">
            <v>BBB</v>
          </cell>
          <cell r="K21" t="str">
            <v>CCC</v>
          </cell>
          <cell r="L21" t="str">
            <v>DDD</v>
          </cell>
        </row>
        <row r="22">
          <cell r="A22">
            <v>18</v>
          </cell>
          <cell r="B22" t="str">
            <v>Supriyah</v>
          </cell>
          <cell r="C22" t="str">
            <v>P</v>
          </cell>
          <cell r="D22" t="str">
            <v>3305185909630002</v>
          </cell>
          <cell r="E22" t="str">
            <v>Desa Tunjungseto RT 04 RW 01</v>
          </cell>
          <cell r="G22" t="str">
            <v>KPB II</v>
          </cell>
          <cell r="H22" t="str">
            <v>Wagiyo</v>
          </cell>
          <cell r="I22" t="str">
            <v>AAA</v>
          </cell>
          <cell r="J22" t="str">
            <v>BBB</v>
          </cell>
          <cell r="K22" t="str">
            <v>CCC</v>
          </cell>
          <cell r="L22" t="str">
            <v>DDD</v>
          </cell>
        </row>
        <row r="23">
          <cell r="A23">
            <v>19</v>
          </cell>
          <cell r="B23" t="str">
            <v>Ngadiyanto</v>
          </cell>
          <cell r="C23" t="str">
            <v>L</v>
          </cell>
          <cell r="D23" t="str">
            <v>3305182404760001</v>
          </cell>
          <cell r="E23" t="str">
            <v>Desa Tunjungseto RT 01 RW 02</v>
          </cell>
          <cell r="F23" t="str">
            <v>Ketua Kelompok</v>
          </cell>
          <cell r="G23" t="str">
            <v>KPB III</v>
          </cell>
          <cell r="H23" t="str">
            <v>Ngadiyanto</v>
          </cell>
          <cell r="I23" t="str">
            <v>AAA</v>
          </cell>
          <cell r="J23" t="str">
            <v>BBB</v>
          </cell>
          <cell r="K23" t="str">
            <v>CCC</v>
          </cell>
          <cell r="L23" t="str">
            <v>DDD</v>
          </cell>
        </row>
        <row r="24">
          <cell r="A24">
            <v>20</v>
          </cell>
          <cell r="B24" t="str">
            <v>Bagus Rahmadi</v>
          </cell>
          <cell r="C24" t="str">
            <v>L</v>
          </cell>
          <cell r="D24" t="str">
            <v>3305190410880001</v>
          </cell>
          <cell r="E24" t="str">
            <v>Desa Tunjungseto RT 01 RW 03</v>
          </cell>
          <cell r="G24" t="str">
            <v>KPB V</v>
          </cell>
          <cell r="H24" t="str">
            <v>Bajuri</v>
          </cell>
          <cell r="I24" t="str">
            <v>AAA</v>
          </cell>
          <cell r="J24" t="str">
            <v>BBB</v>
          </cell>
          <cell r="K24" t="str">
            <v>CCC</v>
          </cell>
          <cell r="L24" t="str">
            <v>DDD</v>
          </cell>
        </row>
        <row r="25">
          <cell r="A25">
            <v>21</v>
          </cell>
          <cell r="B25" t="str">
            <v>Sanasmo Jemingun</v>
          </cell>
          <cell r="C25" t="str">
            <v>L</v>
          </cell>
          <cell r="D25" t="str">
            <v>3305182507310001</v>
          </cell>
          <cell r="E25" t="str">
            <v>Desa Tunjungseto RT 01 RW 02</v>
          </cell>
          <cell r="G25" t="str">
            <v>KPB III</v>
          </cell>
          <cell r="H25" t="str">
            <v>Ngadiyanto</v>
          </cell>
          <cell r="I25" t="str">
            <v>AAA</v>
          </cell>
          <cell r="J25" t="str">
            <v>BBB</v>
          </cell>
          <cell r="K25" t="str">
            <v>CCC</v>
          </cell>
          <cell r="L25" t="str">
            <v>DDD</v>
          </cell>
        </row>
        <row r="26">
          <cell r="A26">
            <v>22</v>
          </cell>
          <cell r="B26" t="str">
            <v>Miskun</v>
          </cell>
          <cell r="C26" t="str">
            <v>L</v>
          </cell>
          <cell r="D26" t="str">
            <v>3305182710540002</v>
          </cell>
          <cell r="E26" t="str">
            <v>Desa Tunjungseto RT 06 RW 02</v>
          </cell>
          <cell r="G26" t="str">
            <v>KPB IV</v>
          </cell>
          <cell r="H26" t="str">
            <v>Ratimin</v>
          </cell>
          <cell r="I26" t="str">
            <v>AAA</v>
          </cell>
          <cell r="J26" t="str">
            <v>BBB</v>
          </cell>
          <cell r="K26" t="str">
            <v>CCC</v>
          </cell>
          <cell r="L26" t="str">
            <v>DDD</v>
          </cell>
        </row>
        <row r="27">
          <cell r="A27">
            <v>23</v>
          </cell>
          <cell r="B27" t="str">
            <v>Partini</v>
          </cell>
          <cell r="C27" t="str">
            <v>P</v>
          </cell>
          <cell r="D27" t="str">
            <v>3305185907760001</v>
          </cell>
          <cell r="E27" t="str">
            <v>Desa Tunjungseto RT 01 RW 02</v>
          </cell>
          <cell r="G27" t="str">
            <v>KPB III</v>
          </cell>
          <cell r="H27" t="str">
            <v>Ngadiyanto</v>
          </cell>
          <cell r="I27" t="str">
            <v>AAA</v>
          </cell>
          <cell r="J27" t="str">
            <v>BBB</v>
          </cell>
          <cell r="K27" t="str">
            <v>CCC</v>
          </cell>
          <cell r="L27" t="str">
            <v>DDD</v>
          </cell>
        </row>
        <row r="28">
          <cell r="A28">
            <v>24</v>
          </cell>
          <cell r="B28" t="str">
            <v>Sumini</v>
          </cell>
          <cell r="C28" t="str">
            <v>P</v>
          </cell>
          <cell r="D28" t="str">
            <v>3305184607650001</v>
          </cell>
          <cell r="E28" t="str">
            <v>Desa Tunjungseto RT 05 RW 02</v>
          </cell>
          <cell r="G28" t="str">
            <v>KPB III</v>
          </cell>
          <cell r="H28" t="str">
            <v>Ngadiyanto</v>
          </cell>
          <cell r="I28" t="str">
            <v>AAA</v>
          </cell>
          <cell r="J28" t="str">
            <v>BBB</v>
          </cell>
          <cell r="K28" t="str">
            <v>CCC</v>
          </cell>
          <cell r="L28" t="str">
            <v>DDD</v>
          </cell>
        </row>
        <row r="29">
          <cell r="A29">
            <v>25</v>
          </cell>
          <cell r="B29" t="str">
            <v>Tumin Hadi Pratikno</v>
          </cell>
          <cell r="C29" t="str">
            <v>L</v>
          </cell>
          <cell r="D29" t="str">
            <v>3305182107690004</v>
          </cell>
          <cell r="E29" t="str">
            <v>Desa Tunjungseto RT 03 RW 02</v>
          </cell>
          <cell r="G29" t="str">
            <v>KPB IV</v>
          </cell>
          <cell r="H29" t="str">
            <v>Ratimin</v>
          </cell>
          <cell r="I29" t="str">
            <v>AAA</v>
          </cell>
          <cell r="J29" t="str">
            <v>BBB</v>
          </cell>
          <cell r="K29" t="str">
            <v>CCC</v>
          </cell>
          <cell r="L29" t="str">
            <v>DDD</v>
          </cell>
        </row>
        <row r="30">
          <cell r="A30">
            <v>26</v>
          </cell>
          <cell r="B30" t="str">
            <v>Suyitno</v>
          </cell>
          <cell r="C30" t="str">
            <v>L</v>
          </cell>
          <cell r="D30" t="str">
            <v>3305182001720001</v>
          </cell>
          <cell r="E30" t="str">
            <v>Desa Tunjungseto RT 03 RW 01</v>
          </cell>
          <cell r="G30" t="str">
            <v>KPB II</v>
          </cell>
          <cell r="H30" t="str">
            <v>Wagiyo</v>
          </cell>
          <cell r="I30" t="str">
            <v>AAA</v>
          </cell>
          <cell r="J30" t="str">
            <v>BBB</v>
          </cell>
          <cell r="K30" t="str">
            <v>CCC</v>
          </cell>
          <cell r="L30" t="str">
            <v>DDD</v>
          </cell>
        </row>
        <row r="31">
          <cell r="A31">
            <v>27</v>
          </cell>
          <cell r="B31" t="str">
            <v>Hadi Prayitno</v>
          </cell>
          <cell r="C31" t="str">
            <v>L</v>
          </cell>
          <cell r="D31" t="str">
            <v>3305180202540001</v>
          </cell>
          <cell r="E31" t="str">
            <v>Desa Tunjungseto RT 03 RW 02</v>
          </cell>
          <cell r="G31" t="str">
            <v>KPB IV</v>
          </cell>
          <cell r="H31" t="str">
            <v>Ratimin</v>
          </cell>
          <cell r="I31" t="str">
            <v>AAA</v>
          </cell>
          <cell r="J31" t="str">
            <v>BBB</v>
          </cell>
          <cell r="K31" t="str">
            <v>CCC</v>
          </cell>
          <cell r="L31" t="str">
            <v>DDD</v>
          </cell>
        </row>
        <row r="32">
          <cell r="A32">
            <v>28</v>
          </cell>
          <cell r="B32" t="str">
            <v>Surtiman</v>
          </cell>
          <cell r="C32" t="str">
            <v>L</v>
          </cell>
          <cell r="D32" t="str">
            <v>3305180704790002</v>
          </cell>
          <cell r="E32" t="str">
            <v>Desa Tunjungseto RT 03 RW 02</v>
          </cell>
          <cell r="G32" t="str">
            <v>KPB IV</v>
          </cell>
          <cell r="H32" t="str">
            <v>Ratimin</v>
          </cell>
          <cell r="I32" t="str">
            <v>AAA</v>
          </cell>
          <cell r="J32" t="str">
            <v>BBB</v>
          </cell>
          <cell r="K32" t="str">
            <v>CCC</v>
          </cell>
          <cell r="L32" t="str">
            <v>DDD</v>
          </cell>
        </row>
        <row r="33">
          <cell r="A33">
            <v>29</v>
          </cell>
          <cell r="B33" t="str">
            <v>Lasmini</v>
          </cell>
          <cell r="C33" t="str">
            <v>P</v>
          </cell>
          <cell r="D33" t="str">
            <v>3305184105700001</v>
          </cell>
          <cell r="E33" t="str">
            <v>Desa Tunjungseto RT 03 RW 02</v>
          </cell>
          <cell r="G33" t="str">
            <v>KPB IV</v>
          </cell>
          <cell r="H33" t="str">
            <v>Ratimin</v>
          </cell>
          <cell r="I33" t="str">
            <v>AAA</v>
          </cell>
          <cell r="J33" t="str">
            <v>BBB</v>
          </cell>
          <cell r="K33" t="str">
            <v>CCC</v>
          </cell>
          <cell r="L33" t="str">
            <v>DDD</v>
          </cell>
        </row>
        <row r="34">
          <cell r="A34">
            <v>30</v>
          </cell>
          <cell r="B34" t="str">
            <v>Mirah</v>
          </cell>
          <cell r="C34" t="str">
            <v>P</v>
          </cell>
          <cell r="D34" t="str">
            <v>3305184702550001</v>
          </cell>
          <cell r="E34" t="str">
            <v>Desa Tunjungseto RT 03 RW 01</v>
          </cell>
          <cell r="G34" t="str">
            <v>KPB II</v>
          </cell>
          <cell r="H34" t="str">
            <v>Wagiyo</v>
          </cell>
          <cell r="I34" t="str">
            <v>AAA</v>
          </cell>
          <cell r="J34" t="str">
            <v>BBB</v>
          </cell>
          <cell r="K34" t="str">
            <v>CCC</v>
          </cell>
          <cell r="L34" t="str">
            <v>DDD</v>
          </cell>
        </row>
        <row r="35">
          <cell r="A35">
            <v>31</v>
          </cell>
          <cell r="B35" t="str">
            <v>Kanaah</v>
          </cell>
          <cell r="C35" t="str">
            <v>P</v>
          </cell>
          <cell r="D35" t="str">
            <v>3305186601440001</v>
          </cell>
          <cell r="E35" t="str">
            <v>Desa Tunjungseto RT 05 RW 02</v>
          </cell>
          <cell r="G35" t="str">
            <v>KPB III</v>
          </cell>
          <cell r="H35" t="str">
            <v>Ngadiyanto</v>
          </cell>
          <cell r="I35" t="str">
            <v>AAA</v>
          </cell>
          <cell r="J35" t="str">
            <v>BBB</v>
          </cell>
          <cell r="K35" t="str">
            <v>CCC</v>
          </cell>
          <cell r="L35" t="str">
            <v>DDD</v>
          </cell>
        </row>
        <row r="36">
          <cell r="A36">
            <v>32</v>
          </cell>
          <cell r="B36" t="str">
            <v>Tri Suseno</v>
          </cell>
          <cell r="C36" t="str">
            <v>L</v>
          </cell>
          <cell r="D36" t="str">
            <v>3305182103910004</v>
          </cell>
          <cell r="E36" t="str">
            <v>Desa Tunjungseto RT 05 RW 02</v>
          </cell>
          <cell r="G36" t="str">
            <v>KPB III</v>
          </cell>
          <cell r="H36" t="str">
            <v>Ngadiyanto</v>
          </cell>
          <cell r="I36" t="str">
            <v>AAA</v>
          </cell>
          <cell r="J36" t="str">
            <v>BBB</v>
          </cell>
          <cell r="K36" t="str">
            <v>CCC</v>
          </cell>
          <cell r="L36" t="str">
            <v>DDD</v>
          </cell>
        </row>
        <row r="37">
          <cell r="A37">
            <v>33</v>
          </cell>
          <cell r="B37" t="str">
            <v>Rasini</v>
          </cell>
          <cell r="C37" t="str">
            <v>P</v>
          </cell>
          <cell r="D37" t="str">
            <v>3305186311540001</v>
          </cell>
          <cell r="E37" t="str">
            <v>Desa Tunjungseto RT 05 RW 02</v>
          </cell>
          <cell r="G37" t="str">
            <v>KPB III</v>
          </cell>
          <cell r="H37" t="str">
            <v>Ngadiyanto</v>
          </cell>
          <cell r="I37" t="str">
            <v>AAA</v>
          </cell>
          <cell r="J37" t="str">
            <v>BBB</v>
          </cell>
          <cell r="K37" t="str">
            <v>CCC</v>
          </cell>
          <cell r="L37" t="str">
            <v>DDD</v>
          </cell>
        </row>
        <row r="38">
          <cell r="A38">
            <v>34</v>
          </cell>
          <cell r="B38" t="str">
            <v>Iswanto</v>
          </cell>
          <cell r="C38" t="str">
            <v>L</v>
          </cell>
          <cell r="D38" t="str">
            <v>3305182902840005</v>
          </cell>
          <cell r="E38" t="str">
            <v>Desa Tunjungseto RT 05 RW 02</v>
          </cell>
          <cell r="G38" t="str">
            <v>KPB III</v>
          </cell>
          <cell r="H38" t="str">
            <v>Ngadiyanto</v>
          </cell>
          <cell r="I38" t="str">
            <v>AAA</v>
          </cell>
          <cell r="J38" t="str">
            <v>BBB</v>
          </cell>
          <cell r="K38" t="str">
            <v>CCC</v>
          </cell>
          <cell r="L38" t="str">
            <v>DDD</v>
          </cell>
        </row>
        <row r="39">
          <cell r="A39">
            <v>35</v>
          </cell>
          <cell r="B39" t="str">
            <v>Lasiman</v>
          </cell>
          <cell r="C39" t="str">
            <v>L</v>
          </cell>
          <cell r="D39" t="str">
            <v>3305181305730003</v>
          </cell>
          <cell r="E39" t="str">
            <v>Desa Tunjungseto RT 02 RW 01</v>
          </cell>
          <cell r="G39" t="str">
            <v>KPB I</v>
          </cell>
          <cell r="H39" t="str">
            <v>Semin Sandiharjo</v>
          </cell>
          <cell r="I39" t="str">
            <v>AAA</v>
          </cell>
          <cell r="J39" t="str">
            <v>BBB</v>
          </cell>
          <cell r="K39" t="str">
            <v>CCC</v>
          </cell>
          <cell r="L39" t="str">
            <v>DDD</v>
          </cell>
        </row>
        <row r="40">
          <cell r="A40">
            <v>36</v>
          </cell>
          <cell r="B40" t="str">
            <v>Sriyadi</v>
          </cell>
          <cell r="C40" t="str">
            <v>L</v>
          </cell>
          <cell r="D40" t="str">
            <v>3305180708550003</v>
          </cell>
          <cell r="E40" t="str">
            <v>Desa Tunjungseto RT 07 RW 02</v>
          </cell>
          <cell r="G40" t="str">
            <v>KPB IV</v>
          </cell>
          <cell r="H40" t="str">
            <v>Ratimin</v>
          </cell>
          <cell r="I40" t="str">
            <v>AAA</v>
          </cell>
          <cell r="J40" t="str">
            <v>BBB</v>
          </cell>
          <cell r="K40" t="str">
            <v>CCC</v>
          </cell>
          <cell r="L40" t="str">
            <v>DDD</v>
          </cell>
        </row>
        <row r="41">
          <cell r="A41">
            <v>37</v>
          </cell>
          <cell r="B41" t="str">
            <v>Salami</v>
          </cell>
          <cell r="C41" t="str">
            <v>P</v>
          </cell>
          <cell r="D41" t="str">
            <v>3305184711450001</v>
          </cell>
          <cell r="E41" t="str">
            <v>Desa Tunjungseto RT 05 RW 02</v>
          </cell>
          <cell r="G41" t="str">
            <v>KPB III</v>
          </cell>
          <cell r="H41" t="str">
            <v>Ngadiyanto</v>
          </cell>
          <cell r="I41" t="str">
            <v>AAA</v>
          </cell>
          <cell r="J41" t="str">
            <v>BBB</v>
          </cell>
          <cell r="K41" t="str">
            <v>CCC</v>
          </cell>
          <cell r="L41" t="str">
            <v>DDD</v>
          </cell>
        </row>
        <row r="42">
          <cell r="A42">
            <v>38</v>
          </cell>
          <cell r="B42" t="str">
            <v>Parnis</v>
          </cell>
          <cell r="C42" t="str">
            <v>P</v>
          </cell>
          <cell r="D42" t="str">
            <v>3305184503610003</v>
          </cell>
          <cell r="E42" t="str">
            <v>Desa Tunjungseto RT 06 RW 02</v>
          </cell>
          <cell r="G42" t="str">
            <v>KPB IV</v>
          </cell>
          <cell r="H42" t="str">
            <v>Ratimin</v>
          </cell>
          <cell r="I42" t="str">
            <v>AAA</v>
          </cell>
          <cell r="J42" t="str">
            <v>BBB</v>
          </cell>
          <cell r="K42" t="str">
            <v>CCC</v>
          </cell>
          <cell r="L42" t="str">
            <v>DDD</v>
          </cell>
        </row>
        <row r="43">
          <cell r="A43">
            <v>39</v>
          </cell>
          <cell r="B43" t="str">
            <v>Turimin</v>
          </cell>
          <cell r="C43" t="str">
            <v>L</v>
          </cell>
          <cell r="D43" t="str">
            <v>3305180306640001</v>
          </cell>
          <cell r="E43" t="str">
            <v>Desa Tunjungseto RT 06 RW 02</v>
          </cell>
          <cell r="G43" t="str">
            <v>KPB IV</v>
          </cell>
          <cell r="H43" t="str">
            <v>Ratimin</v>
          </cell>
          <cell r="I43" t="str">
            <v>AAA</v>
          </cell>
          <cell r="J43" t="str">
            <v>BBB</v>
          </cell>
          <cell r="K43" t="str">
            <v>CCC</v>
          </cell>
          <cell r="L43" t="str">
            <v>DDD</v>
          </cell>
        </row>
        <row r="44">
          <cell r="A44">
            <v>40</v>
          </cell>
          <cell r="B44" t="str">
            <v>Ratimin</v>
          </cell>
          <cell r="C44" t="str">
            <v>L</v>
          </cell>
          <cell r="D44" t="str">
            <v>3305180103700006</v>
          </cell>
          <cell r="E44" t="str">
            <v>Desa Tunjungseto RT 06 RW 02</v>
          </cell>
          <cell r="F44" t="str">
            <v>Ketua Kelompok</v>
          </cell>
          <cell r="G44" t="str">
            <v>KPB IV</v>
          </cell>
          <cell r="H44" t="str">
            <v>Ratimin</v>
          </cell>
          <cell r="I44" t="str">
            <v>AAA</v>
          </cell>
          <cell r="J44" t="str">
            <v>BBB</v>
          </cell>
          <cell r="K44" t="str">
            <v>CCC</v>
          </cell>
          <cell r="L44" t="str">
            <v>DDD</v>
          </cell>
        </row>
        <row r="45">
          <cell r="A45">
            <v>41</v>
          </cell>
          <cell r="B45" t="str">
            <v>Santi</v>
          </cell>
          <cell r="C45" t="str">
            <v>L</v>
          </cell>
          <cell r="D45" t="str">
            <v>3305184805860001</v>
          </cell>
          <cell r="E45" t="str">
            <v>Desa Tunjungseto RT 06 RW 02</v>
          </cell>
          <cell r="G45" t="str">
            <v>KPB IV</v>
          </cell>
          <cell r="H45" t="str">
            <v>Ratimin</v>
          </cell>
          <cell r="I45" t="str">
            <v>AAA</v>
          </cell>
          <cell r="J45" t="str">
            <v>BBB</v>
          </cell>
          <cell r="K45" t="str">
            <v>CCC</v>
          </cell>
          <cell r="L45" t="str">
            <v>DDD</v>
          </cell>
        </row>
        <row r="46">
          <cell r="A46">
            <v>42</v>
          </cell>
          <cell r="B46" t="str">
            <v>Ali Wikarto</v>
          </cell>
          <cell r="C46" t="str">
            <v>L</v>
          </cell>
          <cell r="D46" t="str">
            <v>3305181705590002</v>
          </cell>
          <cell r="E46" t="str">
            <v>Desa Tunjungseto RT 07 RW 02</v>
          </cell>
          <cell r="G46" t="str">
            <v>KPB IV</v>
          </cell>
          <cell r="H46" t="str">
            <v>Ratimin</v>
          </cell>
          <cell r="I46" t="str">
            <v>AAA</v>
          </cell>
          <cell r="J46" t="str">
            <v>BBB</v>
          </cell>
          <cell r="K46" t="str">
            <v>CCC</v>
          </cell>
          <cell r="L46" t="str">
            <v>DDD</v>
          </cell>
        </row>
        <row r="47">
          <cell r="A47">
            <v>43</v>
          </cell>
          <cell r="B47" t="str">
            <v>Mino Hadi Suwarno</v>
          </cell>
          <cell r="C47" t="str">
            <v>L</v>
          </cell>
          <cell r="D47" t="str">
            <v>3305180707530002</v>
          </cell>
          <cell r="E47" t="str">
            <v>Desa Tunjungseto RT 07 RW 02</v>
          </cell>
          <cell r="G47" t="str">
            <v>KPB IV</v>
          </cell>
          <cell r="H47" t="str">
            <v>Ratimin</v>
          </cell>
          <cell r="I47" t="str">
            <v>AAA</v>
          </cell>
          <cell r="J47" t="str">
            <v>BBB</v>
          </cell>
          <cell r="K47" t="str">
            <v>CCC</v>
          </cell>
          <cell r="L47" t="str">
            <v>DDD</v>
          </cell>
        </row>
        <row r="48">
          <cell r="A48">
            <v>44</v>
          </cell>
          <cell r="B48" t="str">
            <v>Wagiman</v>
          </cell>
          <cell r="C48" t="str">
            <v>L</v>
          </cell>
          <cell r="D48" t="str">
            <v>3305180507690001</v>
          </cell>
          <cell r="E48" t="str">
            <v>Desa Tunjungseto RT 07 RW 02</v>
          </cell>
          <cell r="G48" t="str">
            <v>KPB IV</v>
          </cell>
          <cell r="H48" t="str">
            <v>Ratimin</v>
          </cell>
          <cell r="I48" t="str">
            <v>AAA</v>
          </cell>
          <cell r="J48" t="str">
            <v>BBB</v>
          </cell>
          <cell r="K48" t="str">
            <v>CCC</v>
          </cell>
          <cell r="L48" t="str">
            <v>DDD</v>
          </cell>
        </row>
        <row r="49">
          <cell r="A49">
            <v>45</v>
          </cell>
          <cell r="B49" t="str">
            <v>Lasno</v>
          </cell>
          <cell r="C49" t="str">
            <v>L</v>
          </cell>
          <cell r="D49" t="str">
            <v>3305181609790001</v>
          </cell>
          <cell r="E49" t="str">
            <v>Desa Tunjungseto RT 08 RW 02</v>
          </cell>
          <cell r="G49" t="str">
            <v>KPB III</v>
          </cell>
          <cell r="H49" t="str">
            <v>Ngadiyanto</v>
          </cell>
          <cell r="I49" t="str">
            <v>AAA</v>
          </cell>
          <cell r="J49" t="str">
            <v>BBB</v>
          </cell>
          <cell r="K49" t="str">
            <v>CCC</v>
          </cell>
          <cell r="L49" t="str">
            <v>DDD</v>
          </cell>
        </row>
        <row r="50">
          <cell r="A50">
            <v>46</v>
          </cell>
          <cell r="B50" t="str">
            <v>Poningsih</v>
          </cell>
          <cell r="C50" t="str">
            <v>P</v>
          </cell>
          <cell r="D50" t="str">
            <v>3305185508730004</v>
          </cell>
          <cell r="E50" t="str">
            <v>Desa Tunjungseto RT 04 RW 01</v>
          </cell>
          <cell r="G50" t="str">
            <v>KPB II</v>
          </cell>
          <cell r="H50" t="str">
            <v>Wagiyo</v>
          </cell>
          <cell r="I50" t="str">
            <v>AAA</v>
          </cell>
          <cell r="J50" t="str">
            <v>BBB</v>
          </cell>
          <cell r="K50" t="str">
            <v>CCC</v>
          </cell>
          <cell r="L50" t="str">
            <v>DDD</v>
          </cell>
        </row>
        <row r="51">
          <cell r="A51">
            <v>47</v>
          </cell>
          <cell r="B51" t="str">
            <v>Sarmi</v>
          </cell>
          <cell r="C51" t="str">
            <v>L</v>
          </cell>
          <cell r="D51" t="str">
            <v>3305180708510002</v>
          </cell>
          <cell r="E51" t="str">
            <v>Desa Tunjungseto RT 01 RW 03</v>
          </cell>
          <cell r="G51" t="str">
            <v>KPB V</v>
          </cell>
          <cell r="H51" t="str">
            <v>Bajuri</v>
          </cell>
          <cell r="I51" t="str">
            <v>AAA</v>
          </cell>
          <cell r="J51" t="str">
            <v>BBB</v>
          </cell>
          <cell r="K51" t="str">
            <v>CCC</v>
          </cell>
          <cell r="L51" t="str">
            <v>DDD</v>
          </cell>
        </row>
        <row r="52">
          <cell r="A52">
            <v>48</v>
          </cell>
          <cell r="B52" t="str">
            <v>Mingan M</v>
          </cell>
          <cell r="C52" t="str">
            <v>L</v>
          </cell>
          <cell r="D52" t="str">
            <v>3305181312590001</v>
          </cell>
          <cell r="E52" t="str">
            <v>Desa Tunjungseto RT 01 RW 03</v>
          </cell>
          <cell r="G52" t="str">
            <v>KPB V</v>
          </cell>
          <cell r="H52" t="str">
            <v>Bajuri</v>
          </cell>
          <cell r="I52" t="str">
            <v>AAA</v>
          </cell>
          <cell r="J52" t="str">
            <v>BBB</v>
          </cell>
          <cell r="K52" t="str">
            <v>CCC</v>
          </cell>
          <cell r="L52" t="str">
            <v>DDD</v>
          </cell>
        </row>
        <row r="53">
          <cell r="A53">
            <v>49</v>
          </cell>
          <cell r="B53" t="str">
            <v>Sarimun</v>
          </cell>
          <cell r="C53" t="str">
            <v>L</v>
          </cell>
          <cell r="D53" t="str">
            <v>3305181506560007</v>
          </cell>
          <cell r="E53" t="str">
            <v>Desa Tunjungseto RT 01 RW 03</v>
          </cell>
          <cell r="G53" t="str">
            <v>KPB V</v>
          </cell>
          <cell r="H53" t="str">
            <v>Bajuri</v>
          </cell>
          <cell r="I53" t="str">
            <v>AAA</v>
          </cell>
          <cell r="J53" t="str">
            <v>BBB</v>
          </cell>
          <cell r="K53" t="str">
            <v>CCC</v>
          </cell>
          <cell r="L53" t="str">
            <v>DDD</v>
          </cell>
        </row>
        <row r="54">
          <cell r="A54">
            <v>50</v>
          </cell>
          <cell r="B54" t="str">
            <v>Rusnen</v>
          </cell>
          <cell r="C54" t="str">
            <v>L</v>
          </cell>
          <cell r="D54" t="str">
            <v>3305180812740001</v>
          </cell>
          <cell r="E54" t="str">
            <v>Desa Tunjungseto RT 01 RW 03</v>
          </cell>
          <cell r="G54" t="str">
            <v>KPB V</v>
          </cell>
          <cell r="H54" t="str">
            <v>Bajuri</v>
          </cell>
          <cell r="I54" t="str">
            <v>AAA</v>
          </cell>
          <cell r="J54" t="str">
            <v>BBB</v>
          </cell>
          <cell r="K54" t="str">
            <v>CCC</v>
          </cell>
          <cell r="L54" t="str">
            <v>DDD</v>
          </cell>
        </row>
        <row r="55">
          <cell r="A55">
            <v>51</v>
          </cell>
          <cell r="B55" t="str">
            <v>Pariyem</v>
          </cell>
          <cell r="C55" t="str">
            <v>P</v>
          </cell>
          <cell r="D55" t="str">
            <v>3305184107400103</v>
          </cell>
          <cell r="E55" t="str">
            <v>Desa Tunjungseto RT 02 RW 03</v>
          </cell>
          <cell r="G55" t="str">
            <v>KPB V</v>
          </cell>
          <cell r="H55" t="str">
            <v>Bajuri</v>
          </cell>
          <cell r="I55" t="str">
            <v>AAA</v>
          </cell>
          <cell r="J55" t="str">
            <v>BBB</v>
          </cell>
          <cell r="K55" t="str">
            <v>CCC</v>
          </cell>
          <cell r="L55" t="str">
            <v>DDD</v>
          </cell>
        </row>
        <row r="56">
          <cell r="A56">
            <v>52</v>
          </cell>
          <cell r="B56" t="str">
            <v>Samen</v>
          </cell>
          <cell r="C56" t="str">
            <v>P</v>
          </cell>
          <cell r="D56" t="str">
            <v>3305184112390001</v>
          </cell>
          <cell r="E56" t="str">
            <v>Desa Tunjungseto RT 02 RW 03</v>
          </cell>
          <cell r="G56" t="str">
            <v>KPB V</v>
          </cell>
          <cell r="H56" t="str">
            <v>Bajuri</v>
          </cell>
          <cell r="I56" t="str">
            <v>AAA</v>
          </cell>
          <cell r="J56" t="str">
            <v>BBB</v>
          </cell>
          <cell r="K56" t="str">
            <v>CCC</v>
          </cell>
          <cell r="L56" t="str">
            <v>DDD</v>
          </cell>
        </row>
        <row r="57">
          <cell r="A57">
            <v>53</v>
          </cell>
          <cell r="B57" t="str">
            <v>Sumiyah</v>
          </cell>
          <cell r="C57" t="str">
            <v>P</v>
          </cell>
          <cell r="D57" t="str">
            <v>3305185505760007</v>
          </cell>
          <cell r="E57" t="str">
            <v>Desa Tunjungseto RT 02 RW 03</v>
          </cell>
          <cell r="G57" t="str">
            <v>KPB V</v>
          </cell>
          <cell r="H57" t="str">
            <v>Bajuri</v>
          </cell>
          <cell r="I57" t="str">
            <v>AAA</v>
          </cell>
          <cell r="J57" t="str">
            <v>BBB</v>
          </cell>
          <cell r="K57" t="str">
            <v>CCC</v>
          </cell>
          <cell r="L57" t="str">
            <v>DDD</v>
          </cell>
        </row>
        <row r="58">
          <cell r="A58">
            <v>54</v>
          </cell>
          <cell r="B58" t="str">
            <v>Bajuri</v>
          </cell>
          <cell r="C58" t="str">
            <v>L</v>
          </cell>
          <cell r="D58" t="str">
            <v>3305181010660001</v>
          </cell>
          <cell r="E58" t="str">
            <v>Desa Tunjungseto RT 03 RW 03</v>
          </cell>
          <cell r="F58" t="str">
            <v>Ketua Kelompok</v>
          </cell>
          <cell r="G58" t="str">
            <v>KPB V</v>
          </cell>
          <cell r="H58" t="str">
            <v>Bajuri</v>
          </cell>
          <cell r="I58" t="str">
            <v>AAA</v>
          </cell>
          <cell r="J58" t="str">
            <v>BBB</v>
          </cell>
          <cell r="K58" t="str">
            <v>CCC</v>
          </cell>
          <cell r="L58" t="str">
            <v>DDD</v>
          </cell>
        </row>
        <row r="59">
          <cell r="A59">
            <v>55</v>
          </cell>
          <cell r="B59" t="str">
            <v>Suparni</v>
          </cell>
          <cell r="C59" t="str">
            <v>P</v>
          </cell>
          <cell r="D59" t="str">
            <v>3305184303730004</v>
          </cell>
          <cell r="E59" t="str">
            <v>Desa Tunjungseto RT 03 RW 03</v>
          </cell>
          <cell r="G59" t="str">
            <v>KPB V</v>
          </cell>
          <cell r="H59" t="str">
            <v>Bajuri</v>
          </cell>
          <cell r="I59" t="str">
            <v>AAA</v>
          </cell>
          <cell r="J59" t="str">
            <v>BBB</v>
          </cell>
          <cell r="K59" t="str">
            <v>CCC</v>
          </cell>
          <cell r="L59" t="str">
            <v>DDD</v>
          </cell>
        </row>
        <row r="60">
          <cell r="A60">
            <v>56</v>
          </cell>
          <cell r="B60" t="str">
            <v>Slamet</v>
          </cell>
          <cell r="C60" t="str">
            <v>L</v>
          </cell>
          <cell r="D60" t="str">
            <v>3305180706740004</v>
          </cell>
          <cell r="E60" t="str">
            <v>Desa Tunjungseto RT 01 RW 04</v>
          </cell>
          <cell r="G60" t="str">
            <v>KPB VI</v>
          </cell>
          <cell r="H60" t="str">
            <v>N/A</v>
          </cell>
          <cell r="I60" t="str">
            <v>AAA</v>
          </cell>
          <cell r="J60" t="str">
            <v>BBB</v>
          </cell>
          <cell r="K60" t="str">
            <v>CCC</v>
          </cell>
          <cell r="L60" t="str">
            <v>DDD</v>
          </cell>
        </row>
        <row r="61">
          <cell r="A61">
            <v>57</v>
          </cell>
          <cell r="B61" t="str">
            <v>Muslim</v>
          </cell>
          <cell r="C61" t="str">
            <v>L</v>
          </cell>
          <cell r="D61" t="str">
            <v>3305181506760004</v>
          </cell>
          <cell r="E61" t="str">
            <v>Desa Tunjungseto RT 01 RW 04</v>
          </cell>
          <cell r="G61" t="str">
            <v>KPB VI</v>
          </cell>
          <cell r="H61" t="str">
            <v>N/A</v>
          </cell>
          <cell r="I61" t="str">
            <v>AAA</v>
          </cell>
          <cell r="J61" t="str">
            <v>BBB</v>
          </cell>
          <cell r="K61" t="str">
            <v>CCC</v>
          </cell>
          <cell r="L61" t="str">
            <v>DDD</v>
          </cell>
        </row>
        <row r="62">
          <cell r="A62">
            <v>58</v>
          </cell>
          <cell r="B62" t="str">
            <v>Yatinem</v>
          </cell>
          <cell r="C62" t="str">
            <v>P</v>
          </cell>
          <cell r="D62" t="str">
            <v>3305185005660001</v>
          </cell>
          <cell r="E62" t="str">
            <v>Desa Tunjungseto RT 02 RW 04</v>
          </cell>
          <cell r="G62" t="str">
            <v>KPB VI</v>
          </cell>
          <cell r="H62" t="str">
            <v>N/A</v>
          </cell>
          <cell r="I62" t="str">
            <v>AAA</v>
          </cell>
          <cell r="J62" t="str">
            <v>BBB</v>
          </cell>
          <cell r="K62" t="str">
            <v>CCC</v>
          </cell>
          <cell r="L62" t="str">
            <v>DDD</v>
          </cell>
        </row>
        <row r="63">
          <cell r="A63">
            <v>59</v>
          </cell>
          <cell r="B63" t="str">
            <v>Sutarti</v>
          </cell>
          <cell r="C63" t="str">
            <v>P</v>
          </cell>
          <cell r="D63" t="str">
            <v>3305181808560002</v>
          </cell>
          <cell r="E63" t="str">
            <v>Desa Tunjungseto RT 03 RW 04</v>
          </cell>
          <cell r="G63" t="str">
            <v>KPB VI</v>
          </cell>
          <cell r="H63" t="str">
            <v>N/A</v>
          </cell>
          <cell r="I63" t="str">
            <v>AAA</v>
          </cell>
          <cell r="J63" t="str">
            <v>BBB</v>
          </cell>
          <cell r="K63" t="str">
            <v>CCC</v>
          </cell>
          <cell r="L63" t="str">
            <v>DDD</v>
          </cell>
        </row>
        <row r="64">
          <cell r="A64">
            <v>60</v>
          </cell>
          <cell r="B64" t="str">
            <v>Setiyo</v>
          </cell>
          <cell r="C64" t="str">
            <v>L</v>
          </cell>
          <cell r="D64" t="str">
            <v>3305182801810001</v>
          </cell>
          <cell r="E64" t="str">
            <v>Desa Tunjungseto RT 03 RW 04</v>
          </cell>
          <cell r="G64" t="str">
            <v>KPB VI</v>
          </cell>
          <cell r="H64" t="str">
            <v>N/A</v>
          </cell>
          <cell r="I64" t="str">
            <v>AAA</v>
          </cell>
          <cell r="J64" t="str">
            <v>BBB</v>
          </cell>
          <cell r="K64" t="str">
            <v>CCC</v>
          </cell>
          <cell r="L64" t="str">
            <v>DDD</v>
          </cell>
        </row>
        <row r="65">
          <cell r="A65">
            <v>61</v>
          </cell>
          <cell r="B65" t="str">
            <v>Saniyah</v>
          </cell>
          <cell r="C65" t="str">
            <v>P</v>
          </cell>
          <cell r="D65" t="str">
            <v>3305184508580001</v>
          </cell>
          <cell r="E65" t="str">
            <v>Desa Tunjungseto RT 03 RW 04</v>
          </cell>
          <cell r="G65" t="str">
            <v>KPB VI</v>
          </cell>
          <cell r="H65" t="str">
            <v>N/A</v>
          </cell>
          <cell r="I65" t="str">
            <v>AAA</v>
          </cell>
          <cell r="J65" t="str">
            <v>BBB</v>
          </cell>
          <cell r="K65" t="str">
            <v>CCC</v>
          </cell>
          <cell r="L65" t="str">
            <v>DDD</v>
          </cell>
        </row>
        <row r="66">
          <cell r="A66">
            <v>62</v>
          </cell>
          <cell r="B66" t="str">
            <v>Poniman</v>
          </cell>
          <cell r="C66" t="str">
            <v>L</v>
          </cell>
          <cell r="D66" t="str">
            <v>3305181304520001</v>
          </cell>
          <cell r="E66" t="str">
            <v>Desa Tunjungseto RT 03 RW 04</v>
          </cell>
          <cell r="G66" t="str">
            <v>KPB VI</v>
          </cell>
          <cell r="H66" t="str">
            <v>N/A</v>
          </cell>
          <cell r="I66" t="str">
            <v>AAA</v>
          </cell>
          <cell r="J66" t="str">
            <v>BBB</v>
          </cell>
          <cell r="K66" t="str">
            <v>CCC</v>
          </cell>
          <cell r="L66" t="str">
            <v>DDD</v>
          </cell>
        </row>
        <row r="67">
          <cell r="A67">
            <v>63</v>
          </cell>
          <cell r="B67" t="str">
            <v>Supono</v>
          </cell>
          <cell r="C67" t="str">
            <v>L</v>
          </cell>
          <cell r="D67" t="str">
            <v>3305181008770002</v>
          </cell>
          <cell r="E67" t="str">
            <v>Desa Tunjungseto RT 03 RW 04</v>
          </cell>
          <cell r="G67" t="str">
            <v>KPB VI</v>
          </cell>
          <cell r="H67" t="str">
            <v>N/A</v>
          </cell>
          <cell r="I67" t="str">
            <v>AAA</v>
          </cell>
          <cell r="J67" t="str">
            <v>BBB</v>
          </cell>
          <cell r="K67" t="str">
            <v>CCC</v>
          </cell>
          <cell r="L67" t="str">
            <v>DDD</v>
          </cell>
        </row>
        <row r="68">
          <cell r="A68">
            <v>64</v>
          </cell>
          <cell r="B68" t="str">
            <v>Turiman</v>
          </cell>
          <cell r="C68" t="str">
            <v>L</v>
          </cell>
          <cell r="D68" t="str">
            <v>3305181901660003</v>
          </cell>
          <cell r="E68" t="str">
            <v>Desa Tunjungseto RT 04 RW 04</v>
          </cell>
          <cell r="G68" t="str">
            <v>KPB VI</v>
          </cell>
          <cell r="H68" t="str">
            <v>N/A</v>
          </cell>
          <cell r="I68" t="str">
            <v>AAA</v>
          </cell>
          <cell r="J68" t="str">
            <v>BBB</v>
          </cell>
          <cell r="K68" t="str">
            <v>CCC</v>
          </cell>
          <cell r="L68" t="str">
            <v>DDD</v>
          </cell>
        </row>
        <row r="69">
          <cell r="A69">
            <v>65</v>
          </cell>
          <cell r="B69" t="str">
            <v>Lasiman</v>
          </cell>
          <cell r="C69" t="str">
            <v>L</v>
          </cell>
          <cell r="D69" t="str">
            <v>3305181107780001</v>
          </cell>
          <cell r="E69" t="str">
            <v>Desa Tunjungseto RT 04 RW 04</v>
          </cell>
          <cell r="G69" t="str">
            <v>KPB VI</v>
          </cell>
          <cell r="H69" t="str">
            <v>N/A</v>
          </cell>
          <cell r="I69" t="str">
            <v>AAA</v>
          </cell>
          <cell r="J69" t="str">
            <v>BBB</v>
          </cell>
          <cell r="K69" t="str">
            <v>CCC</v>
          </cell>
          <cell r="L69" t="str">
            <v>DDD</v>
          </cell>
        </row>
        <row r="70">
          <cell r="A70">
            <v>66</v>
          </cell>
          <cell r="B70" t="str">
            <v>Tarmo</v>
          </cell>
          <cell r="C70" t="str">
            <v>L</v>
          </cell>
          <cell r="D70" t="str">
            <v>3305183112740001</v>
          </cell>
          <cell r="E70" t="str">
            <v>Desa Tunjungseto RT 05 RW 04</v>
          </cell>
          <cell r="G70" t="str">
            <v>KPB VI</v>
          </cell>
          <cell r="H70" t="str">
            <v>N/A</v>
          </cell>
          <cell r="I70" t="str">
            <v>AAA</v>
          </cell>
          <cell r="J70" t="str">
            <v>BBB</v>
          </cell>
          <cell r="K70" t="str">
            <v>CCC</v>
          </cell>
          <cell r="L70" t="str">
            <v>DDD</v>
          </cell>
        </row>
        <row r="71">
          <cell r="A71">
            <v>67</v>
          </cell>
          <cell r="B71" t="str">
            <v>Tulus</v>
          </cell>
          <cell r="C71" t="str">
            <v>L</v>
          </cell>
          <cell r="D71" t="str">
            <v>3305181507790004</v>
          </cell>
          <cell r="E71" t="str">
            <v>Desa Tunjungseto RT 05 RW 04</v>
          </cell>
          <cell r="G71" t="str">
            <v>KPB VI</v>
          </cell>
          <cell r="H71" t="str">
            <v>N/A</v>
          </cell>
          <cell r="I71" t="str">
            <v>AAA</v>
          </cell>
          <cell r="J71" t="str">
            <v>BBB</v>
          </cell>
          <cell r="K71" t="str">
            <v>CCC</v>
          </cell>
          <cell r="L71" t="str">
            <v>DDD</v>
          </cell>
        </row>
        <row r="72">
          <cell r="A72">
            <v>68</v>
          </cell>
          <cell r="B72" t="str">
            <v>Tamijo</v>
          </cell>
          <cell r="C72" t="str">
            <v>L</v>
          </cell>
          <cell r="D72" t="str">
            <v>3305180905590002</v>
          </cell>
          <cell r="E72" t="str">
            <v>Desa Tunjungseto RT 05 RW 04</v>
          </cell>
          <cell r="G72" t="str">
            <v>KPB VI</v>
          </cell>
          <cell r="H72" t="str">
            <v>N/A</v>
          </cell>
          <cell r="I72" t="str">
            <v>AAA</v>
          </cell>
          <cell r="J72" t="str">
            <v>BBB</v>
          </cell>
          <cell r="K72" t="str">
            <v>CCC</v>
          </cell>
          <cell r="L72" t="str">
            <v>DDD</v>
          </cell>
        </row>
        <row r="73">
          <cell r="A73">
            <v>69</v>
          </cell>
          <cell r="B73" t="str">
            <v>Kuwatmi</v>
          </cell>
          <cell r="C73" t="str">
            <v>P</v>
          </cell>
          <cell r="D73" t="str">
            <v>3305184703820002</v>
          </cell>
          <cell r="E73" t="str">
            <v>Desa Tunjungseto RT 01 RW 05</v>
          </cell>
          <cell r="G73" t="str">
            <v>KPB VII</v>
          </cell>
          <cell r="H73" t="str">
            <v>Purimin</v>
          </cell>
          <cell r="I73" t="str">
            <v>AAA</v>
          </cell>
          <cell r="J73" t="str">
            <v>BBB</v>
          </cell>
          <cell r="K73" t="str">
            <v>CCC</v>
          </cell>
          <cell r="L73" t="str">
            <v>DDD</v>
          </cell>
        </row>
        <row r="74">
          <cell r="A74">
            <v>70</v>
          </cell>
          <cell r="B74" t="str">
            <v>Purimin</v>
          </cell>
          <cell r="C74" t="str">
            <v>L</v>
          </cell>
          <cell r="D74" t="str">
            <v>3305180704690005</v>
          </cell>
          <cell r="E74" t="str">
            <v>Desa Tunjungseto RT 01 RW 05</v>
          </cell>
          <cell r="F74" t="str">
            <v>Ketua Kelompok</v>
          </cell>
          <cell r="G74" t="str">
            <v>KPB VII</v>
          </cell>
          <cell r="H74" t="str">
            <v>Purimin</v>
          </cell>
          <cell r="I74" t="str">
            <v>AAA</v>
          </cell>
          <cell r="J74" t="str">
            <v>BBB</v>
          </cell>
          <cell r="K74" t="str">
            <v>CCC</v>
          </cell>
          <cell r="L74" t="str">
            <v>DDD</v>
          </cell>
        </row>
        <row r="75">
          <cell r="A75">
            <v>71</v>
          </cell>
          <cell r="B75" t="str">
            <v>Satini</v>
          </cell>
          <cell r="C75" t="str">
            <v>P</v>
          </cell>
          <cell r="D75" t="str">
            <v>3305184902470001</v>
          </cell>
          <cell r="E75" t="str">
            <v>Desa Tunjungseto RT 01 RW 05</v>
          </cell>
          <cell r="G75" t="str">
            <v>KPB VII</v>
          </cell>
          <cell r="H75" t="str">
            <v>Purimin</v>
          </cell>
          <cell r="I75" t="str">
            <v>AAA</v>
          </cell>
          <cell r="J75" t="str">
            <v>BBB</v>
          </cell>
          <cell r="K75" t="str">
            <v>CCC</v>
          </cell>
          <cell r="L75" t="str">
            <v>DDD</v>
          </cell>
        </row>
        <row r="76">
          <cell r="A76">
            <v>72</v>
          </cell>
          <cell r="B76" t="str">
            <v>Saini</v>
          </cell>
          <cell r="C76" t="str">
            <v>P</v>
          </cell>
          <cell r="D76" t="str">
            <v>3305186710570001</v>
          </cell>
          <cell r="E76" t="str">
            <v>Desa Tunjungseto RT 01 RW 05</v>
          </cell>
          <cell r="G76" t="str">
            <v>KPB VII</v>
          </cell>
          <cell r="H76" t="str">
            <v>Purimin</v>
          </cell>
          <cell r="I76" t="str">
            <v>AAA</v>
          </cell>
          <cell r="J76" t="str">
            <v>BBB</v>
          </cell>
          <cell r="K76" t="str">
            <v>CCC</v>
          </cell>
          <cell r="L76" t="str">
            <v>DDD</v>
          </cell>
        </row>
        <row r="77">
          <cell r="A77">
            <v>73</v>
          </cell>
          <cell r="B77" t="str">
            <v>Kana</v>
          </cell>
          <cell r="C77" t="str">
            <v>L</v>
          </cell>
          <cell r="D77" t="str">
            <v>3305181012670002</v>
          </cell>
          <cell r="E77" t="str">
            <v>Desa Tunjungseto RT 03 RW 05</v>
          </cell>
          <cell r="G77" t="str">
            <v>KPB VII</v>
          </cell>
          <cell r="H77" t="str">
            <v>Purimin</v>
          </cell>
          <cell r="I77" t="str">
            <v>AAA</v>
          </cell>
          <cell r="J77" t="str">
            <v>BBB</v>
          </cell>
          <cell r="K77" t="str">
            <v>CCC</v>
          </cell>
          <cell r="L77" t="str">
            <v>DDD</v>
          </cell>
        </row>
        <row r="78">
          <cell r="A78">
            <v>74</v>
          </cell>
          <cell r="B78" t="str">
            <v>Nasiyem</v>
          </cell>
          <cell r="C78" t="str">
            <v>P</v>
          </cell>
          <cell r="D78" t="str">
            <v>3305185611350001</v>
          </cell>
          <cell r="E78" t="str">
            <v>Desa Tunjungseto RT 02 RW 05</v>
          </cell>
          <cell r="G78" t="str">
            <v>KPB VII</v>
          </cell>
          <cell r="H78" t="str">
            <v>Purimin</v>
          </cell>
          <cell r="I78" t="str">
            <v>AAA</v>
          </cell>
          <cell r="J78" t="str">
            <v>BBB</v>
          </cell>
          <cell r="K78" t="str">
            <v>CCC</v>
          </cell>
          <cell r="L78" t="str">
            <v>DDD</v>
          </cell>
        </row>
        <row r="79">
          <cell r="A79">
            <v>75</v>
          </cell>
          <cell r="B79" t="str">
            <v>Kasiyem</v>
          </cell>
          <cell r="C79" t="str">
            <v>P</v>
          </cell>
          <cell r="D79" t="str">
            <v>3305184511530001</v>
          </cell>
          <cell r="E79" t="str">
            <v>Desa Tunjungseto RT 02 RW 05</v>
          </cell>
          <cell r="G79" t="str">
            <v>KPB VII</v>
          </cell>
          <cell r="H79" t="str">
            <v>Purimin</v>
          </cell>
          <cell r="I79" t="str">
            <v>AAA</v>
          </cell>
          <cell r="J79" t="str">
            <v>BBB</v>
          </cell>
          <cell r="K79" t="str">
            <v>CCC</v>
          </cell>
          <cell r="L79" t="str">
            <v>DDD</v>
          </cell>
        </row>
        <row r="80">
          <cell r="A80">
            <v>76</v>
          </cell>
          <cell r="B80" t="str">
            <v>Darmuji</v>
          </cell>
          <cell r="C80" t="str">
            <v>L</v>
          </cell>
          <cell r="D80" t="str">
            <v>3305182506590002</v>
          </cell>
          <cell r="E80" t="str">
            <v>Desa Tunjungseto RT 03 RW 05</v>
          </cell>
          <cell r="G80" t="str">
            <v>KPB VII</v>
          </cell>
          <cell r="H80" t="str">
            <v>Purimin</v>
          </cell>
          <cell r="I80" t="str">
            <v>AAA</v>
          </cell>
          <cell r="J80" t="str">
            <v>BBB</v>
          </cell>
          <cell r="K80" t="str">
            <v>CCC</v>
          </cell>
          <cell r="L80" t="str">
            <v>DDD</v>
          </cell>
        </row>
        <row r="81">
          <cell r="A81">
            <v>77</v>
          </cell>
          <cell r="B81" t="str">
            <v>Rebo Santaji</v>
          </cell>
          <cell r="C81" t="str">
            <v>L</v>
          </cell>
          <cell r="D81" t="str">
            <v>3305180806300001</v>
          </cell>
          <cell r="E81" t="str">
            <v>Desa Tunjungseto RT 03 RW 05</v>
          </cell>
          <cell r="G81" t="str">
            <v>KPB VII</v>
          </cell>
          <cell r="H81" t="str">
            <v>Purimin</v>
          </cell>
          <cell r="I81" t="str">
            <v>AAA</v>
          </cell>
          <cell r="J81" t="str">
            <v>BBB</v>
          </cell>
          <cell r="K81" t="str">
            <v>CCC</v>
          </cell>
          <cell r="L81" t="str">
            <v>DDD</v>
          </cell>
        </row>
        <row r="82">
          <cell r="A82">
            <v>78</v>
          </cell>
          <cell r="B82" t="str">
            <v>Wartini</v>
          </cell>
          <cell r="C82" t="str">
            <v>P</v>
          </cell>
          <cell r="D82" t="str">
            <v>3305185007400003</v>
          </cell>
          <cell r="E82" t="str">
            <v>Desa Tunjungseto RT 03 RW 05</v>
          </cell>
          <cell r="G82" t="str">
            <v>KPB VII</v>
          </cell>
          <cell r="H82" t="str">
            <v>Purimin</v>
          </cell>
          <cell r="I82" t="str">
            <v>AAA</v>
          </cell>
          <cell r="J82" t="str">
            <v>BBB</v>
          </cell>
          <cell r="K82" t="str">
            <v>CCC</v>
          </cell>
          <cell r="L82" t="str">
            <v>DDD</v>
          </cell>
        </row>
        <row r="83">
          <cell r="A83">
            <v>79</v>
          </cell>
          <cell r="B83" t="str">
            <v>Masiran H S</v>
          </cell>
          <cell r="C83" t="str">
            <v>L</v>
          </cell>
          <cell r="D83" t="str">
            <v>3305180411710001</v>
          </cell>
          <cell r="E83" t="str">
            <v>Desa Tunjungseto RT 03 RW 05</v>
          </cell>
          <cell r="G83" t="str">
            <v>KPB VII</v>
          </cell>
          <cell r="H83" t="str">
            <v>Purimin</v>
          </cell>
          <cell r="I83" t="str">
            <v>AAA</v>
          </cell>
          <cell r="J83" t="str">
            <v>BBB</v>
          </cell>
          <cell r="K83" t="str">
            <v>CCC</v>
          </cell>
          <cell r="L83" t="str">
            <v>DDD</v>
          </cell>
        </row>
        <row r="84">
          <cell r="A84">
            <v>80</v>
          </cell>
          <cell r="B84" t="str">
            <v>Rusmadi Rusin</v>
          </cell>
          <cell r="C84" t="str">
            <v>L</v>
          </cell>
          <cell r="D84" t="str">
            <v>3305182106580002</v>
          </cell>
          <cell r="E84" t="str">
            <v>Desa Tunjungseto RT 03 RW 05</v>
          </cell>
          <cell r="G84" t="str">
            <v>KPB VII</v>
          </cell>
          <cell r="H84" t="str">
            <v>Purimin</v>
          </cell>
          <cell r="I84" t="str">
            <v>AAA</v>
          </cell>
          <cell r="J84" t="str">
            <v>BBB</v>
          </cell>
          <cell r="K84" t="str">
            <v>CCC</v>
          </cell>
          <cell r="L84" t="str">
            <v>DDD</v>
          </cell>
        </row>
        <row r="85">
          <cell r="A85">
            <v>81</v>
          </cell>
          <cell r="B85" t="str">
            <v>Partini</v>
          </cell>
          <cell r="C85" t="str">
            <v>P</v>
          </cell>
          <cell r="D85" t="str">
            <v>3305185208900002</v>
          </cell>
          <cell r="E85" t="str">
            <v>Desa Tunjungseto RT 04 RW 05</v>
          </cell>
          <cell r="G85" t="str">
            <v>KPB VIII</v>
          </cell>
          <cell r="H85" t="str">
            <v>Miskun</v>
          </cell>
          <cell r="I85" t="str">
            <v>AAA</v>
          </cell>
          <cell r="J85" t="str">
            <v>BBB</v>
          </cell>
          <cell r="K85" t="str">
            <v>CCC</v>
          </cell>
          <cell r="L85" t="str">
            <v>DDD</v>
          </cell>
        </row>
        <row r="86">
          <cell r="A86">
            <v>82</v>
          </cell>
          <cell r="B86" t="str">
            <v>Sandiarjo</v>
          </cell>
          <cell r="C86" t="str">
            <v>L</v>
          </cell>
          <cell r="D86" t="str">
            <v>3305181206500001</v>
          </cell>
          <cell r="E86" t="str">
            <v>Desa Tunjungseto RT 04 RW 05</v>
          </cell>
          <cell r="G86" t="str">
            <v>KPB VIII</v>
          </cell>
          <cell r="H86" t="str">
            <v>Miskun</v>
          </cell>
          <cell r="I86" t="str">
            <v>AAA</v>
          </cell>
          <cell r="J86" t="str">
            <v>BBB</v>
          </cell>
          <cell r="K86" t="str">
            <v>CCC</v>
          </cell>
          <cell r="L86" t="str">
            <v>DDD</v>
          </cell>
        </row>
        <row r="87">
          <cell r="A87">
            <v>83</v>
          </cell>
          <cell r="B87" t="str">
            <v>Samiah</v>
          </cell>
          <cell r="C87" t="str">
            <v>P</v>
          </cell>
          <cell r="D87" t="str">
            <v>3305186504540002</v>
          </cell>
          <cell r="E87" t="str">
            <v>Desa Tunjungseto RT 04 RW 05</v>
          </cell>
          <cell r="G87" t="str">
            <v>KPB VIII</v>
          </cell>
          <cell r="H87" t="str">
            <v>Miskun</v>
          </cell>
          <cell r="I87" t="str">
            <v>AAA</v>
          </cell>
          <cell r="J87" t="str">
            <v>BBB</v>
          </cell>
          <cell r="K87" t="str">
            <v>CCC</v>
          </cell>
          <cell r="L87" t="str">
            <v>DDD</v>
          </cell>
        </row>
        <row r="88">
          <cell r="A88">
            <v>84</v>
          </cell>
          <cell r="B88" t="str">
            <v>Paryadi</v>
          </cell>
          <cell r="C88" t="str">
            <v>L</v>
          </cell>
          <cell r="D88" t="str">
            <v>3305181511510002</v>
          </cell>
          <cell r="E88" t="str">
            <v>Desa Tunjungseto RT 04 RW 05</v>
          </cell>
          <cell r="G88" t="str">
            <v>KPB VIII</v>
          </cell>
          <cell r="H88" t="str">
            <v>Miskun</v>
          </cell>
          <cell r="I88" t="str">
            <v>AAA</v>
          </cell>
          <cell r="J88" t="str">
            <v>BBB</v>
          </cell>
          <cell r="K88" t="str">
            <v>CCC</v>
          </cell>
          <cell r="L88" t="str">
            <v>DDD</v>
          </cell>
        </row>
        <row r="89">
          <cell r="A89">
            <v>85</v>
          </cell>
          <cell r="B89" t="str">
            <v>Miskun</v>
          </cell>
          <cell r="C89" t="str">
            <v>L</v>
          </cell>
          <cell r="D89" t="str">
            <v>3305180507750008</v>
          </cell>
          <cell r="E89" t="str">
            <v>Desa Tunjungseto RT 04 RW 05</v>
          </cell>
          <cell r="F89" t="str">
            <v>Ketua Kelompok</v>
          </cell>
          <cell r="G89" t="str">
            <v>KPB VIII</v>
          </cell>
          <cell r="H89" t="str">
            <v>Miskun</v>
          </cell>
          <cell r="I89" t="str">
            <v>AAA</v>
          </cell>
          <cell r="J89" t="str">
            <v>BBB</v>
          </cell>
          <cell r="K89" t="str">
            <v>CCC</v>
          </cell>
          <cell r="L89" t="str">
            <v>DDD</v>
          </cell>
        </row>
        <row r="90">
          <cell r="A90">
            <v>86</v>
          </cell>
          <cell r="B90" t="str">
            <v>Sumarjo</v>
          </cell>
          <cell r="C90" t="str">
            <v>L</v>
          </cell>
          <cell r="D90" t="str">
            <v>3305180203570002</v>
          </cell>
          <cell r="E90" t="str">
            <v>Desa Tunjungseto RT 05 RW 05</v>
          </cell>
          <cell r="G90" t="str">
            <v>KPB VIII</v>
          </cell>
          <cell r="H90" t="str">
            <v>Miskun</v>
          </cell>
          <cell r="I90" t="str">
            <v>AAA</v>
          </cell>
          <cell r="J90" t="str">
            <v>BBB</v>
          </cell>
          <cell r="K90" t="str">
            <v>CCC</v>
          </cell>
          <cell r="L90" t="str">
            <v>DDD</v>
          </cell>
        </row>
        <row r="91">
          <cell r="A91">
            <v>87</v>
          </cell>
          <cell r="B91" t="str">
            <v>Marlan</v>
          </cell>
          <cell r="C91" t="str">
            <v>L</v>
          </cell>
          <cell r="D91" t="str">
            <v>3305180606840005</v>
          </cell>
          <cell r="E91" t="str">
            <v>Desa Tunjungseto RT 06 RW 05</v>
          </cell>
          <cell r="G91" t="str">
            <v>KPB VIII</v>
          </cell>
          <cell r="H91" t="str">
            <v>Miskun</v>
          </cell>
          <cell r="I91" t="str">
            <v>AAA</v>
          </cell>
          <cell r="J91" t="str">
            <v>BBB</v>
          </cell>
          <cell r="K91" t="str">
            <v>CCC</v>
          </cell>
          <cell r="L91" t="str">
            <v>DDD</v>
          </cell>
        </row>
        <row r="92">
          <cell r="A92">
            <v>88</v>
          </cell>
          <cell r="B92" t="str">
            <v>Minarso Parmin</v>
          </cell>
          <cell r="C92" t="str">
            <v>L</v>
          </cell>
          <cell r="D92" t="str">
            <v>3305181504490002</v>
          </cell>
          <cell r="E92" t="str">
            <v>Desa Tunjungseto RT 05 RW 05</v>
          </cell>
          <cell r="G92" t="str">
            <v>KPB VIII</v>
          </cell>
          <cell r="H92" t="str">
            <v>Miskun</v>
          </cell>
          <cell r="I92" t="str">
            <v>AAA</v>
          </cell>
          <cell r="J92" t="str">
            <v>BBB</v>
          </cell>
          <cell r="K92" t="str">
            <v>CCC</v>
          </cell>
          <cell r="L92" t="str">
            <v>DDD</v>
          </cell>
        </row>
        <row r="93">
          <cell r="A93">
            <v>89</v>
          </cell>
          <cell r="B93" t="str">
            <v>Sudarno</v>
          </cell>
          <cell r="C93" t="str">
            <v>L</v>
          </cell>
          <cell r="D93" t="str">
            <v>3305182108800001</v>
          </cell>
          <cell r="E93" t="str">
            <v>Desa Tunjungseto RT 05 RW 05</v>
          </cell>
          <cell r="G93" t="str">
            <v>KPB VIII</v>
          </cell>
          <cell r="H93" t="str">
            <v>Miskun</v>
          </cell>
          <cell r="I93" t="str">
            <v>AAA</v>
          </cell>
          <cell r="J93" t="str">
            <v>BBB</v>
          </cell>
          <cell r="K93" t="str">
            <v>CCC</v>
          </cell>
          <cell r="L93" t="str">
            <v>DDD</v>
          </cell>
        </row>
        <row r="94">
          <cell r="A94">
            <v>90</v>
          </cell>
          <cell r="B94" t="str">
            <v>Hadi Miswanto</v>
          </cell>
          <cell r="C94" t="str">
            <v>L</v>
          </cell>
          <cell r="D94" t="str">
            <v>3305182505660003</v>
          </cell>
          <cell r="E94" t="str">
            <v>Desa Tunjungseto RT 05 RW 05</v>
          </cell>
          <cell r="G94" t="str">
            <v>KPB VIII</v>
          </cell>
          <cell r="H94" t="str">
            <v>Miskun</v>
          </cell>
          <cell r="I94" t="str">
            <v>AAA</v>
          </cell>
          <cell r="J94" t="str">
            <v>BBB</v>
          </cell>
          <cell r="K94" t="str">
            <v>CCC</v>
          </cell>
          <cell r="L94" t="str">
            <v>DDD</v>
          </cell>
        </row>
        <row r="95">
          <cell r="A95">
            <v>91</v>
          </cell>
          <cell r="B95" t="str">
            <v>Madiarto</v>
          </cell>
          <cell r="C95" t="str">
            <v>L</v>
          </cell>
          <cell r="D95" t="str">
            <v>3305180507380001</v>
          </cell>
          <cell r="E95" t="str">
            <v>Desa Tunjungseto RT 05 RW 05</v>
          </cell>
          <cell r="G95" t="str">
            <v>KPB VIII</v>
          </cell>
          <cell r="H95" t="str">
            <v>Miskun</v>
          </cell>
          <cell r="I95" t="str">
            <v>AAA</v>
          </cell>
          <cell r="J95" t="str">
            <v>BBB</v>
          </cell>
          <cell r="K95" t="str">
            <v>CCC</v>
          </cell>
          <cell r="L95" t="str">
            <v>DDD</v>
          </cell>
        </row>
        <row r="96">
          <cell r="A96">
            <v>92</v>
          </cell>
          <cell r="B96" t="str">
            <v>Poniran Yatno</v>
          </cell>
          <cell r="C96" t="str">
            <v>L</v>
          </cell>
          <cell r="D96" t="str">
            <v>3305181901640002</v>
          </cell>
          <cell r="E96" t="str">
            <v>Desa Tunjungseto RT 01 RW 06</v>
          </cell>
          <cell r="G96" t="str">
            <v>KPB IX</v>
          </cell>
          <cell r="H96" t="str">
            <v>Purwanto</v>
          </cell>
          <cell r="I96" t="str">
            <v>AAA</v>
          </cell>
          <cell r="J96" t="str">
            <v>BBB</v>
          </cell>
          <cell r="K96" t="str">
            <v>CCC</v>
          </cell>
          <cell r="L96" t="str">
            <v>DDD</v>
          </cell>
        </row>
        <row r="97">
          <cell r="A97">
            <v>93</v>
          </cell>
          <cell r="B97" t="str">
            <v>Mingan Minarso</v>
          </cell>
          <cell r="C97" t="str">
            <v>L</v>
          </cell>
          <cell r="D97" t="str">
            <v>3305182304510002</v>
          </cell>
          <cell r="E97" t="str">
            <v>Desa Tunjungseto RT 01 RW 06</v>
          </cell>
          <cell r="G97" t="str">
            <v>KPB IX</v>
          </cell>
          <cell r="H97" t="str">
            <v>Purwanto</v>
          </cell>
          <cell r="I97" t="str">
            <v>AAA</v>
          </cell>
          <cell r="J97" t="str">
            <v>BBB</v>
          </cell>
          <cell r="K97" t="str">
            <v>CCC</v>
          </cell>
          <cell r="L97" t="str">
            <v>DDD</v>
          </cell>
        </row>
        <row r="98">
          <cell r="A98">
            <v>94</v>
          </cell>
          <cell r="B98" t="str">
            <v>Aris Tusiyo</v>
          </cell>
          <cell r="C98" t="str">
            <v>L</v>
          </cell>
          <cell r="D98" t="str">
            <v>3305181912870004</v>
          </cell>
          <cell r="E98" t="str">
            <v>Desa Tunjungseto RT 01 RW 06</v>
          </cell>
          <cell r="G98" t="str">
            <v>KPB IX</v>
          </cell>
          <cell r="H98" t="str">
            <v>Purwanto</v>
          </cell>
          <cell r="I98" t="str">
            <v>AAA</v>
          </cell>
          <cell r="J98" t="str">
            <v>BBB</v>
          </cell>
          <cell r="K98" t="str">
            <v>CCC</v>
          </cell>
          <cell r="L98" t="str">
            <v>DDD</v>
          </cell>
        </row>
        <row r="99">
          <cell r="A99">
            <v>95</v>
          </cell>
          <cell r="B99" t="str">
            <v>Susianti</v>
          </cell>
          <cell r="C99" t="str">
            <v>P</v>
          </cell>
          <cell r="D99" t="str">
            <v>3302085007800002</v>
          </cell>
          <cell r="E99" t="str">
            <v>Desa Tunjungseto RT 01 RW 06</v>
          </cell>
          <cell r="G99" t="str">
            <v>KPB IX</v>
          </cell>
          <cell r="H99" t="str">
            <v>Purwanto</v>
          </cell>
          <cell r="I99" t="str">
            <v>AAA</v>
          </cell>
          <cell r="J99" t="str">
            <v>BBB</v>
          </cell>
          <cell r="K99" t="str">
            <v>CCC</v>
          </cell>
          <cell r="L99" t="str">
            <v>DDD</v>
          </cell>
        </row>
        <row r="100">
          <cell r="A100">
            <v>96</v>
          </cell>
          <cell r="B100" t="str">
            <v>Sarmin</v>
          </cell>
          <cell r="C100" t="str">
            <v>L</v>
          </cell>
          <cell r="D100" t="str">
            <v>3305180106820002</v>
          </cell>
          <cell r="E100" t="str">
            <v>Desa Tunjungseto RT 01 RW 06</v>
          </cell>
          <cell r="G100" t="str">
            <v>KPB IX</v>
          </cell>
          <cell r="H100" t="str">
            <v>Purwanto</v>
          </cell>
          <cell r="I100" t="str">
            <v>AAA</v>
          </cell>
          <cell r="J100" t="str">
            <v>BBB</v>
          </cell>
          <cell r="K100" t="str">
            <v>CCC</v>
          </cell>
          <cell r="L100" t="str">
            <v>DDD</v>
          </cell>
        </row>
        <row r="101">
          <cell r="A101">
            <v>97</v>
          </cell>
          <cell r="B101" t="str">
            <v>Mirun</v>
          </cell>
          <cell r="C101" t="str">
            <v>L</v>
          </cell>
          <cell r="D101" t="str">
            <v>3305180512640002</v>
          </cell>
          <cell r="E101" t="str">
            <v>Desa Tunjungseto RT 01 RW 06</v>
          </cell>
          <cell r="G101" t="str">
            <v>KPB IX</v>
          </cell>
          <cell r="H101" t="str">
            <v>Purwanto</v>
          </cell>
          <cell r="I101" t="str">
            <v>AAA</v>
          </cell>
          <cell r="J101" t="str">
            <v>BBB</v>
          </cell>
          <cell r="K101" t="str">
            <v>CCC</v>
          </cell>
          <cell r="L101" t="str">
            <v>DDD</v>
          </cell>
        </row>
        <row r="102">
          <cell r="A102">
            <v>98</v>
          </cell>
          <cell r="B102" t="str">
            <v>Sitim</v>
          </cell>
          <cell r="C102" t="str">
            <v>L</v>
          </cell>
          <cell r="D102" t="str">
            <v>3305181201630003</v>
          </cell>
          <cell r="E102" t="str">
            <v>Desa Tunjungseto RT 01 RW 06</v>
          </cell>
          <cell r="G102" t="str">
            <v>KPB IX</v>
          </cell>
          <cell r="H102" t="str">
            <v>Purwanto</v>
          </cell>
          <cell r="I102" t="str">
            <v>AAA</v>
          </cell>
          <cell r="J102" t="str">
            <v>BBB</v>
          </cell>
          <cell r="K102" t="str">
            <v>CCC</v>
          </cell>
          <cell r="L102" t="str">
            <v>DDD</v>
          </cell>
        </row>
        <row r="103">
          <cell r="A103">
            <v>99</v>
          </cell>
          <cell r="B103" t="str">
            <v>Samino</v>
          </cell>
          <cell r="C103" t="str">
            <v>L</v>
          </cell>
          <cell r="D103" t="str">
            <v>3305182008750001</v>
          </cell>
          <cell r="E103" t="str">
            <v>Desa Tunjungseto RT 02 RW 06</v>
          </cell>
          <cell r="G103" t="str">
            <v>KPB X</v>
          </cell>
          <cell r="H103" t="str">
            <v>Miswan</v>
          </cell>
          <cell r="I103" t="str">
            <v>AAA</v>
          </cell>
          <cell r="J103" t="str">
            <v>BBB</v>
          </cell>
          <cell r="K103" t="str">
            <v>CCC</v>
          </cell>
          <cell r="L103" t="str">
            <v>DDD</v>
          </cell>
        </row>
        <row r="104">
          <cell r="A104">
            <v>100</v>
          </cell>
          <cell r="B104" t="str">
            <v>Triyono</v>
          </cell>
          <cell r="C104" t="str">
            <v>L</v>
          </cell>
          <cell r="D104" t="str">
            <v>3305181909790002</v>
          </cell>
          <cell r="E104" t="str">
            <v>Desa Tunjungseto RT 02 RW 06</v>
          </cell>
          <cell r="G104" t="str">
            <v>KPB X</v>
          </cell>
          <cell r="H104" t="str">
            <v>Miswan</v>
          </cell>
          <cell r="I104" t="str">
            <v>AAA</v>
          </cell>
          <cell r="J104" t="str">
            <v>BBB</v>
          </cell>
          <cell r="K104" t="str">
            <v>CCC</v>
          </cell>
          <cell r="L104" t="str">
            <v>DDD</v>
          </cell>
        </row>
        <row r="105">
          <cell r="A105">
            <v>101</v>
          </cell>
          <cell r="B105" t="str">
            <v>Fatikhah</v>
          </cell>
          <cell r="C105" t="str">
            <v>P</v>
          </cell>
          <cell r="D105" t="str">
            <v>3327097011840010</v>
          </cell>
          <cell r="E105" t="str">
            <v>Desa Tunjungseto RT 02 RW 06</v>
          </cell>
          <cell r="G105" t="str">
            <v>KPB X</v>
          </cell>
          <cell r="H105" t="str">
            <v>Miswan</v>
          </cell>
          <cell r="I105" t="str">
            <v>AAA</v>
          </cell>
          <cell r="J105" t="str">
            <v>BBB</v>
          </cell>
          <cell r="K105" t="str">
            <v>CCC</v>
          </cell>
          <cell r="L105" t="str">
            <v>DDD</v>
          </cell>
        </row>
        <row r="106">
          <cell r="A106">
            <v>102</v>
          </cell>
          <cell r="B106" t="str">
            <v>Yatirin</v>
          </cell>
          <cell r="C106" t="str">
            <v>L</v>
          </cell>
          <cell r="D106" t="str">
            <v>3305190205710001</v>
          </cell>
          <cell r="E106" t="str">
            <v>Desa Tunjungseto RT 02 RW 06</v>
          </cell>
          <cell r="G106" t="str">
            <v>KPB X</v>
          </cell>
          <cell r="H106" t="str">
            <v>Miswan</v>
          </cell>
          <cell r="I106" t="str">
            <v>AAA</v>
          </cell>
          <cell r="J106" t="str">
            <v>BBB</v>
          </cell>
          <cell r="K106" t="str">
            <v>CCC</v>
          </cell>
          <cell r="L106" t="str">
            <v>DDD</v>
          </cell>
        </row>
        <row r="107">
          <cell r="A107">
            <v>103</v>
          </cell>
          <cell r="B107" t="str">
            <v>Tarni</v>
          </cell>
          <cell r="C107" t="str">
            <v>P</v>
          </cell>
          <cell r="D107" t="str">
            <v>3305184509450002</v>
          </cell>
          <cell r="E107" t="str">
            <v>Desa Tunjungseto RT 02 RW 06</v>
          </cell>
          <cell r="G107" t="str">
            <v>KPB X</v>
          </cell>
          <cell r="H107" t="str">
            <v>Miswan</v>
          </cell>
          <cell r="I107" t="str">
            <v>AAA</v>
          </cell>
          <cell r="J107" t="str">
            <v>BBB</v>
          </cell>
          <cell r="K107" t="str">
            <v>CCC</v>
          </cell>
          <cell r="L107" t="str">
            <v>DDD</v>
          </cell>
        </row>
        <row r="108">
          <cell r="A108">
            <v>104</v>
          </cell>
          <cell r="B108" t="str">
            <v>Saiman</v>
          </cell>
          <cell r="C108" t="str">
            <v>L</v>
          </cell>
          <cell r="D108" t="str">
            <v>3305181202590001</v>
          </cell>
          <cell r="E108" t="str">
            <v>Desa Tunjungseto RT 02 RW 06</v>
          </cell>
          <cell r="G108" t="str">
            <v>KPB X</v>
          </cell>
          <cell r="H108" t="str">
            <v>Miswan</v>
          </cell>
          <cell r="I108" t="str">
            <v>AAA</v>
          </cell>
          <cell r="J108" t="str">
            <v>BBB</v>
          </cell>
          <cell r="K108" t="str">
            <v>CCC</v>
          </cell>
          <cell r="L108" t="str">
            <v>DDD</v>
          </cell>
        </row>
        <row r="109">
          <cell r="A109">
            <v>105</v>
          </cell>
          <cell r="B109" t="str">
            <v>Saminah</v>
          </cell>
          <cell r="C109" t="str">
            <v>P</v>
          </cell>
          <cell r="D109" t="str">
            <v>3305184107450046</v>
          </cell>
          <cell r="E109" t="str">
            <v>Desa Tunjungseto RT 03 RW 06</v>
          </cell>
          <cell r="G109" t="str">
            <v>KPB XI</v>
          </cell>
          <cell r="H109" t="str">
            <v>Turimin</v>
          </cell>
          <cell r="I109" t="str">
            <v>AAA</v>
          </cell>
          <cell r="J109" t="str">
            <v>BBB</v>
          </cell>
          <cell r="K109" t="str">
            <v>CCC</v>
          </cell>
          <cell r="L109" t="str">
            <v>DDD</v>
          </cell>
        </row>
        <row r="110">
          <cell r="A110">
            <v>106</v>
          </cell>
          <cell r="B110" t="str">
            <v>Salimin</v>
          </cell>
          <cell r="C110" t="str">
            <v>L</v>
          </cell>
          <cell r="D110" t="str">
            <v>3305181211580004</v>
          </cell>
          <cell r="E110" t="str">
            <v>Desa Tunjungseto RT 03 RW 06</v>
          </cell>
          <cell r="G110" t="str">
            <v>KPB XI</v>
          </cell>
          <cell r="H110" t="str">
            <v>Turimin</v>
          </cell>
          <cell r="I110" t="str">
            <v>AAA</v>
          </cell>
          <cell r="J110" t="str">
            <v>BBB</v>
          </cell>
          <cell r="K110" t="str">
            <v>CCC</v>
          </cell>
          <cell r="L110" t="str">
            <v>DDD</v>
          </cell>
        </row>
        <row r="111">
          <cell r="A111">
            <v>107</v>
          </cell>
          <cell r="B111" t="str">
            <v>Satiyo</v>
          </cell>
          <cell r="C111" t="str">
            <v>L</v>
          </cell>
          <cell r="D111" t="str">
            <v>3305181610690001</v>
          </cell>
          <cell r="E111" t="str">
            <v>Desa Tunjungseto RT 03 RW 06</v>
          </cell>
          <cell r="G111" t="str">
            <v>KPB XI</v>
          </cell>
          <cell r="H111" t="str">
            <v>Turimin</v>
          </cell>
          <cell r="I111" t="str">
            <v>AAA</v>
          </cell>
          <cell r="J111" t="str">
            <v>BBB</v>
          </cell>
          <cell r="K111" t="str">
            <v>CCC</v>
          </cell>
          <cell r="L111" t="str">
            <v>DDD</v>
          </cell>
        </row>
        <row r="112">
          <cell r="A112">
            <v>108</v>
          </cell>
          <cell r="B112" t="str">
            <v>Tumin Minarso</v>
          </cell>
          <cell r="C112" t="str">
            <v>L</v>
          </cell>
          <cell r="D112" t="str">
            <v>3305180405590001</v>
          </cell>
          <cell r="E112" t="str">
            <v>Desa Tunjungseto RT 03 RW 06</v>
          </cell>
          <cell r="G112" t="str">
            <v>KPB XI</v>
          </cell>
          <cell r="H112" t="str">
            <v>Turimin</v>
          </cell>
          <cell r="I112" t="str">
            <v>AAA</v>
          </cell>
          <cell r="J112" t="str">
            <v>BBB</v>
          </cell>
          <cell r="K112" t="str">
            <v>CCC</v>
          </cell>
          <cell r="L112" t="str">
            <v>DDD</v>
          </cell>
        </row>
        <row r="113">
          <cell r="A113">
            <v>109</v>
          </cell>
          <cell r="B113" t="str">
            <v>Misdar</v>
          </cell>
          <cell r="C113" t="str">
            <v>L</v>
          </cell>
          <cell r="D113" t="str">
            <v>3305182011750001</v>
          </cell>
          <cell r="E113" t="str">
            <v>Desa Tunjungseto RT 03 RW 06</v>
          </cell>
          <cell r="G113" t="str">
            <v>KPB XI</v>
          </cell>
          <cell r="H113" t="str">
            <v>Turimin</v>
          </cell>
          <cell r="I113" t="str">
            <v>AAA</v>
          </cell>
          <cell r="J113" t="str">
            <v>BBB</v>
          </cell>
          <cell r="K113" t="str">
            <v>CCC</v>
          </cell>
          <cell r="L113" t="str">
            <v>DDD</v>
          </cell>
        </row>
        <row r="114">
          <cell r="A114">
            <v>110</v>
          </cell>
          <cell r="B114" t="str">
            <v>Waryono</v>
          </cell>
          <cell r="C114" t="str">
            <v>L</v>
          </cell>
          <cell r="D114" t="str">
            <v>3305181004800001</v>
          </cell>
          <cell r="E114" t="str">
            <v>Desa Tunjungseto RT 03 RW 06</v>
          </cell>
          <cell r="G114" t="str">
            <v>KPB XI</v>
          </cell>
          <cell r="H114" t="str">
            <v>Turimin</v>
          </cell>
          <cell r="I114" t="str">
            <v>AAA</v>
          </cell>
          <cell r="J114" t="str">
            <v>BBB</v>
          </cell>
          <cell r="K114" t="str">
            <v>CCC</v>
          </cell>
          <cell r="L114" t="str">
            <v>DDD</v>
          </cell>
        </row>
        <row r="115">
          <cell r="A115">
            <v>111</v>
          </cell>
          <cell r="B115" t="str">
            <v>Semi</v>
          </cell>
          <cell r="C115" t="str">
            <v>P</v>
          </cell>
          <cell r="D115" t="str">
            <v>3305186202630001</v>
          </cell>
          <cell r="E115" t="str">
            <v>Desa Tunjungseto RT 03 RW 06</v>
          </cell>
          <cell r="G115" t="str">
            <v>KPB XI</v>
          </cell>
          <cell r="H115" t="str">
            <v>Turimin</v>
          </cell>
          <cell r="I115" t="str">
            <v>AAA</v>
          </cell>
          <cell r="J115" t="str">
            <v>BBB</v>
          </cell>
          <cell r="K115" t="str">
            <v>CCC</v>
          </cell>
          <cell r="L115" t="str">
            <v>DDD</v>
          </cell>
        </row>
        <row r="116">
          <cell r="A116">
            <v>112</v>
          </cell>
          <cell r="B116" t="str">
            <v>Turimin</v>
          </cell>
          <cell r="C116" t="str">
            <v>L</v>
          </cell>
          <cell r="D116" t="str">
            <v>3305181709690001</v>
          </cell>
          <cell r="E116" t="str">
            <v>Desa Tunjungseto RT 03 RW 06</v>
          </cell>
          <cell r="F116" t="str">
            <v>Ketua Kelompok</v>
          </cell>
          <cell r="G116" t="str">
            <v>KPB XI</v>
          </cell>
          <cell r="H116" t="str">
            <v>Turimin</v>
          </cell>
          <cell r="I116" t="str">
            <v>AAA</v>
          </cell>
          <cell r="J116" t="str">
            <v>BBB</v>
          </cell>
          <cell r="K116" t="str">
            <v>CCC</v>
          </cell>
          <cell r="L116" t="str">
            <v>DDD</v>
          </cell>
        </row>
        <row r="117">
          <cell r="A117">
            <v>113</v>
          </cell>
          <cell r="B117" t="str">
            <v>Tusinem</v>
          </cell>
          <cell r="C117" t="str">
            <v>P</v>
          </cell>
          <cell r="D117" t="str">
            <v>3305185012590002</v>
          </cell>
          <cell r="E117" t="str">
            <v>Desa Tunjungseto RT 05 RW 06</v>
          </cell>
          <cell r="G117" t="str">
            <v>KPB IX</v>
          </cell>
          <cell r="H117" t="str">
            <v>Purwanto</v>
          </cell>
          <cell r="I117" t="str">
            <v>AAA</v>
          </cell>
          <cell r="J117" t="str">
            <v>BBB</v>
          </cell>
          <cell r="K117" t="str">
            <v>CCC</v>
          </cell>
          <cell r="L117" t="str">
            <v>DDD</v>
          </cell>
        </row>
        <row r="118">
          <cell r="A118">
            <v>114</v>
          </cell>
          <cell r="B118" t="str">
            <v>Rinem</v>
          </cell>
          <cell r="C118" t="str">
            <v>P</v>
          </cell>
          <cell r="D118" t="str">
            <v>3305185005550007</v>
          </cell>
          <cell r="E118" t="str">
            <v>Desa Tunjungseto RT 05 RW 06</v>
          </cell>
          <cell r="G118" t="str">
            <v>KPB IX</v>
          </cell>
          <cell r="H118" t="str">
            <v>Purwanto</v>
          </cell>
          <cell r="I118" t="str">
            <v>AAA</v>
          </cell>
          <cell r="J118" t="str">
            <v>BBB</v>
          </cell>
          <cell r="K118" t="str">
            <v>CCC</v>
          </cell>
          <cell r="L118" t="str">
            <v>DDD</v>
          </cell>
        </row>
        <row r="119">
          <cell r="A119">
            <v>115</v>
          </cell>
          <cell r="B119" t="str">
            <v>Kasem</v>
          </cell>
          <cell r="C119" t="str">
            <v>P</v>
          </cell>
          <cell r="D119" t="str">
            <v>3305184105510002</v>
          </cell>
          <cell r="E119" t="str">
            <v>Desa Tunjungseto RT 05 RW 06</v>
          </cell>
          <cell r="G119" t="str">
            <v>KPB X</v>
          </cell>
          <cell r="H119" t="str">
            <v>Miswan</v>
          </cell>
          <cell r="I119" t="str">
            <v>AAA</v>
          </cell>
          <cell r="J119" t="str">
            <v>BBB</v>
          </cell>
          <cell r="K119" t="str">
            <v>CCC</v>
          </cell>
          <cell r="L119" t="str">
            <v>DDD</v>
          </cell>
        </row>
        <row r="120">
          <cell r="A120">
            <v>116</v>
          </cell>
          <cell r="B120" t="str">
            <v>Marinah</v>
          </cell>
          <cell r="C120" t="str">
            <v>P</v>
          </cell>
          <cell r="D120" t="str">
            <v>3305184107400094</v>
          </cell>
          <cell r="E120" t="str">
            <v>Desa Tunjungseto RT 05 RW 06</v>
          </cell>
          <cell r="G120" t="str">
            <v>KPB IX</v>
          </cell>
          <cell r="H120" t="str">
            <v>Purwanto</v>
          </cell>
          <cell r="I120" t="str">
            <v>AAA</v>
          </cell>
          <cell r="J120" t="str">
            <v>BBB</v>
          </cell>
          <cell r="K120" t="str">
            <v>CCC</v>
          </cell>
          <cell r="L120" t="str">
            <v>DDD</v>
          </cell>
        </row>
        <row r="121">
          <cell r="A121">
            <v>117</v>
          </cell>
          <cell r="B121" t="str">
            <v>Purwanto</v>
          </cell>
          <cell r="C121" t="str">
            <v>L</v>
          </cell>
          <cell r="D121" t="str">
            <v>3305181911840003</v>
          </cell>
          <cell r="E121" t="str">
            <v>Desa Tunjungseto RT 05 RW 06</v>
          </cell>
          <cell r="F121" t="str">
            <v>Ketua Kelompok</v>
          </cell>
          <cell r="G121" t="str">
            <v>KPB IX</v>
          </cell>
          <cell r="H121" t="str">
            <v>Purwanto</v>
          </cell>
          <cell r="I121" t="str">
            <v>AAA</v>
          </cell>
          <cell r="J121" t="str">
            <v>BBB</v>
          </cell>
          <cell r="K121" t="str">
            <v>CCC</v>
          </cell>
          <cell r="L121" t="str">
            <v>DDD</v>
          </cell>
        </row>
        <row r="122">
          <cell r="A122">
            <v>118</v>
          </cell>
          <cell r="B122" t="str">
            <v>Samirin</v>
          </cell>
          <cell r="C122" t="str">
            <v>L</v>
          </cell>
          <cell r="D122" t="str">
            <v>3305180807720001</v>
          </cell>
          <cell r="E122" t="str">
            <v>Desa Tunjungseto RT 05 RW 06</v>
          </cell>
          <cell r="G122" t="str">
            <v>KPB IX</v>
          </cell>
          <cell r="H122" t="str">
            <v>Purwanto</v>
          </cell>
          <cell r="I122" t="str">
            <v>AAA</v>
          </cell>
          <cell r="J122" t="str">
            <v>BBB</v>
          </cell>
          <cell r="K122" t="str">
            <v>CCC</v>
          </cell>
          <cell r="L122" t="str">
            <v>DDD</v>
          </cell>
        </row>
        <row r="123">
          <cell r="A123">
            <v>119</v>
          </cell>
          <cell r="B123" t="str">
            <v>Tasih</v>
          </cell>
          <cell r="C123" t="str">
            <v>P</v>
          </cell>
          <cell r="D123" t="str">
            <v>3305185206520002</v>
          </cell>
          <cell r="E123" t="str">
            <v>Desa Tunjungseto RT 06 RW 06</v>
          </cell>
          <cell r="G123" t="str">
            <v>KPB XI</v>
          </cell>
          <cell r="H123" t="str">
            <v>Turimin</v>
          </cell>
          <cell r="I123" t="str">
            <v>AAA</v>
          </cell>
          <cell r="J123" t="str">
            <v>BBB</v>
          </cell>
          <cell r="K123" t="str">
            <v>CCC</v>
          </cell>
          <cell r="L123" t="str">
            <v>DDD</v>
          </cell>
        </row>
        <row r="124">
          <cell r="A124">
            <v>120</v>
          </cell>
          <cell r="B124" t="str">
            <v>Sarni</v>
          </cell>
          <cell r="C124" t="str">
            <v>P</v>
          </cell>
          <cell r="D124" t="str">
            <v>3305185107630003</v>
          </cell>
          <cell r="E124" t="str">
            <v>Desa Tunjungseto RT 06 RW 06</v>
          </cell>
          <cell r="G124" t="str">
            <v>KPB X</v>
          </cell>
          <cell r="H124" t="str">
            <v>Miswan</v>
          </cell>
          <cell r="I124" t="str">
            <v>AAA</v>
          </cell>
          <cell r="J124" t="str">
            <v>BBB</v>
          </cell>
          <cell r="K124" t="str">
            <v>CCC</v>
          </cell>
          <cell r="L124" t="str">
            <v>DDD</v>
          </cell>
        </row>
        <row r="125">
          <cell r="A125">
            <v>121</v>
          </cell>
          <cell r="B125" t="str">
            <v>Sarni</v>
          </cell>
          <cell r="C125" t="str">
            <v>P</v>
          </cell>
          <cell r="D125" t="str">
            <v>3305187010800001</v>
          </cell>
          <cell r="E125" t="str">
            <v>Desa Tunjungseto RT 01 RW 06</v>
          </cell>
          <cell r="G125" t="str">
            <v>KPB IX</v>
          </cell>
          <cell r="H125" t="str">
            <v>Purwanto</v>
          </cell>
          <cell r="I125" t="str">
            <v>AAA</v>
          </cell>
          <cell r="J125" t="str">
            <v>BBB</v>
          </cell>
          <cell r="K125" t="str">
            <v>CCC</v>
          </cell>
          <cell r="L125" t="str">
            <v>DDD</v>
          </cell>
        </row>
        <row r="126">
          <cell r="A126">
            <v>122</v>
          </cell>
          <cell r="B126" t="str">
            <v>Slamet Turisno</v>
          </cell>
          <cell r="C126" t="str">
            <v>L</v>
          </cell>
          <cell r="D126" t="str">
            <v>3305183101830001</v>
          </cell>
          <cell r="E126" t="str">
            <v>Desa Tunjungseto RT 06 RW 06</v>
          </cell>
          <cell r="G126" t="str">
            <v>KPB XI</v>
          </cell>
          <cell r="H126" t="str">
            <v>Turimin</v>
          </cell>
          <cell r="I126" t="str">
            <v>AAA</v>
          </cell>
          <cell r="J126" t="str">
            <v>BBB</v>
          </cell>
          <cell r="K126" t="str">
            <v>CCC</v>
          </cell>
          <cell r="L126" t="str">
            <v>DDD</v>
          </cell>
        </row>
        <row r="127">
          <cell r="A127">
            <v>123</v>
          </cell>
          <cell r="B127" t="str">
            <v>Nowarto</v>
          </cell>
          <cell r="C127" t="str">
            <v>L</v>
          </cell>
          <cell r="D127" t="str">
            <v>3305182111450002</v>
          </cell>
          <cell r="E127" t="str">
            <v>Desa Tunjungseto RT 06 RW 06</v>
          </cell>
          <cell r="G127" t="str">
            <v>KPB XI</v>
          </cell>
          <cell r="H127" t="str">
            <v>Turimin</v>
          </cell>
          <cell r="I127" t="str">
            <v>AAA</v>
          </cell>
          <cell r="J127" t="str">
            <v>BBB</v>
          </cell>
          <cell r="K127" t="str">
            <v>CCC</v>
          </cell>
          <cell r="L127" t="str">
            <v>DDD</v>
          </cell>
        </row>
        <row r="128">
          <cell r="A128">
            <v>124</v>
          </cell>
          <cell r="B128" t="str">
            <v>Kuatno</v>
          </cell>
          <cell r="C128" t="str">
            <v>L</v>
          </cell>
          <cell r="D128" t="str">
            <v>3305180405800005</v>
          </cell>
          <cell r="E128" t="str">
            <v>Desa Tunjungseto RT 06 RW 06</v>
          </cell>
          <cell r="G128" t="str">
            <v>KPB X</v>
          </cell>
          <cell r="H128" t="str">
            <v>Miswan</v>
          </cell>
          <cell r="I128" t="str">
            <v>AAA</v>
          </cell>
          <cell r="J128" t="str">
            <v>BBB</v>
          </cell>
          <cell r="K128" t="str">
            <v>CCC</v>
          </cell>
          <cell r="L128" t="str">
            <v>DDD</v>
          </cell>
        </row>
        <row r="129">
          <cell r="A129">
            <v>125</v>
          </cell>
          <cell r="B129" t="str">
            <v>Miswan</v>
          </cell>
          <cell r="C129" t="str">
            <v>L</v>
          </cell>
          <cell r="D129" t="str">
            <v>3305181210690003</v>
          </cell>
          <cell r="E129" t="str">
            <v>Desa Tunjungseto RT 06 RW 06</v>
          </cell>
          <cell r="F129" t="str">
            <v>Ketua Kelompok</v>
          </cell>
          <cell r="G129" t="str">
            <v>KPB X</v>
          </cell>
          <cell r="H129" t="str">
            <v>Miswan</v>
          </cell>
          <cell r="I129" t="str">
            <v>AAA</v>
          </cell>
          <cell r="J129" t="str">
            <v>BBB</v>
          </cell>
          <cell r="K129" t="str">
            <v>CCC</v>
          </cell>
          <cell r="L129" t="str">
            <v>DDD</v>
          </cell>
        </row>
        <row r="130">
          <cell r="A130">
            <v>126</v>
          </cell>
          <cell r="B130" t="str">
            <v>Mini</v>
          </cell>
          <cell r="C130" t="str">
            <v>P</v>
          </cell>
          <cell r="D130" t="str">
            <v>3305184204610002</v>
          </cell>
          <cell r="E130" t="str">
            <v>Desa Tunjungseto RT 06 RW 06</v>
          </cell>
          <cell r="G130" t="str">
            <v>KPB X</v>
          </cell>
          <cell r="H130" t="str">
            <v>Miswan</v>
          </cell>
          <cell r="I130" t="str">
            <v>AAA</v>
          </cell>
          <cell r="J130" t="str">
            <v>BBB</v>
          </cell>
          <cell r="K130" t="str">
            <v>CCC</v>
          </cell>
          <cell r="L130" t="str">
            <v>DDD</v>
          </cell>
        </row>
        <row r="131">
          <cell r="A131">
            <v>127</v>
          </cell>
          <cell r="B131" t="str">
            <v>Sinem</v>
          </cell>
          <cell r="C131" t="str">
            <v>P</v>
          </cell>
          <cell r="D131" t="str">
            <v>3305187011550001</v>
          </cell>
          <cell r="E131" t="str">
            <v>Desa Tunjungseto RT 02 RW 06</v>
          </cell>
          <cell r="G131" t="str">
            <v>KPB X</v>
          </cell>
          <cell r="H131" t="str">
            <v>Miswan</v>
          </cell>
          <cell r="I131" t="str">
            <v>AAA</v>
          </cell>
          <cell r="J131" t="str">
            <v>BBB</v>
          </cell>
          <cell r="K131" t="str">
            <v>CCC</v>
          </cell>
          <cell r="L131" t="str">
            <v>DDD</v>
          </cell>
        </row>
        <row r="132">
          <cell r="A132">
            <v>128</v>
          </cell>
          <cell r="B132" t="str">
            <v>Suyono</v>
          </cell>
          <cell r="C132" t="str">
            <v>L</v>
          </cell>
          <cell r="D132" t="str">
            <v>3305182403840007</v>
          </cell>
          <cell r="E132" t="str">
            <v>Desa Tunjungseto RT 04 RW 07</v>
          </cell>
          <cell r="G132" t="str">
            <v>KPB XII</v>
          </cell>
          <cell r="H132" t="str">
            <v>Susanto</v>
          </cell>
          <cell r="I132" t="str">
            <v>AAA</v>
          </cell>
          <cell r="J132" t="str">
            <v>BBB</v>
          </cell>
          <cell r="K132" t="str">
            <v>CCC</v>
          </cell>
          <cell r="L132" t="str">
            <v>DDD</v>
          </cell>
        </row>
        <row r="133">
          <cell r="A133">
            <v>129</v>
          </cell>
          <cell r="B133" t="str">
            <v>Mujiarto Saring</v>
          </cell>
          <cell r="C133" t="str">
            <v>L</v>
          </cell>
          <cell r="D133" t="str">
            <v>3305181407500002</v>
          </cell>
          <cell r="E133" t="str">
            <v>Desa Tunjungseto RT 04 RW 07</v>
          </cell>
          <cell r="G133" t="str">
            <v>KPB XII</v>
          </cell>
          <cell r="H133" t="str">
            <v>Susanto</v>
          </cell>
          <cell r="I133" t="str">
            <v>AAA</v>
          </cell>
          <cell r="J133" t="str">
            <v>BBB</v>
          </cell>
          <cell r="K133" t="str">
            <v>CCC</v>
          </cell>
          <cell r="L133" t="str">
            <v>DDD</v>
          </cell>
        </row>
        <row r="134">
          <cell r="A134">
            <v>130</v>
          </cell>
          <cell r="B134" t="str">
            <v>Yulianto</v>
          </cell>
          <cell r="C134" t="str">
            <v>L</v>
          </cell>
          <cell r="D134" t="str">
            <v>3305181107870006</v>
          </cell>
          <cell r="E134" t="str">
            <v>Desa Tunjungseto RT 02 RW 07</v>
          </cell>
          <cell r="G134" t="str">
            <v>KPB XII</v>
          </cell>
          <cell r="H134" t="str">
            <v>Susanto</v>
          </cell>
          <cell r="I134" t="str">
            <v>AAA</v>
          </cell>
          <cell r="J134" t="str">
            <v>BBB</v>
          </cell>
          <cell r="K134" t="str">
            <v>CCC</v>
          </cell>
          <cell r="L134" t="str">
            <v>DDD</v>
          </cell>
        </row>
        <row r="135">
          <cell r="A135">
            <v>131</v>
          </cell>
          <cell r="B135" t="str">
            <v>Tusiman</v>
          </cell>
          <cell r="C135" t="str">
            <v>L</v>
          </cell>
          <cell r="D135" t="str">
            <v>3305181509790001</v>
          </cell>
          <cell r="E135" t="str">
            <v>Desa Tunjungseto RT 01 RW 07</v>
          </cell>
          <cell r="G135" t="str">
            <v>KPB XII</v>
          </cell>
          <cell r="H135" t="str">
            <v>Susanto</v>
          </cell>
          <cell r="I135" t="str">
            <v>AAA</v>
          </cell>
          <cell r="J135" t="str">
            <v>BBB</v>
          </cell>
          <cell r="K135" t="str">
            <v>CCC</v>
          </cell>
          <cell r="L135" t="str">
            <v>DDD</v>
          </cell>
        </row>
        <row r="136">
          <cell r="A136">
            <v>132</v>
          </cell>
          <cell r="B136" t="str">
            <v>Sutoyo Hadi</v>
          </cell>
          <cell r="C136" t="str">
            <v>L</v>
          </cell>
          <cell r="D136" t="str">
            <v>3305182006550001</v>
          </cell>
          <cell r="E136" t="str">
            <v>Desa Tunjungseto RT 03 RW 07</v>
          </cell>
          <cell r="G136" t="str">
            <v>KPB XII</v>
          </cell>
          <cell r="H136" t="str">
            <v>Susanto</v>
          </cell>
          <cell r="I136" t="str">
            <v>AAA</v>
          </cell>
          <cell r="J136" t="str">
            <v>BBB</v>
          </cell>
          <cell r="K136" t="str">
            <v>CCC</v>
          </cell>
          <cell r="L136" t="str">
            <v>DDD</v>
          </cell>
        </row>
        <row r="137">
          <cell r="A137">
            <v>133</v>
          </cell>
          <cell r="B137" t="str">
            <v>Bairan</v>
          </cell>
          <cell r="C137" t="str">
            <v>L</v>
          </cell>
          <cell r="D137" t="str">
            <v>3305180705590001</v>
          </cell>
          <cell r="E137" t="str">
            <v>Desa Tunjungseto RT 02 RW 07</v>
          </cell>
          <cell r="G137" t="str">
            <v>KPB XII</v>
          </cell>
          <cell r="H137" t="str">
            <v>Susanto</v>
          </cell>
          <cell r="I137" t="str">
            <v>AAA</v>
          </cell>
          <cell r="J137" t="str">
            <v>BBB</v>
          </cell>
          <cell r="K137" t="str">
            <v>CCC</v>
          </cell>
          <cell r="L137" t="str">
            <v>DDD</v>
          </cell>
        </row>
        <row r="138">
          <cell r="A138">
            <v>134</v>
          </cell>
          <cell r="B138" t="str">
            <v>Ngadino</v>
          </cell>
          <cell r="C138" t="str">
            <v>L</v>
          </cell>
          <cell r="D138" t="str">
            <v>3305182810800002</v>
          </cell>
          <cell r="E138" t="str">
            <v>Desa Tunjungseto RT 02 RW 07</v>
          </cell>
          <cell r="G138" t="str">
            <v>KPB XII</v>
          </cell>
          <cell r="H138" t="str">
            <v>Susanto</v>
          </cell>
          <cell r="I138" t="str">
            <v>AAA</v>
          </cell>
          <cell r="J138" t="str">
            <v>BBB</v>
          </cell>
          <cell r="K138" t="str">
            <v>CCC</v>
          </cell>
          <cell r="L138" t="str">
            <v>DDD</v>
          </cell>
        </row>
        <row r="139">
          <cell r="A139">
            <v>135</v>
          </cell>
          <cell r="B139" t="str">
            <v>Jani</v>
          </cell>
          <cell r="C139" t="str">
            <v>L</v>
          </cell>
          <cell r="D139" t="str">
            <v>3305181605410001</v>
          </cell>
          <cell r="E139" t="str">
            <v>Desa Tunjungseto RT 02 RW 07</v>
          </cell>
          <cell r="G139" t="str">
            <v>KPB XII</v>
          </cell>
          <cell r="H139" t="str">
            <v>Susanto</v>
          </cell>
          <cell r="I139" t="str">
            <v>AAA</v>
          </cell>
          <cell r="J139" t="str">
            <v>BBB</v>
          </cell>
          <cell r="K139" t="str">
            <v>CCC</v>
          </cell>
          <cell r="L139" t="str">
            <v>DDD</v>
          </cell>
        </row>
        <row r="140">
          <cell r="A140">
            <v>136</v>
          </cell>
          <cell r="B140" t="str">
            <v>Mislam</v>
          </cell>
          <cell r="C140" t="str">
            <v>L</v>
          </cell>
          <cell r="D140" t="str">
            <v>3305182703660001</v>
          </cell>
          <cell r="E140" t="str">
            <v>Desa Tunjungseto RT 03 RW 07</v>
          </cell>
          <cell r="G140" t="str">
            <v>KPB XII</v>
          </cell>
          <cell r="H140" t="str">
            <v>Susanto</v>
          </cell>
          <cell r="I140" t="str">
            <v>AAA</v>
          </cell>
          <cell r="J140" t="str">
            <v>BBB</v>
          </cell>
          <cell r="K140" t="str">
            <v>CCC</v>
          </cell>
          <cell r="L140" t="str">
            <v>DDD</v>
          </cell>
        </row>
        <row r="141">
          <cell r="A141">
            <v>137</v>
          </cell>
          <cell r="B141" t="str">
            <v>Susanto</v>
          </cell>
          <cell r="C141" t="str">
            <v>L</v>
          </cell>
          <cell r="D141" t="str">
            <v>3305181010780005</v>
          </cell>
          <cell r="E141" t="str">
            <v>Desa Tunjungseto RT 04 RW 07</v>
          </cell>
          <cell r="F141" t="str">
            <v>Ketua Kelompok</v>
          </cell>
          <cell r="G141" t="str">
            <v>KPB XII</v>
          </cell>
          <cell r="H141" t="str">
            <v>Susanto</v>
          </cell>
          <cell r="I141" t="str">
            <v>AAA</v>
          </cell>
          <cell r="J141" t="str">
            <v>BBB</v>
          </cell>
          <cell r="K141" t="str">
            <v>CCC</v>
          </cell>
          <cell r="L141" t="str">
            <v>DDD</v>
          </cell>
        </row>
        <row r="142">
          <cell r="A142">
            <v>138</v>
          </cell>
          <cell r="B142" t="str">
            <v>Samiadi</v>
          </cell>
          <cell r="C142" t="str">
            <v>L</v>
          </cell>
          <cell r="D142" t="str">
            <v>3305181203420003</v>
          </cell>
          <cell r="E142" t="str">
            <v>Desa Tunjungseto RT 03 RW 07</v>
          </cell>
          <cell r="G142" t="str">
            <v>KPB XII</v>
          </cell>
          <cell r="H142" t="str">
            <v>Susanto</v>
          </cell>
          <cell r="I142" t="str">
            <v>AAA</v>
          </cell>
          <cell r="J142" t="str">
            <v>BBB</v>
          </cell>
          <cell r="K142" t="str">
            <v>CCC</v>
          </cell>
          <cell r="L142" t="str">
            <v>DDD</v>
          </cell>
        </row>
        <row r="143">
          <cell r="A143">
            <v>139</v>
          </cell>
          <cell r="B143" t="str">
            <v>Wasiah</v>
          </cell>
          <cell r="C143" t="str">
            <v>P</v>
          </cell>
          <cell r="D143" t="str">
            <v>3305184612570004</v>
          </cell>
          <cell r="E143" t="str">
            <v>Desa Tunjungseto RT 01 RW 07</v>
          </cell>
          <cell r="G143" t="str">
            <v>KPB XII</v>
          </cell>
          <cell r="H143" t="str">
            <v>Susanto</v>
          </cell>
          <cell r="I143" t="str">
            <v>AAA</v>
          </cell>
          <cell r="J143" t="str">
            <v>BBB</v>
          </cell>
          <cell r="K143" t="str">
            <v>CCC</v>
          </cell>
          <cell r="L143" t="str">
            <v>DDD</v>
          </cell>
        </row>
        <row r="144">
          <cell r="A144">
            <v>140</v>
          </cell>
          <cell r="B144" t="str">
            <v>Susanto</v>
          </cell>
          <cell r="C144" t="str">
            <v>L</v>
          </cell>
          <cell r="D144" t="str">
            <v>3305180205900004</v>
          </cell>
          <cell r="E144" t="str">
            <v>Desa Tunjungseto RT 03 RW 07</v>
          </cell>
          <cell r="G144" t="str">
            <v>KPB XII</v>
          </cell>
          <cell r="H144" t="str">
            <v>Susanto</v>
          </cell>
          <cell r="I144" t="str">
            <v>AAA</v>
          </cell>
          <cell r="J144" t="str">
            <v>BBB</v>
          </cell>
          <cell r="K144" t="str">
            <v>CCC</v>
          </cell>
          <cell r="L144" t="str">
            <v>DDD</v>
          </cell>
        </row>
        <row r="145">
          <cell r="A145">
            <v>141</v>
          </cell>
          <cell r="B145" t="str">
            <v>Kemi</v>
          </cell>
          <cell r="C145" t="str">
            <v>P</v>
          </cell>
          <cell r="D145" t="str">
            <v>3305186104510001</v>
          </cell>
          <cell r="E145" t="str">
            <v>Desa Tunjungseto RT 02 RW 07</v>
          </cell>
          <cell r="G145" t="str">
            <v>KPB XII</v>
          </cell>
          <cell r="H145" t="str">
            <v>Susanto</v>
          </cell>
          <cell r="I145" t="str">
            <v>AAA</v>
          </cell>
          <cell r="J145" t="str">
            <v>BBB</v>
          </cell>
          <cell r="K145" t="str">
            <v>CCC</v>
          </cell>
          <cell r="L145" t="str">
            <v>DDD</v>
          </cell>
        </row>
        <row r="146">
          <cell r="A146">
            <v>142</v>
          </cell>
          <cell r="B146" t="str">
            <v>Suwaryo</v>
          </cell>
          <cell r="C146" t="str">
            <v>L</v>
          </cell>
          <cell r="D146" t="str">
            <v>3305182703730004</v>
          </cell>
          <cell r="E146" t="str">
            <v>Desa Tunjungseto RT 03 RW 07</v>
          </cell>
          <cell r="G146" t="str">
            <v>KPB XII</v>
          </cell>
          <cell r="H146" t="str">
            <v>Susanto</v>
          </cell>
          <cell r="I146" t="str">
            <v>AAA</v>
          </cell>
          <cell r="J146" t="str">
            <v>BBB</v>
          </cell>
          <cell r="K146" t="str">
            <v>CCC</v>
          </cell>
          <cell r="L146" t="str">
            <v>DDD</v>
          </cell>
        </row>
        <row r="147">
          <cell r="A147">
            <v>143</v>
          </cell>
          <cell r="B147" t="str">
            <v>Sayanto</v>
          </cell>
          <cell r="C147" t="str">
            <v>L</v>
          </cell>
          <cell r="D147" t="str">
            <v>3305183112590015</v>
          </cell>
          <cell r="E147" t="str">
            <v>Desa Tunjungseto RT 06 RW 05</v>
          </cell>
          <cell r="G147" t="str">
            <v>KPB VIII</v>
          </cell>
          <cell r="H147" t="str">
            <v>Miskun</v>
          </cell>
          <cell r="I147" t="str">
            <v>AAA</v>
          </cell>
          <cell r="J147" t="str">
            <v>BBB</v>
          </cell>
          <cell r="K147" t="str">
            <v>CCC</v>
          </cell>
          <cell r="L147" t="str">
            <v>DDD</v>
          </cell>
        </row>
        <row r="148">
          <cell r="A148">
            <v>144</v>
          </cell>
          <cell r="B148" t="str">
            <v>Poni</v>
          </cell>
          <cell r="C148" t="str">
            <v>P</v>
          </cell>
          <cell r="D148" t="str">
            <v>3305186107580001</v>
          </cell>
          <cell r="E148" t="str">
            <v>Desa Tunjungseto RT 03 RW 06</v>
          </cell>
          <cell r="G148" t="str">
            <v>KPB XI</v>
          </cell>
          <cell r="H148" t="str">
            <v>Turimin</v>
          </cell>
          <cell r="I148" t="str">
            <v>AAA</v>
          </cell>
          <cell r="J148" t="str">
            <v>BBB</v>
          </cell>
          <cell r="K148" t="str">
            <v>CCC</v>
          </cell>
          <cell r="L148" t="str">
            <v>DDD</v>
          </cell>
        </row>
        <row r="149">
          <cell r="A149">
            <v>145</v>
          </cell>
          <cell r="B149" t="str">
            <v>Kiman</v>
          </cell>
          <cell r="C149" t="str">
            <v>L</v>
          </cell>
          <cell r="D149" t="str">
            <v>3305182311560001</v>
          </cell>
          <cell r="E149" t="str">
            <v>Desa Tunjungseto RT 03 RW 06</v>
          </cell>
          <cell r="G149" t="str">
            <v>KPB XI</v>
          </cell>
          <cell r="H149" t="str">
            <v>Turimin</v>
          </cell>
          <cell r="I149" t="str">
            <v>AAA</v>
          </cell>
          <cell r="J149" t="str">
            <v>BBB</v>
          </cell>
          <cell r="K149" t="str">
            <v>CCC</v>
          </cell>
          <cell r="L149" t="str">
            <v>DDD</v>
          </cell>
        </row>
        <row r="150">
          <cell r="A150">
            <v>146</v>
          </cell>
          <cell r="B150" t="str">
            <v>Kuat Purwanto</v>
          </cell>
          <cell r="C150" t="str">
            <v>L</v>
          </cell>
          <cell r="D150" t="str">
            <v>3305181201740001</v>
          </cell>
          <cell r="E150" t="str">
            <v>Desa Tunjungseto RT 06 RW 06</v>
          </cell>
          <cell r="G150" t="str">
            <v>KPB XI</v>
          </cell>
          <cell r="H150" t="str">
            <v>Turimin</v>
          </cell>
          <cell r="I150" t="str">
            <v>AAA</v>
          </cell>
          <cell r="J150" t="str">
            <v>BBB</v>
          </cell>
          <cell r="K150" t="str">
            <v>CCC</v>
          </cell>
          <cell r="L150" t="str">
            <v>DDD</v>
          </cell>
        </row>
        <row r="151">
          <cell r="A151">
            <v>147</v>
          </cell>
          <cell r="B151" t="str">
            <v>Rasem</v>
          </cell>
          <cell r="C151" t="str">
            <v>P</v>
          </cell>
          <cell r="D151" t="str">
            <v>3305185709400001</v>
          </cell>
          <cell r="E151" t="str">
            <v>Desa Tunjungseto RT 01 RW 06</v>
          </cell>
          <cell r="G151" t="str">
            <v>KPB IX</v>
          </cell>
          <cell r="H151" t="str">
            <v>Purwanto</v>
          </cell>
          <cell r="I151" t="str">
            <v>AAA</v>
          </cell>
          <cell r="J151" t="str">
            <v>BBB</v>
          </cell>
          <cell r="K151" t="str">
            <v>CCC</v>
          </cell>
          <cell r="L151" t="str">
            <v>DDD</v>
          </cell>
        </row>
        <row r="152">
          <cell r="A152">
            <v>148</v>
          </cell>
          <cell r="B152" t="str">
            <v>Tumiran</v>
          </cell>
          <cell r="C152" t="str">
            <v>L</v>
          </cell>
          <cell r="D152" t="str">
            <v>3305180603680001</v>
          </cell>
          <cell r="E152" t="str">
            <v>Desa Tunjungseto RT 02 RW 06</v>
          </cell>
          <cell r="G152" t="str">
            <v>KPB X</v>
          </cell>
          <cell r="H152" t="str">
            <v>Miswan</v>
          </cell>
          <cell r="I152" t="str">
            <v>AAA</v>
          </cell>
          <cell r="J152" t="str">
            <v>BBB</v>
          </cell>
          <cell r="K152" t="str">
            <v>CCC</v>
          </cell>
          <cell r="L152" t="str">
            <v>DDD</v>
          </cell>
        </row>
        <row r="153">
          <cell r="A153">
            <v>149</v>
          </cell>
          <cell r="B153" t="str">
            <v>Santiyah</v>
          </cell>
          <cell r="C153" t="str">
            <v>P</v>
          </cell>
          <cell r="D153" t="str">
            <v>3305185503620001</v>
          </cell>
          <cell r="E153" t="str">
            <v>Desa Tunjungseto RT 06 RW 06</v>
          </cell>
          <cell r="G153" t="str">
            <v>KPB X</v>
          </cell>
          <cell r="H153" t="str">
            <v>Miswan</v>
          </cell>
          <cell r="I153" t="str">
            <v>AAA</v>
          </cell>
          <cell r="J153" t="str">
            <v>BBB</v>
          </cell>
          <cell r="K153" t="str">
            <v>CCC</v>
          </cell>
          <cell r="L153" t="str">
            <v>DDD</v>
          </cell>
        </row>
        <row r="154">
          <cell r="A154">
            <v>150</v>
          </cell>
          <cell r="B154" t="str">
            <v>Satiman</v>
          </cell>
          <cell r="C154" t="str">
            <v>L</v>
          </cell>
          <cell r="D154" t="str">
            <v>3305181505900002</v>
          </cell>
          <cell r="E154" t="str">
            <v>Desa Tunjungseto RT 05 RW 06</v>
          </cell>
          <cell r="G154" t="str">
            <v>KPB X</v>
          </cell>
          <cell r="H154" t="str">
            <v>Miswan</v>
          </cell>
          <cell r="I154" t="str">
            <v>AAA</v>
          </cell>
          <cell r="J154" t="str">
            <v>BBB</v>
          </cell>
          <cell r="K154" t="str">
            <v>CCC</v>
          </cell>
          <cell r="L154" t="str">
            <v>DDD</v>
          </cell>
        </row>
      </sheetData>
      <sheetData sheetId="1">
        <row r="9">
          <cell r="A9" t="str">
            <v>01</v>
          </cell>
          <cell r="B9" t="str">
            <v>UPAH TENAGA / PEKERJA</v>
          </cell>
        </row>
        <row r="10">
          <cell r="A10">
            <v>1</v>
          </cell>
          <cell r="B10" t="str">
            <v>Tukang</v>
          </cell>
          <cell r="E10" t="str">
            <v>Hari</v>
          </cell>
          <cell r="F10">
            <v>75000</v>
          </cell>
        </row>
        <row r="11">
          <cell r="A11">
            <v>2</v>
          </cell>
          <cell r="B11" t="str">
            <v>Pekerja</v>
          </cell>
          <cell r="E11" t="str">
            <v>Hari</v>
          </cell>
          <cell r="F11">
            <v>60000</v>
          </cell>
        </row>
        <row r="13">
          <cell r="A13" t="str">
            <v>02</v>
          </cell>
          <cell r="B13" t="str">
            <v>BAHAN</v>
          </cell>
        </row>
        <row r="14">
          <cell r="A14" t="str">
            <v>a</v>
          </cell>
          <cell r="B14" t="str">
            <v>Semen 50 kg</v>
          </cell>
          <cell r="E14" t="str">
            <v>zak</v>
          </cell>
          <cell r="F14">
            <v>62000</v>
          </cell>
        </row>
        <row r="15">
          <cell r="A15" t="str">
            <v>b</v>
          </cell>
          <cell r="B15" t="str">
            <v xml:space="preserve">Pasir </v>
          </cell>
          <cell r="E15" t="str">
            <v>m3</v>
          </cell>
          <cell r="F15">
            <v>166000</v>
          </cell>
        </row>
        <row r="16">
          <cell r="A16" t="str">
            <v>c</v>
          </cell>
          <cell r="B16" t="str">
            <v>Batu bata</v>
          </cell>
          <cell r="E16" t="str">
            <v>bh</v>
          </cell>
          <cell r="F16">
            <v>650</v>
          </cell>
        </row>
        <row r="17">
          <cell r="A17" t="str">
            <v>d</v>
          </cell>
          <cell r="B17" t="str">
            <v>Batako</v>
          </cell>
          <cell r="E17" t="str">
            <v>bh</v>
          </cell>
          <cell r="F17">
            <v>3500</v>
          </cell>
        </row>
        <row r="18">
          <cell r="A18" t="str">
            <v>e</v>
          </cell>
          <cell r="B18" t="str">
            <v>Batu pecah/ split</v>
          </cell>
          <cell r="E18" t="str">
            <v>m3</v>
          </cell>
          <cell r="F18">
            <v>242000</v>
          </cell>
        </row>
        <row r="19">
          <cell r="A19" t="str">
            <v>f</v>
          </cell>
          <cell r="B19" t="str">
            <v>Besi dia. 6 mm</v>
          </cell>
          <cell r="E19" t="str">
            <v>btg</v>
          </cell>
          <cell r="F19">
            <v>18000</v>
          </cell>
        </row>
        <row r="20">
          <cell r="A20" t="str">
            <v>g</v>
          </cell>
          <cell r="B20" t="str">
            <v>Besi dia. 8 mm</v>
          </cell>
          <cell r="E20" t="str">
            <v>btg</v>
          </cell>
          <cell r="F20">
            <v>34000</v>
          </cell>
        </row>
        <row r="21">
          <cell r="A21" t="str">
            <v>h</v>
          </cell>
          <cell r="B21" t="str">
            <v>Besi dia. 10 mm</v>
          </cell>
          <cell r="E21" t="str">
            <v>btg</v>
          </cell>
          <cell r="F21">
            <v>55000</v>
          </cell>
        </row>
        <row r="22">
          <cell r="A22" t="str">
            <v>i</v>
          </cell>
          <cell r="B22" t="str">
            <v>Besi begel dia.5 mm</v>
          </cell>
          <cell r="E22" t="str">
            <v>kg</v>
          </cell>
          <cell r="F22">
            <v>14000</v>
          </cell>
        </row>
        <row r="23">
          <cell r="A23" t="str">
            <v>j</v>
          </cell>
          <cell r="B23" t="str">
            <v>Kayu 8/12</v>
          </cell>
          <cell r="E23" t="str">
            <v>m1</v>
          </cell>
          <cell r="F23">
            <v>30000</v>
          </cell>
        </row>
        <row r="24">
          <cell r="A24" t="str">
            <v>k</v>
          </cell>
          <cell r="B24" t="str">
            <v>Kayu 5/5x3m</v>
          </cell>
          <cell r="E24" t="str">
            <v>btg</v>
          </cell>
          <cell r="F24">
            <v>15000</v>
          </cell>
        </row>
        <row r="25">
          <cell r="A25" t="str">
            <v>l</v>
          </cell>
          <cell r="B25" t="str">
            <v>Kayu 5/5x2m</v>
          </cell>
          <cell r="E25" t="str">
            <v>btg</v>
          </cell>
          <cell r="F25">
            <v>10000</v>
          </cell>
        </row>
        <row r="26">
          <cell r="A26" t="str">
            <v>m</v>
          </cell>
          <cell r="B26" t="str">
            <v>Kayu 2/3x3m</v>
          </cell>
          <cell r="E26" t="str">
            <v>btg</v>
          </cell>
          <cell r="F26">
            <v>3000</v>
          </cell>
        </row>
        <row r="27">
          <cell r="A27" t="str">
            <v>n</v>
          </cell>
          <cell r="B27" t="str">
            <v xml:space="preserve">Genteng </v>
          </cell>
          <cell r="E27" t="str">
            <v>bh</v>
          </cell>
          <cell r="F27">
            <v>1700</v>
          </cell>
        </row>
        <row r="28">
          <cell r="A28" t="str">
            <v>o</v>
          </cell>
          <cell r="B28" t="str">
            <v>Asbes 80x240 cm</v>
          </cell>
          <cell r="E28" t="str">
            <v>lbr</v>
          </cell>
          <cell r="F28">
            <v>42000</v>
          </cell>
        </row>
        <row r="29">
          <cell r="A29" t="str">
            <v>p</v>
          </cell>
          <cell r="B29" t="str">
            <v>Seng BJLS 80x240</v>
          </cell>
          <cell r="E29" t="str">
            <v>lbr</v>
          </cell>
          <cell r="F29">
            <v>60000</v>
          </cell>
        </row>
        <row r="30">
          <cell r="A30" t="str">
            <v>q</v>
          </cell>
          <cell r="B30" t="str">
            <v>Kawat Bendrat</v>
          </cell>
          <cell r="E30" t="str">
            <v>kg</v>
          </cell>
          <cell r="F30">
            <v>15000</v>
          </cell>
        </row>
        <row r="31">
          <cell r="A31" t="str">
            <v>r</v>
          </cell>
          <cell r="B31" t="str">
            <v>Kusen pintu/jendela (6/12)</v>
          </cell>
          <cell r="E31" t="str">
            <v>m1</v>
          </cell>
          <cell r="F31">
            <v>60000</v>
          </cell>
        </row>
        <row r="32">
          <cell r="A32" t="str">
            <v>s</v>
          </cell>
          <cell r="B32" t="str">
            <v xml:space="preserve">Daun pintu panil (80x200 cm) </v>
          </cell>
          <cell r="E32" t="str">
            <v>unit</v>
          </cell>
          <cell r="F32">
            <v>800000</v>
          </cell>
        </row>
        <row r="33">
          <cell r="A33" t="str">
            <v>t</v>
          </cell>
          <cell r="B33" t="str">
            <v>Daun jendela kaca (50cmx150cm)</v>
          </cell>
          <cell r="E33" t="str">
            <v>unit</v>
          </cell>
          <cell r="F33">
            <v>300000</v>
          </cell>
        </row>
        <row r="34">
          <cell r="A34" t="str">
            <v>u</v>
          </cell>
          <cell r="B34" t="str">
            <v>Paku 5 cm</v>
          </cell>
          <cell r="E34" t="str">
            <v>kg</v>
          </cell>
          <cell r="F34">
            <v>14000</v>
          </cell>
        </row>
        <row r="35">
          <cell r="A35" t="str">
            <v>v</v>
          </cell>
          <cell r="B35" t="str">
            <v>paku 10 cm</v>
          </cell>
          <cell r="E35" t="str">
            <v>kg</v>
          </cell>
          <cell r="F35">
            <v>14000</v>
          </cell>
        </row>
        <row r="36">
          <cell r="A36" t="str">
            <v>w</v>
          </cell>
          <cell r="B36" t="str">
            <v>Bambu</v>
          </cell>
          <cell r="E36" t="str">
            <v>btg</v>
          </cell>
          <cell r="F36">
            <v>11000</v>
          </cell>
        </row>
        <row r="44">
          <cell r="A44" t="str">
            <v>-</v>
          </cell>
        </row>
        <row r="45">
          <cell r="A45">
            <v>13</v>
          </cell>
          <cell r="B45" t="str">
            <v>Bilik bambu</v>
          </cell>
          <cell r="E45" t="str">
            <v>m2</v>
          </cell>
          <cell r="F45">
            <v>7500</v>
          </cell>
        </row>
        <row r="46">
          <cell r="A46">
            <v>14</v>
          </cell>
          <cell r="B46" t="str">
            <v>Daun pintu panil</v>
          </cell>
          <cell r="E46" t="str">
            <v>unit</v>
          </cell>
          <cell r="F46">
            <v>145040</v>
          </cell>
        </row>
        <row r="47">
          <cell r="A47">
            <v>15</v>
          </cell>
          <cell r="B47" t="str">
            <v>Daun jendela kaca</v>
          </cell>
          <cell r="E47" t="str">
            <v>unit</v>
          </cell>
          <cell r="F47">
            <v>175000</v>
          </cell>
        </row>
        <row r="48">
          <cell r="A48">
            <v>16</v>
          </cell>
          <cell r="B48" t="str">
            <v>Engsel jendela</v>
          </cell>
          <cell r="E48" t="str">
            <v>biji</v>
          </cell>
          <cell r="F48">
            <v>9000</v>
          </cell>
        </row>
        <row r="49">
          <cell r="A49">
            <v>17</v>
          </cell>
          <cell r="B49" t="str">
            <v>Engsel pintu</v>
          </cell>
          <cell r="E49" t="str">
            <v>bh</v>
          </cell>
          <cell r="F49">
            <v>10000</v>
          </cell>
        </row>
        <row r="50">
          <cell r="A50">
            <v>18</v>
          </cell>
          <cell r="B50" t="str">
            <v xml:space="preserve">KAPUR </v>
          </cell>
          <cell r="E50" t="str">
            <v>zak</v>
          </cell>
          <cell r="F50">
            <v>130000</v>
          </cell>
        </row>
        <row r="51">
          <cell r="A51">
            <v>20</v>
          </cell>
          <cell r="B51" t="str">
            <v>Grendel pintu / jendela</v>
          </cell>
          <cell r="E51" t="str">
            <v>bh</v>
          </cell>
          <cell r="F51">
            <v>7000</v>
          </cell>
        </row>
        <row r="52">
          <cell r="A52">
            <v>21</v>
          </cell>
          <cell r="B52" t="str">
            <v>Hak angin</v>
          </cell>
          <cell r="E52" t="str">
            <v>pasang</v>
          </cell>
          <cell r="F52">
            <v>9000</v>
          </cell>
        </row>
        <row r="53">
          <cell r="A53">
            <v>22</v>
          </cell>
          <cell r="B53" t="str">
            <v>Handel jendela</v>
          </cell>
          <cell r="E53" t="str">
            <v>bh</v>
          </cell>
          <cell r="F53">
            <v>6000</v>
          </cell>
        </row>
        <row r="54">
          <cell r="A54">
            <v>23</v>
          </cell>
          <cell r="B54" t="str">
            <v>Handel pintu</v>
          </cell>
          <cell r="E54" t="str">
            <v>bh</v>
          </cell>
          <cell r="F54">
            <v>10000</v>
          </cell>
        </row>
        <row r="55">
          <cell r="A55">
            <v>24</v>
          </cell>
          <cell r="B55" t="str">
            <v>Kaca bening 3 mm Asahi</v>
          </cell>
          <cell r="E55" t="str">
            <v>m2</v>
          </cell>
          <cell r="F55">
            <v>60000</v>
          </cell>
        </row>
        <row r="56">
          <cell r="A56">
            <v>25</v>
          </cell>
          <cell r="B56" t="str">
            <v>Kalsiboard / GRC</v>
          </cell>
          <cell r="E56" t="str">
            <v>lbr</v>
          </cell>
          <cell r="F56">
            <v>66000</v>
          </cell>
        </row>
        <row r="57">
          <cell r="A57">
            <v>29</v>
          </cell>
          <cell r="B57" t="str">
            <v>Kayu begisting papan</v>
          </cell>
          <cell r="E57" t="str">
            <v>btg</v>
          </cell>
          <cell r="F57">
            <v>15000</v>
          </cell>
        </row>
        <row r="58">
          <cell r="A58">
            <v>30</v>
          </cell>
          <cell r="B58" t="str">
            <v>Kayu Lokal KW I</v>
          </cell>
          <cell r="E58" t="str">
            <v>m3</v>
          </cell>
          <cell r="F58">
            <v>2250000</v>
          </cell>
        </row>
        <row r="59">
          <cell r="A59">
            <v>31</v>
          </cell>
          <cell r="B59" t="str">
            <v>Kayu lisplank 2/15 - 4 m</v>
          </cell>
          <cell r="E59" t="str">
            <v>bt</v>
          </cell>
          <cell r="F59">
            <v>20000</v>
          </cell>
        </row>
        <row r="60">
          <cell r="A60">
            <v>32</v>
          </cell>
          <cell r="B60" t="str">
            <v>Kayu tahun</v>
          </cell>
          <cell r="E60" t="str">
            <v>m3</v>
          </cell>
          <cell r="F60">
            <v>2250000</v>
          </cell>
        </row>
        <row r="61">
          <cell r="A61">
            <v>33</v>
          </cell>
          <cell r="B61" t="str">
            <v>Kusen pintu dobel ( 200 x 120 )</v>
          </cell>
          <cell r="E61" t="str">
            <v>unit</v>
          </cell>
          <cell r="F61">
            <v>105656.4</v>
          </cell>
        </row>
        <row r="62">
          <cell r="A62">
            <v>34</v>
          </cell>
          <cell r="B62" t="str">
            <v>Kusen pintu single ( 200 x 80 )</v>
          </cell>
          <cell r="E62" t="str">
            <v>unit</v>
          </cell>
          <cell r="F62">
            <v>97829.999999999985</v>
          </cell>
        </row>
        <row r="63">
          <cell r="A63">
            <v>35</v>
          </cell>
          <cell r="B63" t="str">
            <v>Kusen jendela</v>
          </cell>
          <cell r="E63" t="str">
            <v>unit</v>
          </cell>
          <cell r="F63">
            <v>108360</v>
          </cell>
        </row>
        <row r="64">
          <cell r="A64">
            <v>36</v>
          </cell>
          <cell r="B64" t="str">
            <v>Lem Kayu</v>
          </cell>
          <cell r="E64" t="str">
            <v>kg</v>
          </cell>
          <cell r="F64">
            <v>13000</v>
          </cell>
        </row>
        <row r="65">
          <cell r="A65">
            <v>37</v>
          </cell>
          <cell r="B65" t="str">
            <v>List Kayu 2/4</v>
          </cell>
          <cell r="E65" t="str">
            <v>m'</v>
          </cell>
          <cell r="F65">
            <v>5000</v>
          </cell>
        </row>
        <row r="66">
          <cell r="A66">
            <v>38</v>
          </cell>
          <cell r="B66" t="str">
            <v>Paku seng ( paku payung )</v>
          </cell>
          <cell r="E66" t="str">
            <v>kg</v>
          </cell>
          <cell r="F66">
            <v>20000</v>
          </cell>
        </row>
        <row r="67">
          <cell r="A67">
            <v>39</v>
          </cell>
          <cell r="B67" t="str">
            <v>Paku usuk / reng</v>
          </cell>
          <cell r="E67" t="str">
            <v>kg</v>
          </cell>
          <cell r="F67">
            <v>14000</v>
          </cell>
        </row>
      </sheetData>
      <sheetData sheetId="2"/>
      <sheetData sheetId="3">
        <row r="17">
          <cell r="H17">
            <v>94272.727272727279</v>
          </cell>
        </row>
      </sheetData>
      <sheetData sheetId="4"/>
      <sheetData sheetId="5"/>
      <sheetData sheetId="6"/>
      <sheetData sheetId="7"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cro1"/>
      <sheetName val="HVER"/>
      <sheetName val="data KPB"/>
      <sheetName val="DATA2"/>
      <sheetName val="KPB OK"/>
      <sheetName val="Upah Bahan"/>
      <sheetName val="Analisa"/>
      <sheetName val="KPB I-1"/>
      <sheetName val="DRPB2 I-1"/>
      <sheetName val="KPB I-2"/>
      <sheetName val="DRPB2 I-2"/>
      <sheetName val="KPB I-3"/>
      <sheetName val="DRPB2 I-3"/>
      <sheetName val="KPB I-4"/>
      <sheetName val="DRPB2 I-4"/>
      <sheetName val="KPB I-5"/>
      <sheetName val="KPB I-6"/>
      <sheetName val="DRPB2 I-6"/>
      <sheetName val="KPB I-7"/>
      <sheetName val="DRPB2 I-7"/>
      <sheetName val="KPB I-8"/>
      <sheetName val="DRPB2 I-8"/>
      <sheetName val="KPB I-9"/>
      <sheetName val="DRPB2 I-9"/>
      <sheetName val="KPB I-11"/>
      <sheetName val="DRPB2 I-11"/>
      <sheetName val="KPB II-12"/>
      <sheetName val="DRPB2 I-12"/>
      <sheetName val="KPB I-14"/>
      <sheetName val="DRPB2 I-14"/>
      <sheetName val="KPB II-16"/>
      <sheetName val="DRPB2 II-16"/>
      <sheetName val="KPB II-17"/>
      <sheetName val="DRPB2 II-17"/>
      <sheetName val="KPB II-18"/>
      <sheetName val="DRPB2 II-18"/>
      <sheetName val="KPB II-19"/>
      <sheetName val="DRPB2 II-19"/>
      <sheetName val="KPB II-20"/>
      <sheetName val="DRPB2 II-20"/>
      <sheetName val="KPB II-21"/>
      <sheetName val="DRPB2 II-21"/>
      <sheetName val="KPB II-22"/>
      <sheetName val="DRPB2 III-22"/>
      <sheetName val="KPB III-23"/>
      <sheetName val="DRPB2 III-23"/>
      <sheetName val="KPB III-24"/>
      <sheetName val="DRPB2 III-24"/>
      <sheetName val="KPB III-25"/>
      <sheetName val="DRPB2 III-25"/>
      <sheetName val="KPB III-26"/>
      <sheetName val="DRPB2 III-26"/>
      <sheetName val="KPB III-27"/>
      <sheetName val="DRPB2 IV-27"/>
      <sheetName val="KPB III-28"/>
      <sheetName val="DRPB2 IV-28"/>
      <sheetName val="KPB III-29"/>
      <sheetName val="DRPB2 IV-29"/>
      <sheetName val="KPB III-31"/>
      <sheetName val="DRPB2 IV-31"/>
      <sheetName val="KPB III-32 (PT)"/>
      <sheetName val="KPB III-34"/>
      <sheetName val="DRPB2 IV-34"/>
      <sheetName val="KPB III-35"/>
      <sheetName val="DRPB2 IV-35"/>
      <sheetName val="KPB IV-36"/>
      <sheetName val="DRPB2 IV-36"/>
      <sheetName val="KPB IV-37"/>
      <sheetName val="DRPB2 IV-37"/>
      <sheetName val="KPB IV-38"/>
      <sheetName val="DRPB2 V-38"/>
      <sheetName val="KPB IV-39"/>
      <sheetName val="DRPB2 V-39"/>
      <sheetName val="KPB IV-40"/>
      <sheetName val="DRPB2 V-40"/>
      <sheetName val="KPB IV-41"/>
      <sheetName val="DRPB2 V-41"/>
      <sheetName val="KPB IV-42"/>
      <sheetName val="DRPB2 V-42"/>
      <sheetName val="KPB IV-43"/>
      <sheetName val="DRPB2 V-43"/>
      <sheetName val="KPB IV-44"/>
      <sheetName val="DRPB2 V-44"/>
      <sheetName val="KPB IV-45"/>
      <sheetName val="DRPB2 V-45"/>
      <sheetName val="KPB IV-48"/>
      <sheetName val="DRPB2 V-48"/>
      <sheetName val="KPB V-50"/>
      <sheetName val="DRPB2 V-48 (2)"/>
      <sheetName val="KPB V-51"/>
      <sheetName val="DRPB2 VI-51"/>
      <sheetName val="KPB V-53"/>
      <sheetName val="DRPB2 VI-53"/>
      <sheetName val="KPB V-54"/>
      <sheetName val="DRPB2 VI-54"/>
      <sheetName val="KPB V-55"/>
      <sheetName val="DRPB2 VI-55"/>
      <sheetName val="KPB V-56"/>
      <sheetName val="DRPB2 VI-56"/>
      <sheetName val="KPB V-57"/>
      <sheetName val="DRPB2 VI-57"/>
      <sheetName val="KPB V-58"/>
      <sheetName val="DRPB2 VI-58"/>
      <sheetName val="KPB V-59"/>
      <sheetName val="DRPB2 VI-59"/>
      <sheetName val="KPB V-62"/>
      <sheetName val="DRPB2 VII-62"/>
      <sheetName val="KPB V-63"/>
      <sheetName val="DRPB2 VII-63"/>
      <sheetName val="KPB VI-64"/>
      <sheetName val="DRPB2 VII-64"/>
      <sheetName val="KPB VI-65"/>
      <sheetName val="DRPB2 VII-65"/>
      <sheetName val="KPB VI-66"/>
      <sheetName val="DRPB2 VII-66"/>
      <sheetName val="KPB VI-67"/>
      <sheetName val="DRPB2 VII-67"/>
      <sheetName val="KPB VI-68"/>
      <sheetName val="DRPB2 VII-68"/>
      <sheetName val="KPB VI-69"/>
      <sheetName val="DRPB2 VII-69"/>
      <sheetName val="KPB VI-71"/>
      <sheetName val="DRPB2 VII-71"/>
      <sheetName val="KPB VI-73"/>
      <sheetName val="DRPB2 VIII-73"/>
      <sheetName val="KPB VI-75"/>
      <sheetName val="DRPB2 VIII-75"/>
      <sheetName val="KPB VI-76"/>
      <sheetName val="DRPB2 VIII-76"/>
      <sheetName val="KPB VI-77"/>
      <sheetName val="DRPB2 VIII-77"/>
      <sheetName val="KPB VI-78"/>
      <sheetName val="DRPB2 VIII-78"/>
      <sheetName val="KPB VII-80"/>
      <sheetName val="DRPB2 VIII-80"/>
      <sheetName val="KPB VII-82"/>
      <sheetName val="DRPB2 VIII-82"/>
      <sheetName val="KPB XII-150"/>
      <sheetName val="DRPB2 VIII-150"/>
      <sheetName val="KPB XII-151"/>
      <sheetName val="DRPB2 VI-151"/>
      <sheetName val="KPB XIII-164"/>
      <sheetName val="DRPB2 III-164"/>
      <sheetName val="KPB XIII-165"/>
      <sheetName val="DRPB2 III-165"/>
      <sheetName val="KPB XIII-166"/>
      <sheetName val="DRPB2 VIII-166"/>
      <sheetName val="sekat"/>
    </sheetNames>
    <sheetDataSet>
      <sheetData sheetId="0"/>
      <sheetData sheetId="1">
        <row r="13">
          <cell r="B13">
            <v>1</v>
          </cell>
        </row>
      </sheetData>
      <sheetData sheetId="2">
        <row r="9">
          <cell r="B9">
            <v>1</v>
          </cell>
          <cell r="C9" t="str">
            <v>SUDIYONO</v>
          </cell>
          <cell r="D9" t="str">
            <v>PEJATEN RT01/01</v>
          </cell>
          <cell r="E9" t="str">
            <v>Ketua</v>
          </cell>
          <cell r="F9" t="str">
            <v>KPB I</v>
          </cell>
        </row>
        <row r="10">
          <cell r="B10">
            <v>2</v>
          </cell>
          <cell r="C10" t="str">
            <v>GANJIL SUPRIYANTO</v>
          </cell>
          <cell r="D10" t="str">
            <v>PEJATEN RT01/01</v>
          </cell>
          <cell r="E10" t="str">
            <v>Sekretaris</v>
          </cell>
          <cell r="F10" t="str">
            <v>KPB I</v>
          </cell>
        </row>
        <row r="11">
          <cell r="B11">
            <v>3</v>
          </cell>
          <cell r="C11" t="str">
            <v>PAIMAN</v>
          </cell>
          <cell r="D11" t="str">
            <v>PEJATEN RT01/01</v>
          </cell>
          <cell r="E11" t="str">
            <v>Bendahara</v>
          </cell>
          <cell r="F11" t="str">
            <v>KPB I</v>
          </cell>
        </row>
        <row r="12">
          <cell r="B12">
            <v>4</v>
          </cell>
          <cell r="C12" t="str">
            <v>KASNO</v>
          </cell>
          <cell r="D12" t="str">
            <v>PEJATEN RT01/01</v>
          </cell>
          <cell r="E12" t="str">
            <v>Anggota</v>
          </cell>
          <cell r="F12" t="str">
            <v>KPB I</v>
          </cell>
        </row>
        <row r="13">
          <cell r="B13">
            <v>5</v>
          </cell>
          <cell r="C13" t="str">
            <v>SUJARTO</v>
          </cell>
          <cell r="D13" t="str">
            <v>PEJATEN RT01/01</v>
          </cell>
          <cell r="E13" t="str">
            <v>Anggota</v>
          </cell>
          <cell r="F13" t="str">
            <v>KPB I</v>
          </cell>
        </row>
        <row r="14">
          <cell r="B14">
            <v>6</v>
          </cell>
          <cell r="C14" t="str">
            <v>PONIYAH</v>
          </cell>
          <cell r="D14" t="str">
            <v>PEJATEN RT01/01</v>
          </cell>
          <cell r="E14" t="str">
            <v>Anggota</v>
          </cell>
          <cell r="F14" t="str">
            <v>KPB I</v>
          </cell>
        </row>
        <row r="15">
          <cell r="B15">
            <v>7</v>
          </cell>
          <cell r="C15" t="str">
            <v>PONIJO</v>
          </cell>
          <cell r="D15" t="str">
            <v>PEJATEN RT02/01</v>
          </cell>
          <cell r="E15" t="str">
            <v>Anggota</v>
          </cell>
          <cell r="F15" t="str">
            <v>KPB I</v>
          </cell>
        </row>
        <row r="16">
          <cell r="B16">
            <v>8</v>
          </cell>
          <cell r="C16" t="str">
            <v>AMAD KASDI</v>
          </cell>
          <cell r="D16" t="str">
            <v>PEJATEN RT02/01</v>
          </cell>
          <cell r="E16" t="str">
            <v>Anggota</v>
          </cell>
          <cell r="F16" t="str">
            <v>KPB I</v>
          </cell>
        </row>
        <row r="17">
          <cell r="B17">
            <v>9</v>
          </cell>
          <cell r="C17" t="str">
            <v>SELAMAT</v>
          </cell>
          <cell r="D17" t="str">
            <v>PEJATEN RT02/01</v>
          </cell>
          <cell r="E17" t="str">
            <v>Anggota</v>
          </cell>
          <cell r="F17" t="str">
            <v>KPB I</v>
          </cell>
        </row>
        <row r="18">
          <cell r="B18">
            <v>11</v>
          </cell>
          <cell r="C18" t="str">
            <v>COKRO SEMITO</v>
          </cell>
          <cell r="D18" t="str">
            <v>PEJATEN RT02/01</v>
          </cell>
          <cell r="E18" t="str">
            <v>Ketua</v>
          </cell>
          <cell r="F18" t="str">
            <v>KPB II</v>
          </cell>
        </row>
        <row r="19">
          <cell r="B19">
            <v>12</v>
          </cell>
          <cell r="C19" t="str">
            <v>SAMIKEM</v>
          </cell>
          <cell r="D19" t="str">
            <v>PEJATEN RT01/01</v>
          </cell>
          <cell r="E19" t="str">
            <v>Sekretaris</v>
          </cell>
          <cell r="F19" t="str">
            <v>KPB II</v>
          </cell>
        </row>
        <row r="20">
          <cell r="B20">
            <v>14</v>
          </cell>
          <cell r="C20" t="str">
            <v>BERO</v>
          </cell>
          <cell r="D20" t="str">
            <v>PEJATEN RT02/01</v>
          </cell>
          <cell r="E20" t="str">
            <v>Bendahara</v>
          </cell>
          <cell r="F20" t="str">
            <v>KPB II</v>
          </cell>
        </row>
        <row r="21">
          <cell r="B21">
            <v>15</v>
          </cell>
          <cell r="C21" t="str">
            <v>MOHAMMAD ZAENUDIN</v>
          </cell>
          <cell r="D21" t="str">
            <v>PENGAMPON RT 03/01</v>
          </cell>
          <cell r="E21" t="str">
            <v>Anggota</v>
          </cell>
          <cell r="F21" t="str">
            <v>KPB II</v>
          </cell>
        </row>
        <row r="22">
          <cell r="B22">
            <v>16</v>
          </cell>
          <cell r="C22" t="str">
            <v>BASROWI</v>
          </cell>
          <cell r="D22" t="str">
            <v>PENGAMPON RT 03/01</v>
          </cell>
          <cell r="E22" t="str">
            <v>Anggota</v>
          </cell>
          <cell r="F22" t="str">
            <v>KPB II</v>
          </cell>
        </row>
        <row r="23">
          <cell r="B23">
            <v>17</v>
          </cell>
          <cell r="C23" t="str">
            <v>WIRYO SUMARTO</v>
          </cell>
          <cell r="D23" t="str">
            <v>PENGAMPON RT 03/01</v>
          </cell>
          <cell r="E23" t="str">
            <v>Anggota</v>
          </cell>
          <cell r="F23" t="str">
            <v>KPB II</v>
          </cell>
        </row>
        <row r="24">
          <cell r="B24">
            <v>18</v>
          </cell>
          <cell r="C24" t="str">
            <v>PANUT</v>
          </cell>
          <cell r="D24" t="str">
            <v>PENGAMPON RT 03/01</v>
          </cell>
          <cell r="E24" t="str">
            <v>Anggota</v>
          </cell>
          <cell r="F24" t="str">
            <v>KPB II</v>
          </cell>
        </row>
        <row r="25">
          <cell r="B25">
            <v>19</v>
          </cell>
          <cell r="C25" t="str">
            <v>BUDIONO</v>
          </cell>
          <cell r="D25" t="str">
            <v>PENGAMPON RT 03/01</v>
          </cell>
          <cell r="E25" t="str">
            <v>Anggota</v>
          </cell>
          <cell r="F25" t="str">
            <v>KPB II</v>
          </cell>
        </row>
        <row r="26">
          <cell r="B26">
            <v>20</v>
          </cell>
          <cell r="C26" t="str">
            <v>SUYATNO</v>
          </cell>
          <cell r="D26" t="str">
            <v>PENGAMPON RT 03/01</v>
          </cell>
          <cell r="E26" t="str">
            <v>Anggota</v>
          </cell>
          <cell r="F26" t="str">
            <v>KPB II</v>
          </cell>
        </row>
        <row r="27">
          <cell r="B27">
            <v>21</v>
          </cell>
          <cell r="C27" t="str">
            <v xml:space="preserve">PARTO MULYO </v>
          </cell>
          <cell r="D27" t="str">
            <v>PENGAMPON RT 03/01</v>
          </cell>
          <cell r="E27" t="str">
            <v>Anggota</v>
          </cell>
          <cell r="F27" t="str">
            <v>KPB II</v>
          </cell>
        </row>
        <row r="28">
          <cell r="B28">
            <v>22</v>
          </cell>
          <cell r="C28" t="str">
            <v>SUKIRMAN</v>
          </cell>
          <cell r="D28" t="str">
            <v>PENGAMPON RT 04/01</v>
          </cell>
          <cell r="E28" t="str">
            <v>Anggota</v>
          </cell>
          <cell r="F28" t="str">
            <v>KPB II</v>
          </cell>
        </row>
        <row r="29">
          <cell r="B29">
            <v>23</v>
          </cell>
          <cell r="C29" t="str">
            <v>SURAJI</v>
          </cell>
          <cell r="D29" t="str">
            <v>PENGAMPON RT 04/01</v>
          </cell>
          <cell r="E29" t="str">
            <v>Ketua</v>
          </cell>
          <cell r="F29" t="str">
            <v>KPB III</v>
          </cell>
        </row>
        <row r="30">
          <cell r="B30">
            <v>24</v>
          </cell>
          <cell r="C30" t="str">
            <v>AHMAD DAROJI</v>
          </cell>
          <cell r="D30" t="str">
            <v>PENGAMPON RT 04/01</v>
          </cell>
          <cell r="E30" t="str">
            <v>Sekretaris</v>
          </cell>
          <cell r="F30" t="str">
            <v>KPB III</v>
          </cell>
        </row>
        <row r="31">
          <cell r="B31">
            <v>25</v>
          </cell>
          <cell r="C31" t="str">
            <v>YUSUP</v>
          </cell>
          <cell r="D31" t="str">
            <v>PENGAMPON RT 04/01</v>
          </cell>
          <cell r="E31" t="str">
            <v>Bendahara</v>
          </cell>
          <cell r="F31" t="str">
            <v>KPB III</v>
          </cell>
        </row>
        <row r="32">
          <cell r="B32">
            <v>26</v>
          </cell>
          <cell r="C32" t="str">
            <v>NURHAYAT</v>
          </cell>
          <cell r="D32" t="str">
            <v>PENGAMPON RT 04/01</v>
          </cell>
          <cell r="E32" t="str">
            <v>Anggota</v>
          </cell>
          <cell r="F32" t="str">
            <v>KPB III</v>
          </cell>
        </row>
        <row r="33">
          <cell r="B33">
            <v>27</v>
          </cell>
          <cell r="C33" t="str">
            <v>UNTUNG</v>
          </cell>
          <cell r="D33" t="str">
            <v>JURU TENGAH RT 02/02</v>
          </cell>
          <cell r="E33" t="str">
            <v>Anggota</v>
          </cell>
          <cell r="F33" t="str">
            <v>KPB III</v>
          </cell>
        </row>
        <row r="34">
          <cell r="B34">
            <v>28</v>
          </cell>
          <cell r="C34" t="str">
            <v>MUDIYONO</v>
          </cell>
          <cell r="D34" t="str">
            <v>JURU TENGAH RT 02/02</v>
          </cell>
          <cell r="E34" t="str">
            <v>Anggota</v>
          </cell>
          <cell r="F34" t="str">
            <v>KPB III</v>
          </cell>
        </row>
        <row r="35">
          <cell r="B35">
            <v>29</v>
          </cell>
          <cell r="C35" t="str">
            <v>AMAD ROSIDIN</v>
          </cell>
          <cell r="D35" t="str">
            <v>JURU TENGAH RT 02/02</v>
          </cell>
          <cell r="E35" t="str">
            <v>Anggota</v>
          </cell>
          <cell r="F35" t="str">
            <v>KPB III</v>
          </cell>
        </row>
        <row r="36">
          <cell r="B36">
            <v>31</v>
          </cell>
          <cell r="C36" t="str">
            <v>EDI HARSONO</v>
          </cell>
          <cell r="D36" t="str">
            <v>JURU TENGAH RT 02/02</v>
          </cell>
          <cell r="E36" t="str">
            <v>Anggota</v>
          </cell>
          <cell r="F36" t="str">
            <v>KPB III</v>
          </cell>
        </row>
        <row r="37">
          <cell r="B37">
            <v>32</v>
          </cell>
          <cell r="C37" t="str">
            <v>SUTINAH</v>
          </cell>
          <cell r="D37" t="str">
            <v>JURU TENGAH RT 02/02</v>
          </cell>
          <cell r="E37" t="str">
            <v>Anggota</v>
          </cell>
          <cell r="F37" t="str">
            <v>KPB III</v>
          </cell>
        </row>
        <row r="38">
          <cell r="B38">
            <v>34</v>
          </cell>
          <cell r="C38" t="str">
            <v>SUPARDAN</v>
          </cell>
          <cell r="D38" t="str">
            <v>JURU TENGAH RT 01/02</v>
          </cell>
          <cell r="E38" t="str">
            <v>Anggota</v>
          </cell>
          <cell r="F38" t="str">
            <v>KPB III</v>
          </cell>
        </row>
        <row r="39">
          <cell r="B39">
            <v>35</v>
          </cell>
          <cell r="C39" t="str">
            <v>WAGIYAH</v>
          </cell>
          <cell r="D39" t="str">
            <v>JURU TENGAH RT 01/02</v>
          </cell>
          <cell r="E39" t="str">
            <v>Anggota</v>
          </cell>
          <cell r="F39" t="str">
            <v>KPB III</v>
          </cell>
        </row>
        <row r="40">
          <cell r="B40">
            <v>36</v>
          </cell>
          <cell r="C40" t="str">
            <v>PONIMAN</v>
          </cell>
          <cell r="D40" t="str">
            <v>JURU TENGAH RT 01/02</v>
          </cell>
          <cell r="E40" t="str">
            <v>Ketua</v>
          </cell>
          <cell r="F40" t="str">
            <v>KPB IV</v>
          </cell>
        </row>
        <row r="41">
          <cell r="B41">
            <v>37</v>
          </cell>
          <cell r="C41" t="str">
            <v>PAINTEN</v>
          </cell>
          <cell r="D41" t="str">
            <v>JURU TENGAH RT 01/02</v>
          </cell>
          <cell r="E41" t="str">
            <v>Sekretaris</v>
          </cell>
          <cell r="F41" t="str">
            <v>KPB IV</v>
          </cell>
        </row>
        <row r="42">
          <cell r="B42">
            <v>38</v>
          </cell>
          <cell r="C42" t="str">
            <v>MULYO ATMO</v>
          </cell>
          <cell r="D42" t="str">
            <v>JURU TENGAH RT 01/02</v>
          </cell>
          <cell r="E42" t="str">
            <v>Bendahara</v>
          </cell>
          <cell r="F42" t="str">
            <v>KPB IV</v>
          </cell>
        </row>
        <row r="43">
          <cell r="B43">
            <v>39</v>
          </cell>
          <cell r="C43" t="str">
            <v>RODLIYAH</v>
          </cell>
          <cell r="D43" t="str">
            <v>JURU TENGAH RT 02/02</v>
          </cell>
          <cell r="E43" t="str">
            <v>Anggota</v>
          </cell>
          <cell r="F43" t="str">
            <v>KPB IV</v>
          </cell>
        </row>
        <row r="44">
          <cell r="B44">
            <v>40</v>
          </cell>
          <cell r="C44" t="str">
            <v>SUGIYANTO</v>
          </cell>
          <cell r="D44" t="str">
            <v>JURU TENGAH RT 01/02</v>
          </cell>
          <cell r="E44" t="str">
            <v>Anggota</v>
          </cell>
          <cell r="F44" t="str">
            <v>KPB IV</v>
          </cell>
        </row>
        <row r="45">
          <cell r="B45">
            <v>41</v>
          </cell>
          <cell r="C45" t="str">
            <v>SURYANTO</v>
          </cell>
          <cell r="D45" t="str">
            <v>JURU TENGAH RT 02/02</v>
          </cell>
          <cell r="E45" t="str">
            <v>Anggota</v>
          </cell>
          <cell r="F45" t="str">
            <v>KPB IV</v>
          </cell>
        </row>
        <row r="46">
          <cell r="B46">
            <v>42</v>
          </cell>
          <cell r="C46" t="str">
            <v>KARSINI</v>
          </cell>
          <cell r="D46" t="str">
            <v>JURU TENGAH RT 02/02</v>
          </cell>
          <cell r="E46" t="str">
            <v>Anggota</v>
          </cell>
          <cell r="F46" t="str">
            <v>KPB IV</v>
          </cell>
        </row>
        <row r="47">
          <cell r="B47">
            <v>43</v>
          </cell>
          <cell r="C47" t="str">
            <v>KROMOYADI</v>
          </cell>
          <cell r="D47" t="str">
            <v>JURU TENGAH RT 01/02</v>
          </cell>
          <cell r="E47" t="str">
            <v>Anggota</v>
          </cell>
          <cell r="F47" t="str">
            <v>KPB IV</v>
          </cell>
        </row>
        <row r="48">
          <cell r="B48">
            <v>44</v>
          </cell>
          <cell r="C48" t="str">
            <v>MARMIYAH</v>
          </cell>
          <cell r="D48" t="str">
            <v>JURU TENGAH RT 01/02</v>
          </cell>
          <cell r="E48" t="str">
            <v>Anggota</v>
          </cell>
          <cell r="F48" t="str">
            <v>KPB IV</v>
          </cell>
        </row>
        <row r="49">
          <cell r="B49">
            <v>45</v>
          </cell>
          <cell r="C49" t="str">
            <v>SITI SALAMAH</v>
          </cell>
          <cell r="D49" t="str">
            <v>JURU TENGAH RT 01/02</v>
          </cell>
          <cell r="E49" t="str">
            <v>Anggota</v>
          </cell>
          <cell r="F49" t="str">
            <v>KPB IV</v>
          </cell>
        </row>
        <row r="50">
          <cell r="B50">
            <v>48</v>
          </cell>
          <cell r="C50" t="str">
            <v>AHMAD ASMUNGI</v>
          </cell>
          <cell r="D50" t="str">
            <v>JURU TENGAH RT 02/02</v>
          </cell>
          <cell r="E50" t="str">
            <v>Anggota</v>
          </cell>
          <cell r="F50" t="str">
            <v>KPB IV</v>
          </cell>
        </row>
        <row r="51">
          <cell r="B51">
            <v>50</v>
          </cell>
          <cell r="C51" t="str">
            <v>SARIJO</v>
          </cell>
          <cell r="D51" t="str">
            <v>PELUTAN RT 03/02</v>
          </cell>
          <cell r="E51" t="str">
            <v>Ketua</v>
          </cell>
          <cell r="F51" t="str">
            <v>KPB  V</v>
          </cell>
        </row>
        <row r="52">
          <cell r="B52">
            <v>51</v>
          </cell>
          <cell r="C52" t="str">
            <v>SUKONO</v>
          </cell>
          <cell r="D52" t="str">
            <v>PELUTAN RT 03/02</v>
          </cell>
          <cell r="E52" t="str">
            <v>Sekretaris</v>
          </cell>
          <cell r="F52" t="str">
            <v>KPB  V</v>
          </cell>
        </row>
        <row r="53">
          <cell r="B53">
            <v>53</v>
          </cell>
          <cell r="C53" t="str">
            <v>SUWARDI</v>
          </cell>
          <cell r="D53" t="str">
            <v>PELUTAN RT 03/02</v>
          </cell>
          <cell r="E53" t="str">
            <v>Bendahara</v>
          </cell>
          <cell r="F53" t="str">
            <v>KPB  V</v>
          </cell>
        </row>
        <row r="54">
          <cell r="B54">
            <v>54</v>
          </cell>
          <cell r="C54" t="str">
            <v>TRI JUMIYATI</v>
          </cell>
          <cell r="D54" t="str">
            <v>PELUTAN RT 03/02</v>
          </cell>
          <cell r="E54" t="str">
            <v>Anggota</v>
          </cell>
          <cell r="F54" t="str">
            <v>KPB  V</v>
          </cell>
        </row>
        <row r="55">
          <cell r="B55">
            <v>55</v>
          </cell>
          <cell r="C55" t="str">
            <v>SUPIAH</v>
          </cell>
          <cell r="D55" t="str">
            <v>PELUTAN RT 03/02</v>
          </cell>
          <cell r="E55" t="str">
            <v>Anggota</v>
          </cell>
          <cell r="F55" t="str">
            <v>KPB  V</v>
          </cell>
        </row>
        <row r="56">
          <cell r="B56">
            <v>56</v>
          </cell>
          <cell r="C56" t="str">
            <v>SUDI WIRYONO</v>
          </cell>
          <cell r="D56" t="str">
            <v>PELUTAN RT 04/02</v>
          </cell>
          <cell r="E56" t="str">
            <v>Anggota</v>
          </cell>
          <cell r="F56" t="str">
            <v>KPB  V</v>
          </cell>
        </row>
        <row r="57">
          <cell r="B57">
            <v>57</v>
          </cell>
          <cell r="C57" t="str">
            <v>NURHADI</v>
          </cell>
          <cell r="D57" t="str">
            <v>PELUTAN RT 04/02</v>
          </cell>
          <cell r="E57" t="str">
            <v>Anggota</v>
          </cell>
          <cell r="F57" t="str">
            <v>KPB  V</v>
          </cell>
        </row>
        <row r="58">
          <cell r="B58">
            <v>58</v>
          </cell>
          <cell r="C58" t="str">
            <v>JEMIYAH</v>
          </cell>
          <cell r="D58" t="str">
            <v>PELUTAN RT 04/02</v>
          </cell>
          <cell r="E58" t="str">
            <v>Anggota</v>
          </cell>
          <cell r="F58" t="str">
            <v>KPB  V</v>
          </cell>
        </row>
        <row r="59">
          <cell r="B59">
            <v>59</v>
          </cell>
          <cell r="C59" t="str">
            <v>WIRYO PRAWIRO</v>
          </cell>
          <cell r="D59" t="str">
            <v>PELUTAN RT 04/02</v>
          </cell>
          <cell r="E59" t="str">
            <v>Anggota</v>
          </cell>
          <cell r="F59" t="str">
            <v>KPB  V</v>
          </cell>
        </row>
        <row r="60">
          <cell r="B60">
            <v>62</v>
          </cell>
          <cell r="C60" t="str">
            <v>SALIDIN</v>
          </cell>
          <cell r="D60" t="str">
            <v>KARANGBOKENG RT 06/02</v>
          </cell>
          <cell r="E60" t="str">
            <v>Anggota</v>
          </cell>
          <cell r="F60" t="str">
            <v>KPB  V</v>
          </cell>
        </row>
        <row r="61">
          <cell r="B61">
            <v>63</v>
          </cell>
          <cell r="C61" t="str">
            <v>NURSALIM</v>
          </cell>
          <cell r="D61" t="str">
            <v>KARANGBOKENG RT 06/02</v>
          </cell>
          <cell r="E61" t="str">
            <v>Anggota</v>
          </cell>
          <cell r="F61" t="str">
            <v>KPB  V</v>
          </cell>
        </row>
        <row r="62">
          <cell r="B62">
            <v>64</v>
          </cell>
          <cell r="C62" t="str">
            <v>SALIJO</v>
          </cell>
          <cell r="D62" t="str">
            <v>KARANGBOKENG RT 06/02</v>
          </cell>
          <cell r="E62" t="str">
            <v>Ketua</v>
          </cell>
          <cell r="F62" t="str">
            <v xml:space="preserve"> KPB VI</v>
          </cell>
        </row>
        <row r="63">
          <cell r="B63">
            <v>65</v>
          </cell>
          <cell r="C63" t="str">
            <v>SUMARTI</v>
          </cell>
          <cell r="D63" t="str">
            <v>KARANGBOKENG RT 06/02</v>
          </cell>
          <cell r="E63" t="str">
            <v>Sekretaris</v>
          </cell>
          <cell r="F63" t="str">
            <v xml:space="preserve"> KPB VI</v>
          </cell>
        </row>
        <row r="64">
          <cell r="B64">
            <v>66</v>
          </cell>
          <cell r="C64" t="str">
            <v>AMAD RUSPANDI</v>
          </cell>
          <cell r="D64" t="str">
            <v>KARANGBOKENG RT 06/02</v>
          </cell>
          <cell r="E64" t="str">
            <v>Bendahara</v>
          </cell>
          <cell r="F64" t="str">
            <v xml:space="preserve"> KPB VI</v>
          </cell>
        </row>
        <row r="65">
          <cell r="B65">
            <v>67</v>
          </cell>
          <cell r="C65" t="str">
            <v>GUNADI</v>
          </cell>
          <cell r="D65" t="str">
            <v>KARANGBOKENG RT 05/02</v>
          </cell>
          <cell r="E65" t="str">
            <v>Anggota</v>
          </cell>
          <cell r="F65" t="str">
            <v xml:space="preserve"> KPB VI</v>
          </cell>
        </row>
        <row r="66">
          <cell r="B66">
            <v>68</v>
          </cell>
          <cell r="C66" t="str">
            <v>SALIM</v>
          </cell>
          <cell r="D66" t="str">
            <v>KARANGBOKENG RT 05/02</v>
          </cell>
          <cell r="E66" t="str">
            <v>Anggota</v>
          </cell>
          <cell r="F66" t="str">
            <v xml:space="preserve"> KPB VI</v>
          </cell>
        </row>
        <row r="67">
          <cell r="B67">
            <v>69</v>
          </cell>
          <cell r="C67" t="str">
            <v>SUDIYAH</v>
          </cell>
          <cell r="D67" t="str">
            <v>KARANGBOKENG RT 06/02</v>
          </cell>
          <cell r="E67" t="str">
            <v>Anggota</v>
          </cell>
          <cell r="F67" t="str">
            <v xml:space="preserve"> KPB VI</v>
          </cell>
        </row>
        <row r="68">
          <cell r="B68">
            <v>71</v>
          </cell>
          <cell r="C68" t="str">
            <v>YUSMANUDIN</v>
          </cell>
          <cell r="D68" t="str">
            <v>KARANGBOKENG RT 06/02</v>
          </cell>
          <cell r="E68" t="str">
            <v>Anggota</v>
          </cell>
          <cell r="F68" t="str">
            <v xml:space="preserve"> KPB VI</v>
          </cell>
        </row>
        <row r="69">
          <cell r="B69">
            <v>73</v>
          </cell>
          <cell r="C69" t="str">
            <v>PAWIT</v>
          </cell>
          <cell r="D69" t="str">
            <v>KARANGBOKENG RT 05/02</v>
          </cell>
          <cell r="E69" t="str">
            <v>Anggota</v>
          </cell>
          <cell r="F69" t="str">
            <v xml:space="preserve"> KPB VI</v>
          </cell>
        </row>
        <row r="70">
          <cell r="B70">
            <v>75</v>
          </cell>
          <cell r="C70" t="str">
            <v>BIMO CAROKO</v>
          </cell>
          <cell r="D70" t="str">
            <v>KARANGBOKENG RT 05/02</v>
          </cell>
          <cell r="E70" t="str">
            <v>Anggota</v>
          </cell>
          <cell r="F70" t="str">
            <v xml:space="preserve"> KPB VI</v>
          </cell>
        </row>
        <row r="71">
          <cell r="B71">
            <v>76</v>
          </cell>
          <cell r="C71" t="str">
            <v>SUPARMAN</v>
          </cell>
          <cell r="D71" t="str">
            <v>KARANGBOKENG RT 05/02</v>
          </cell>
          <cell r="E71" t="str">
            <v>Anggota</v>
          </cell>
          <cell r="F71" t="str">
            <v xml:space="preserve"> KPB VI</v>
          </cell>
        </row>
        <row r="72">
          <cell r="B72">
            <v>77</v>
          </cell>
          <cell r="C72" t="str">
            <v>MARYONO</v>
          </cell>
          <cell r="D72" t="str">
            <v>KARANGBOKENG RT 05/02</v>
          </cell>
          <cell r="E72" t="str">
            <v>Anggota</v>
          </cell>
          <cell r="F72" t="str">
            <v xml:space="preserve"> KPB VI</v>
          </cell>
        </row>
        <row r="73">
          <cell r="B73">
            <v>78</v>
          </cell>
          <cell r="C73" t="str">
            <v>SALIM</v>
          </cell>
          <cell r="D73" t="str">
            <v>KARANGBOKENG RT 05/02</v>
          </cell>
          <cell r="E73" t="str">
            <v>Ketua</v>
          </cell>
          <cell r="F73" t="str">
            <v xml:space="preserve"> KPB VII</v>
          </cell>
        </row>
        <row r="74">
          <cell r="B74">
            <v>80</v>
          </cell>
          <cell r="C74" t="str">
            <v>MANISO</v>
          </cell>
          <cell r="D74" t="str">
            <v>KARANGBOKENG RT 05/02</v>
          </cell>
          <cell r="E74" t="str">
            <v>Sekretaris</v>
          </cell>
          <cell r="F74" t="str">
            <v xml:space="preserve"> KPB VII</v>
          </cell>
        </row>
        <row r="75">
          <cell r="B75">
            <v>82</v>
          </cell>
          <cell r="C75" t="str">
            <v>AMAD MUKRODIN</v>
          </cell>
          <cell r="D75" t="str">
            <v>KARANGBOKENG RT 05/02</v>
          </cell>
          <cell r="E75" t="str">
            <v>Bendahara</v>
          </cell>
          <cell r="F75" t="str">
            <v xml:space="preserve"> KPB VII</v>
          </cell>
        </row>
        <row r="76">
          <cell r="B76">
            <v>83</v>
          </cell>
          <cell r="C76" t="str">
            <v>SUKAMTO</v>
          </cell>
          <cell r="D76" t="str">
            <v>DUKUH RT 01/03</v>
          </cell>
          <cell r="E76" t="str">
            <v>Anggota</v>
          </cell>
          <cell r="F76" t="str">
            <v xml:space="preserve"> KPB VII</v>
          </cell>
        </row>
        <row r="77">
          <cell r="B77">
            <v>84</v>
          </cell>
          <cell r="C77" t="str">
            <v>PARDI</v>
          </cell>
          <cell r="D77" t="str">
            <v>DUKUH RT 01/03</v>
          </cell>
          <cell r="E77" t="str">
            <v>Anggota</v>
          </cell>
          <cell r="F77" t="str">
            <v xml:space="preserve"> KPB VII</v>
          </cell>
        </row>
        <row r="78">
          <cell r="B78">
            <v>85</v>
          </cell>
          <cell r="C78" t="str">
            <v>WAGE</v>
          </cell>
          <cell r="D78" t="str">
            <v>DUKUH RT 01/03</v>
          </cell>
          <cell r="E78" t="str">
            <v>Anggota</v>
          </cell>
          <cell r="F78" t="str">
            <v xml:space="preserve"> KPB VII</v>
          </cell>
        </row>
        <row r="79">
          <cell r="B79">
            <v>86</v>
          </cell>
          <cell r="C79" t="str">
            <v>TUMINEM</v>
          </cell>
          <cell r="D79" t="str">
            <v>DUKUH RT 02/03</v>
          </cell>
          <cell r="E79" t="str">
            <v>Anggota</v>
          </cell>
          <cell r="F79" t="str">
            <v xml:space="preserve"> KPB VII</v>
          </cell>
        </row>
        <row r="80">
          <cell r="B80">
            <v>87</v>
          </cell>
          <cell r="C80" t="str">
            <v>SASTRO MIHARJO</v>
          </cell>
          <cell r="D80" t="str">
            <v>DUKUH RT 02/03</v>
          </cell>
          <cell r="E80" t="str">
            <v>Anggota</v>
          </cell>
          <cell r="F80" t="str">
            <v xml:space="preserve"> KPB VII</v>
          </cell>
        </row>
        <row r="81">
          <cell r="B81">
            <v>88</v>
          </cell>
          <cell r="C81" t="str">
            <v>TURUT PRIYONO</v>
          </cell>
          <cell r="D81" t="str">
            <v>DUKUH RT 02/03</v>
          </cell>
          <cell r="E81" t="str">
            <v>Anggota</v>
          </cell>
          <cell r="F81" t="str">
            <v xml:space="preserve"> KPB VII</v>
          </cell>
        </row>
        <row r="82">
          <cell r="B82">
            <v>89</v>
          </cell>
          <cell r="C82" t="str">
            <v>PARJONO</v>
          </cell>
          <cell r="D82" t="str">
            <v>DUKUH RT 01/03</v>
          </cell>
          <cell r="E82" t="str">
            <v>Anggota</v>
          </cell>
          <cell r="F82" t="str">
            <v xml:space="preserve"> KPB VII</v>
          </cell>
        </row>
        <row r="83">
          <cell r="B83">
            <v>90</v>
          </cell>
          <cell r="C83" t="str">
            <v>JONO</v>
          </cell>
          <cell r="D83" t="str">
            <v>DUKUH RT 01/03</v>
          </cell>
          <cell r="E83" t="str">
            <v>Anggota</v>
          </cell>
          <cell r="F83" t="str">
            <v xml:space="preserve"> KPB VII</v>
          </cell>
        </row>
        <row r="84">
          <cell r="B84">
            <v>91</v>
          </cell>
          <cell r="C84" t="str">
            <v>SAMIRAH</v>
          </cell>
          <cell r="D84" t="str">
            <v>DUKUH RT 02/03</v>
          </cell>
          <cell r="E84" t="str">
            <v>Ketua</v>
          </cell>
          <cell r="F84" t="str">
            <v xml:space="preserve">  KPB VIII</v>
          </cell>
        </row>
        <row r="85">
          <cell r="B85">
            <v>92</v>
          </cell>
          <cell r="C85" t="str">
            <v>KATMAN</v>
          </cell>
          <cell r="D85" t="str">
            <v>DUKUH RT 01/03</v>
          </cell>
          <cell r="E85" t="str">
            <v>Sekretaris</v>
          </cell>
          <cell r="F85" t="str">
            <v xml:space="preserve">  KPB VIII</v>
          </cell>
        </row>
        <row r="86">
          <cell r="B86">
            <v>93</v>
          </cell>
          <cell r="C86" t="str">
            <v>MARTO DIKROMO</v>
          </cell>
          <cell r="D86" t="str">
            <v>DUKUH RT 02/03</v>
          </cell>
          <cell r="E86" t="str">
            <v>Bendahara</v>
          </cell>
          <cell r="F86" t="str">
            <v xml:space="preserve">  KPB VIII</v>
          </cell>
        </row>
        <row r="87">
          <cell r="B87">
            <v>94</v>
          </cell>
          <cell r="C87" t="str">
            <v>SISWOYO</v>
          </cell>
          <cell r="D87" t="str">
            <v>DUKUH RT 01/03</v>
          </cell>
          <cell r="E87" t="str">
            <v>Anggota</v>
          </cell>
          <cell r="F87" t="str">
            <v xml:space="preserve">  KPB VIII</v>
          </cell>
        </row>
        <row r="88">
          <cell r="B88">
            <v>95</v>
          </cell>
          <cell r="C88" t="str">
            <v>WAGIYO</v>
          </cell>
          <cell r="D88" t="str">
            <v>DUKUH RT 02/03</v>
          </cell>
          <cell r="E88" t="str">
            <v>Anggota</v>
          </cell>
          <cell r="F88" t="str">
            <v xml:space="preserve">  KPB VIII</v>
          </cell>
        </row>
        <row r="89">
          <cell r="B89">
            <v>96</v>
          </cell>
          <cell r="C89" t="str">
            <v>WINARNI</v>
          </cell>
          <cell r="D89" t="str">
            <v>DUKUH RT 02/03</v>
          </cell>
          <cell r="E89" t="str">
            <v>Anggota</v>
          </cell>
          <cell r="F89" t="str">
            <v xml:space="preserve">  KPB VIII</v>
          </cell>
        </row>
        <row r="90">
          <cell r="B90">
            <v>97</v>
          </cell>
          <cell r="C90" t="str">
            <v>SALIWON</v>
          </cell>
          <cell r="D90" t="str">
            <v>DUKUH RT 02/03</v>
          </cell>
          <cell r="E90" t="str">
            <v>Anggota</v>
          </cell>
          <cell r="F90" t="str">
            <v xml:space="preserve">  KPB VIII</v>
          </cell>
        </row>
        <row r="91">
          <cell r="B91">
            <v>98</v>
          </cell>
          <cell r="C91" t="str">
            <v>TUMIRAH</v>
          </cell>
          <cell r="D91" t="str">
            <v>DUKUH RT 02/03</v>
          </cell>
          <cell r="E91" t="str">
            <v>Anggota</v>
          </cell>
          <cell r="F91" t="str">
            <v xml:space="preserve">  KPB VIII</v>
          </cell>
        </row>
        <row r="92">
          <cell r="B92">
            <v>99</v>
          </cell>
          <cell r="C92" t="str">
            <v>AMAD MARSIDI</v>
          </cell>
          <cell r="D92" t="str">
            <v>DUKUH RT 02/03</v>
          </cell>
          <cell r="E92" t="str">
            <v>Anggota</v>
          </cell>
          <cell r="F92" t="str">
            <v xml:space="preserve">  KPB VIII</v>
          </cell>
        </row>
        <row r="93">
          <cell r="B93">
            <v>101</v>
          </cell>
          <cell r="C93" t="str">
            <v>HARTONO</v>
          </cell>
          <cell r="D93" t="str">
            <v>DUKUH RT 02/03</v>
          </cell>
          <cell r="E93" t="str">
            <v>Anggota</v>
          </cell>
          <cell r="F93" t="str">
            <v xml:space="preserve">  KPB VIII</v>
          </cell>
        </row>
        <row r="94">
          <cell r="B94">
            <v>102</v>
          </cell>
          <cell r="C94" t="str">
            <v>ABDUL KOHAR/TUMUD</v>
          </cell>
          <cell r="D94" t="str">
            <v>DUKUH RT 01/03</v>
          </cell>
          <cell r="E94" t="str">
            <v>Anggota</v>
          </cell>
          <cell r="F94" t="str">
            <v xml:space="preserve">  KPB VIII</v>
          </cell>
        </row>
        <row r="95">
          <cell r="B95">
            <v>103</v>
          </cell>
          <cell r="C95" t="str">
            <v>AMAD PAWIRO</v>
          </cell>
          <cell r="D95" t="str">
            <v>DUKUH RT 02/03</v>
          </cell>
          <cell r="E95" t="str">
            <v>Ketua</v>
          </cell>
          <cell r="F95" t="str">
            <v>KPB IX</v>
          </cell>
        </row>
        <row r="96">
          <cell r="B96">
            <v>104</v>
          </cell>
          <cell r="C96" t="str">
            <v>MULYO PAWIRO</v>
          </cell>
          <cell r="D96" t="str">
            <v>NOLOSARAN RT 04/03</v>
          </cell>
          <cell r="E96" t="str">
            <v>Sekretaris</v>
          </cell>
          <cell r="F96" t="str">
            <v>KPB IX</v>
          </cell>
        </row>
        <row r="97">
          <cell r="B97">
            <v>105</v>
          </cell>
          <cell r="C97" t="str">
            <v>MUJIRAH</v>
          </cell>
          <cell r="D97" t="str">
            <v>NOLOSARAN RT 04/03</v>
          </cell>
          <cell r="E97" t="str">
            <v>Bendahara</v>
          </cell>
          <cell r="F97" t="str">
            <v>KPB IX</v>
          </cell>
        </row>
        <row r="98">
          <cell r="B98">
            <v>106</v>
          </cell>
          <cell r="C98" t="str">
            <v>ISWANDI</v>
          </cell>
          <cell r="D98" t="str">
            <v>NOLOSARAN RT 04/03</v>
          </cell>
          <cell r="E98" t="str">
            <v>Anggota</v>
          </cell>
          <cell r="F98" t="str">
            <v>KPB IX</v>
          </cell>
        </row>
        <row r="99">
          <cell r="B99">
            <v>107</v>
          </cell>
          <cell r="C99" t="str">
            <v>NURLIWON</v>
          </cell>
          <cell r="D99" t="str">
            <v>NOLOSARAN RT 03/03</v>
          </cell>
          <cell r="E99" t="str">
            <v>Anggota</v>
          </cell>
          <cell r="F99" t="str">
            <v>KPB IX</v>
          </cell>
        </row>
        <row r="100">
          <cell r="B100">
            <v>108</v>
          </cell>
          <cell r="C100" t="str">
            <v>MARINAH</v>
          </cell>
          <cell r="D100" t="str">
            <v>NOLOSARAN RT 03/03</v>
          </cell>
          <cell r="E100" t="str">
            <v>Anggota</v>
          </cell>
          <cell r="F100" t="str">
            <v>KPB IX</v>
          </cell>
        </row>
        <row r="101">
          <cell r="B101">
            <v>109</v>
          </cell>
          <cell r="C101" t="str">
            <v>SUPARNO</v>
          </cell>
          <cell r="D101" t="str">
            <v>NOLOSARAN RT 03/03</v>
          </cell>
          <cell r="E101" t="str">
            <v>Anggota</v>
          </cell>
          <cell r="F101" t="str">
            <v>KPB IX</v>
          </cell>
        </row>
        <row r="102">
          <cell r="B102">
            <v>110</v>
          </cell>
          <cell r="C102" t="str">
            <v>TURIYAH</v>
          </cell>
          <cell r="D102" t="str">
            <v>NOLOSARAN RT 03/03</v>
          </cell>
          <cell r="E102" t="str">
            <v>Anggota</v>
          </cell>
          <cell r="F102" t="str">
            <v>KPB IX</v>
          </cell>
        </row>
        <row r="103">
          <cell r="B103">
            <v>111</v>
          </cell>
          <cell r="C103" t="str">
            <v>ASLAMIYAH</v>
          </cell>
          <cell r="D103" t="str">
            <v>NOLOSARAN RT 03/03</v>
          </cell>
          <cell r="E103" t="str">
            <v>Anggota</v>
          </cell>
          <cell r="F103" t="str">
            <v>KPB IX</v>
          </cell>
        </row>
        <row r="104">
          <cell r="B104">
            <v>112</v>
          </cell>
          <cell r="C104" t="str">
            <v>KAIJO</v>
          </cell>
          <cell r="D104" t="str">
            <v>NOLOSARAN RT 03/03</v>
          </cell>
          <cell r="E104" t="str">
            <v>Anggota</v>
          </cell>
          <cell r="F104" t="str">
            <v>KPB IX</v>
          </cell>
        </row>
        <row r="105">
          <cell r="B105">
            <v>113</v>
          </cell>
          <cell r="C105" t="str">
            <v>DULAH RUSMAN</v>
          </cell>
          <cell r="D105" t="str">
            <v>NOLOSARAN RT 03/03</v>
          </cell>
          <cell r="E105" t="str">
            <v>Anggota</v>
          </cell>
          <cell r="F105" t="str">
            <v>KPB IX</v>
          </cell>
        </row>
        <row r="106">
          <cell r="B106">
            <v>114</v>
          </cell>
          <cell r="C106" t="str">
            <v>SUPRIYADI</v>
          </cell>
          <cell r="D106" t="str">
            <v>NOLOSARAN RT 03/03</v>
          </cell>
          <cell r="E106" t="str">
            <v>Ketua</v>
          </cell>
          <cell r="F106" t="str">
            <v xml:space="preserve"> KPB X</v>
          </cell>
        </row>
        <row r="107">
          <cell r="B107">
            <v>116</v>
          </cell>
          <cell r="C107" t="str">
            <v>DADANG SURYANA W</v>
          </cell>
          <cell r="D107" t="str">
            <v>NOLOSARAN RT 04/03</v>
          </cell>
          <cell r="E107" t="str">
            <v>Sekretaris</v>
          </cell>
          <cell r="F107" t="str">
            <v xml:space="preserve"> KPB X</v>
          </cell>
        </row>
        <row r="108">
          <cell r="B108">
            <v>118</v>
          </cell>
          <cell r="C108" t="str">
            <v>MARSINAH</v>
          </cell>
          <cell r="D108" t="str">
            <v>NOLOSARAN RT 03/03</v>
          </cell>
          <cell r="E108" t="str">
            <v>Bendahara</v>
          </cell>
          <cell r="F108" t="str">
            <v xml:space="preserve"> KPB X</v>
          </cell>
        </row>
        <row r="109">
          <cell r="B109">
            <v>120</v>
          </cell>
          <cell r="C109" t="str">
            <v>MUKSON</v>
          </cell>
          <cell r="D109" t="str">
            <v>NOLOSARAN RT 03/03</v>
          </cell>
          <cell r="E109" t="str">
            <v>Anggota</v>
          </cell>
          <cell r="F109" t="str">
            <v xml:space="preserve"> KPB X</v>
          </cell>
        </row>
        <row r="110">
          <cell r="B110">
            <v>122</v>
          </cell>
          <cell r="C110" t="str">
            <v>MANISO</v>
          </cell>
          <cell r="D110" t="str">
            <v>NOLOSARAN RT 03/03</v>
          </cell>
          <cell r="E110" t="str">
            <v>Anggota</v>
          </cell>
          <cell r="F110" t="str">
            <v xml:space="preserve"> KPB X</v>
          </cell>
        </row>
        <row r="111">
          <cell r="B111">
            <v>124</v>
          </cell>
          <cell r="C111" t="str">
            <v>PARYONO</v>
          </cell>
          <cell r="D111" t="str">
            <v>NOLOSARAN RT 03/03</v>
          </cell>
          <cell r="E111" t="str">
            <v>Anggota</v>
          </cell>
          <cell r="F111" t="str">
            <v xml:space="preserve"> KPB X</v>
          </cell>
        </row>
        <row r="112">
          <cell r="B112">
            <v>125</v>
          </cell>
          <cell r="C112" t="str">
            <v>MUSINAH</v>
          </cell>
          <cell r="D112" t="str">
            <v>NOLOSARAN RT 04/03</v>
          </cell>
          <cell r="E112" t="str">
            <v>Anggota</v>
          </cell>
          <cell r="F112" t="str">
            <v xml:space="preserve"> KPB X</v>
          </cell>
        </row>
        <row r="113">
          <cell r="B113">
            <v>126</v>
          </cell>
          <cell r="C113" t="str">
            <v>PONIRAN</v>
          </cell>
          <cell r="D113" t="str">
            <v>KEBURUHAN RT 02/04</v>
          </cell>
          <cell r="E113" t="str">
            <v>Anggota</v>
          </cell>
          <cell r="F113" t="str">
            <v xml:space="preserve"> KPB X</v>
          </cell>
        </row>
        <row r="114">
          <cell r="B114">
            <v>127</v>
          </cell>
          <cell r="C114" t="str">
            <v>WAIYAH</v>
          </cell>
          <cell r="D114" t="str">
            <v>KEBURUHAN RT 02/04</v>
          </cell>
          <cell r="E114" t="str">
            <v>Anggota</v>
          </cell>
          <cell r="F114" t="str">
            <v xml:space="preserve"> KPB X</v>
          </cell>
        </row>
        <row r="115">
          <cell r="B115">
            <v>128</v>
          </cell>
          <cell r="C115" t="str">
            <v>WARIS</v>
          </cell>
          <cell r="D115" t="str">
            <v>KEBURUHAN RT 02/04</v>
          </cell>
          <cell r="E115" t="str">
            <v>Anggota</v>
          </cell>
          <cell r="F115" t="str">
            <v xml:space="preserve"> KPB X</v>
          </cell>
        </row>
        <row r="116">
          <cell r="B116">
            <v>129</v>
          </cell>
          <cell r="C116" t="str">
            <v>EDI WINARNO</v>
          </cell>
          <cell r="D116" t="str">
            <v>KEBURUHAN RT 02/04</v>
          </cell>
          <cell r="E116" t="str">
            <v>Anggota</v>
          </cell>
          <cell r="F116" t="str">
            <v xml:space="preserve"> KPB X</v>
          </cell>
        </row>
        <row r="117">
          <cell r="B117">
            <v>130</v>
          </cell>
          <cell r="C117" t="str">
            <v>HADI PRANOTO</v>
          </cell>
          <cell r="D117" t="str">
            <v>KEBURUHAN RT 02/04</v>
          </cell>
          <cell r="E117" t="str">
            <v>Ketua</v>
          </cell>
          <cell r="F117" t="str">
            <v xml:space="preserve"> KPB XI</v>
          </cell>
        </row>
        <row r="118">
          <cell r="B118">
            <v>131</v>
          </cell>
          <cell r="C118" t="str">
            <v>SARIJO</v>
          </cell>
          <cell r="D118" t="str">
            <v>KEBURUHAN RT 02/04</v>
          </cell>
          <cell r="E118" t="str">
            <v>Sekretaris</v>
          </cell>
          <cell r="F118" t="str">
            <v xml:space="preserve"> KPB XI</v>
          </cell>
        </row>
        <row r="119">
          <cell r="B119">
            <v>132</v>
          </cell>
          <cell r="C119" t="str">
            <v>M. HARIYANTO</v>
          </cell>
          <cell r="D119" t="str">
            <v>KEBURUHAN RT 01/04</v>
          </cell>
          <cell r="E119" t="str">
            <v>Bendahara</v>
          </cell>
          <cell r="F119" t="str">
            <v xml:space="preserve"> KPB XI</v>
          </cell>
        </row>
        <row r="120">
          <cell r="B120">
            <v>133</v>
          </cell>
          <cell r="C120" t="str">
            <v>NGADIKUN</v>
          </cell>
          <cell r="D120" t="str">
            <v>KEBURUHAN RT 02/04</v>
          </cell>
          <cell r="E120" t="str">
            <v>Anggota</v>
          </cell>
          <cell r="F120" t="str">
            <v xml:space="preserve"> KPB XI</v>
          </cell>
        </row>
        <row r="121">
          <cell r="B121">
            <v>135</v>
          </cell>
          <cell r="C121" t="str">
            <v>ATMOJO UTOMO</v>
          </cell>
          <cell r="D121" t="str">
            <v>KEBURUHAN RT 02/04</v>
          </cell>
          <cell r="E121" t="str">
            <v>Anggota</v>
          </cell>
          <cell r="F121" t="str">
            <v xml:space="preserve"> KPB XI</v>
          </cell>
        </row>
        <row r="122">
          <cell r="B122">
            <v>136</v>
          </cell>
          <cell r="C122" t="str">
            <v>PAINEM</v>
          </cell>
          <cell r="D122" t="str">
            <v>KEBURUHAN RT 02/04</v>
          </cell>
          <cell r="E122" t="str">
            <v>Anggota</v>
          </cell>
          <cell r="F122" t="str">
            <v xml:space="preserve"> KPB XI</v>
          </cell>
        </row>
        <row r="123">
          <cell r="B123">
            <v>137</v>
          </cell>
          <cell r="C123" t="str">
            <v>PAIJO</v>
          </cell>
          <cell r="D123" t="str">
            <v>KEBURUHAN RT 02/04</v>
          </cell>
          <cell r="E123" t="str">
            <v>Anggota</v>
          </cell>
          <cell r="F123" t="str">
            <v xml:space="preserve"> KPB XI</v>
          </cell>
        </row>
        <row r="124">
          <cell r="B124">
            <v>140</v>
          </cell>
          <cell r="C124" t="str">
            <v>MANISO</v>
          </cell>
          <cell r="D124" t="str">
            <v>KEBURUHAN RT 02/04</v>
          </cell>
          <cell r="E124" t="str">
            <v>Anggota</v>
          </cell>
          <cell r="F124" t="str">
            <v xml:space="preserve"> KPB XI</v>
          </cell>
        </row>
        <row r="125">
          <cell r="B125">
            <v>143</v>
          </cell>
          <cell r="C125" t="str">
            <v>SULASTRI</v>
          </cell>
          <cell r="D125" t="str">
            <v>KEBURUHAN RT 02/04</v>
          </cell>
          <cell r="E125" t="str">
            <v>Anggota</v>
          </cell>
          <cell r="F125" t="str">
            <v xml:space="preserve"> KPB XI</v>
          </cell>
        </row>
        <row r="126">
          <cell r="B126">
            <v>144</v>
          </cell>
          <cell r="C126" t="str">
            <v>ADI UTOMO</v>
          </cell>
          <cell r="D126" t="str">
            <v>KEBURUHAN RT 02/04</v>
          </cell>
          <cell r="E126" t="str">
            <v>Anggota</v>
          </cell>
          <cell r="F126" t="str">
            <v xml:space="preserve"> KPB XI</v>
          </cell>
        </row>
        <row r="127">
          <cell r="B127">
            <v>146</v>
          </cell>
          <cell r="C127" t="str">
            <v>SUGITO</v>
          </cell>
          <cell r="D127" t="str">
            <v>KEBURUHAN RT 01/04</v>
          </cell>
          <cell r="E127" t="str">
            <v>Anggota</v>
          </cell>
          <cell r="F127" t="str">
            <v xml:space="preserve"> KPB XI</v>
          </cell>
        </row>
        <row r="128">
          <cell r="B128">
            <v>147</v>
          </cell>
          <cell r="C128" t="str">
            <v>MARTO UTOMO</v>
          </cell>
          <cell r="D128" t="str">
            <v>KEBURUHAN RT 01/05</v>
          </cell>
          <cell r="E128" t="str">
            <v>Ketua</v>
          </cell>
          <cell r="F128" t="str">
            <v xml:space="preserve"> KPB XII</v>
          </cell>
        </row>
        <row r="129">
          <cell r="B129">
            <v>148</v>
          </cell>
          <cell r="C129" t="str">
            <v>SAINAH</v>
          </cell>
          <cell r="D129" t="str">
            <v>KEBURUHAN RT 02/04</v>
          </cell>
          <cell r="E129" t="str">
            <v>Sekretaris</v>
          </cell>
          <cell r="F129" t="str">
            <v xml:space="preserve"> KPB XII</v>
          </cell>
        </row>
        <row r="130">
          <cell r="B130">
            <v>149</v>
          </cell>
          <cell r="C130" t="str">
            <v>PARDI</v>
          </cell>
          <cell r="D130" t="str">
            <v>KEBURUHAN RT 02/04</v>
          </cell>
          <cell r="E130" t="str">
            <v>Bendahara</v>
          </cell>
          <cell r="F130" t="str">
            <v xml:space="preserve"> KPB XII</v>
          </cell>
        </row>
        <row r="131">
          <cell r="B131">
            <v>150</v>
          </cell>
          <cell r="C131" t="str">
            <v>SOLIKIN</v>
          </cell>
          <cell r="D131" t="str">
            <v>JURU TENGAH RT 01/02</v>
          </cell>
          <cell r="E131" t="str">
            <v>Anggota</v>
          </cell>
          <cell r="F131" t="str">
            <v xml:space="preserve"> KPB XII</v>
          </cell>
        </row>
        <row r="132">
          <cell r="B132">
            <v>151</v>
          </cell>
          <cell r="C132" t="str">
            <v>MOH. NURHIDAYAT</v>
          </cell>
          <cell r="D132" t="str">
            <v>DK PELUTAN RT 03/02</v>
          </cell>
          <cell r="E132" t="str">
            <v>Anggota</v>
          </cell>
          <cell r="F132" t="str">
            <v xml:space="preserve"> KPB XII</v>
          </cell>
        </row>
        <row r="133">
          <cell r="B133">
            <v>153</v>
          </cell>
          <cell r="C133" t="str">
            <v>RUBIYEM</v>
          </cell>
          <cell r="D133" t="str">
            <v>KARANG BAKENG RT 05/02</v>
          </cell>
          <cell r="E133" t="str">
            <v>Anggota</v>
          </cell>
          <cell r="F133" t="str">
            <v xml:space="preserve"> KPB XII</v>
          </cell>
        </row>
        <row r="134">
          <cell r="B134">
            <v>154</v>
          </cell>
          <cell r="C134" t="str">
            <v>YUDO SISWO SAPUTRO</v>
          </cell>
          <cell r="D134" t="str">
            <v>KARANG BAKENG RT 05/02</v>
          </cell>
          <cell r="E134" t="str">
            <v>Anggota</v>
          </cell>
          <cell r="F134" t="str">
            <v xml:space="preserve"> KPB XII</v>
          </cell>
        </row>
        <row r="135">
          <cell r="B135">
            <v>155</v>
          </cell>
          <cell r="C135" t="str">
            <v>MARTINI</v>
          </cell>
          <cell r="D135" t="str">
            <v>KARANG BAKENG RT 05/02</v>
          </cell>
          <cell r="E135" t="str">
            <v>Anggota</v>
          </cell>
          <cell r="F135" t="str">
            <v xml:space="preserve"> KPB XII</v>
          </cell>
        </row>
        <row r="136">
          <cell r="B136">
            <v>156</v>
          </cell>
          <cell r="C136" t="str">
            <v>AMAD MIARTO</v>
          </cell>
          <cell r="D136" t="str">
            <v>KARANG BAKENG RT 06/02</v>
          </cell>
          <cell r="E136" t="str">
            <v>Anggota</v>
          </cell>
          <cell r="F136" t="str">
            <v xml:space="preserve"> KPB XII</v>
          </cell>
        </row>
        <row r="137">
          <cell r="B137">
            <v>157</v>
          </cell>
          <cell r="C137" t="str">
            <v>SUROSO</v>
          </cell>
          <cell r="D137" t="str">
            <v>KARANG BAKENG RT 06/02</v>
          </cell>
          <cell r="E137" t="str">
            <v>Anggota</v>
          </cell>
          <cell r="F137" t="str">
            <v xml:space="preserve"> KPB XII</v>
          </cell>
        </row>
        <row r="138">
          <cell r="B138">
            <v>158</v>
          </cell>
          <cell r="C138" t="str">
            <v>AMAD FAJERI</v>
          </cell>
          <cell r="D138" t="str">
            <v>KARANG BAKENG RT 06/02</v>
          </cell>
          <cell r="E138" t="str">
            <v>Anggota</v>
          </cell>
          <cell r="F138" t="str">
            <v xml:space="preserve"> KPB XII</v>
          </cell>
        </row>
        <row r="139">
          <cell r="B139">
            <v>159</v>
          </cell>
          <cell r="C139" t="str">
            <v>PAWIT RAYITNO</v>
          </cell>
          <cell r="D139" t="str">
            <v>SARWOGADUNG RT 01/03</v>
          </cell>
          <cell r="E139" t="str">
            <v>Ketua</v>
          </cell>
          <cell r="F139" t="str">
            <v xml:space="preserve"> KPB XIII</v>
          </cell>
        </row>
        <row r="140">
          <cell r="B140">
            <v>160</v>
          </cell>
          <cell r="C140" t="str">
            <v>ARI BANGUN SUTRISNO</v>
          </cell>
          <cell r="D140" t="str">
            <v>NOLOSARAN RT 03/03</v>
          </cell>
          <cell r="E140" t="str">
            <v>Sekretaris</v>
          </cell>
          <cell r="F140" t="str">
            <v xml:space="preserve"> KPB XIII</v>
          </cell>
        </row>
        <row r="141">
          <cell r="B141">
            <v>162</v>
          </cell>
          <cell r="C141" t="str">
            <v>SALBIYAH</v>
          </cell>
          <cell r="D141" t="str">
            <v>SARWOGADUNG RT 04/01</v>
          </cell>
          <cell r="E141" t="str">
            <v>Bendahara</v>
          </cell>
          <cell r="F141" t="str">
            <v xml:space="preserve"> KPB XIII</v>
          </cell>
        </row>
        <row r="142">
          <cell r="B142">
            <v>163</v>
          </cell>
          <cell r="C142" t="str">
            <v>MARSIYAN</v>
          </cell>
          <cell r="D142" t="str">
            <v>PENGUMPAN RT 04/01</v>
          </cell>
          <cell r="E142" t="str">
            <v>Anggota</v>
          </cell>
          <cell r="F142" t="str">
            <v xml:space="preserve"> KPB XIII</v>
          </cell>
        </row>
        <row r="143">
          <cell r="B143">
            <v>164</v>
          </cell>
          <cell r="C143" t="str">
            <v>SUKARNO</v>
          </cell>
          <cell r="D143" t="str">
            <v>PENGUMPAN RT 04/01</v>
          </cell>
          <cell r="E143" t="str">
            <v>Anggota</v>
          </cell>
          <cell r="F143" t="str">
            <v xml:space="preserve"> KPB XIII</v>
          </cell>
        </row>
        <row r="144">
          <cell r="B144">
            <v>165</v>
          </cell>
          <cell r="C144" t="str">
            <v>SANISWAN</v>
          </cell>
          <cell r="D144">
            <v>0</v>
          </cell>
          <cell r="E144" t="str">
            <v>Anggota</v>
          </cell>
          <cell r="F144" t="str">
            <v xml:space="preserve"> KPB XIII</v>
          </cell>
        </row>
        <row r="145">
          <cell r="B145">
            <v>166</v>
          </cell>
          <cell r="C145" t="str">
            <v>ROTO MULYO</v>
          </cell>
          <cell r="D145">
            <v>0</v>
          </cell>
          <cell r="E145" t="str">
            <v>Anggota</v>
          </cell>
          <cell r="F145" t="str">
            <v xml:space="preserve"> KPB XIII</v>
          </cell>
        </row>
      </sheetData>
      <sheetData sheetId="3">
        <row r="7">
          <cell r="A7">
            <v>1</v>
          </cell>
          <cell r="B7" t="str">
            <v>SUDIYONO</v>
          </cell>
          <cell r="C7" t="str">
            <v>L</v>
          </cell>
          <cell r="D7" t="str">
            <v>3305080101570012</v>
          </cell>
          <cell r="E7" t="str">
            <v>PEJATEN RT01/01</v>
          </cell>
          <cell r="F7" t="str">
            <v>SARWOGADUNG</v>
          </cell>
          <cell r="G7" t="str">
            <v>MIRIT</v>
          </cell>
          <cell r="H7">
            <v>7500000</v>
          </cell>
          <cell r="I7" t="str">
            <v xml:space="preserve"> MIRIT</v>
          </cell>
          <cell r="J7">
            <v>6726</v>
          </cell>
          <cell r="K7" t="str">
            <v>031/05/2014</v>
          </cell>
          <cell r="L7" t="str">
            <v>5 MEI 2014</v>
          </cell>
        </row>
        <row r="8">
          <cell r="A8">
            <v>2</v>
          </cell>
          <cell r="B8" t="str">
            <v>GANJIL SUPRIYANTO</v>
          </cell>
          <cell r="C8" t="str">
            <v>L</v>
          </cell>
          <cell r="D8" t="str">
            <v>3305081603750004</v>
          </cell>
          <cell r="E8" t="str">
            <v>PEJATEN RT01/01</v>
          </cell>
          <cell r="F8" t="str">
            <v>SARWOGADUNG</v>
          </cell>
          <cell r="G8" t="str">
            <v>MIRIT</v>
          </cell>
          <cell r="H8">
            <v>7500000</v>
          </cell>
          <cell r="I8" t="str">
            <v xml:space="preserve"> MIRIT</v>
          </cell>
          <cell r="J8">
            <v>6726</v>
          </cell>
          <cell r="K8" t="str">
            <v>031/05/2014</v>
          </cell>
          <cell r="L8" t="str">
            <v>5 MEI 2014</v>
          </cell>
        </row>
        <row r="9">
          <cell r="A9">
            <v>3</v>
          </cell>
          <cell r="B9" t="str">
            <v>PAIMAN</v>
          </cell>
          <cell r="C9" t="str">
            <v>L</v>
          </cell>
          <cell r="D9" t="str">
            <v>3305081011560002</v>
          </cell>
          <cell r="E9" t="str">
            <v>PEJATEN RT01/01</v>
          </cell>
          <cell r="F9" t="str">
            <v>SARWOGADUNG</v>
          </cell>
          <cell r="G9" t="str">
            <v>MIRIT</v>
          </cell>
          <cell r="H9">
            <v>7500000</v>
          </cell>
          <cell r="I9" t="str">
            <v xml:space="preserve"> MIRIT</v>
          </cell>
          <cell r="J9">
            <v>6726</v>
          </cell>
          <cell r="K9" t="str">
            <v>031/05/2014</v>
          </cell>
          <cell r="L9" t="str">
            <v>5 MEI 2014</v>
          </cell>
        </row>
        <row r="10">
          <cell r="A10">
            <v>4</v>
          </cell>
          <cell r="B10" t="str">
            <v>KASNO</v>
          </cell>
          <cell r="C10" t="str">
            <v>L</v>
          </cell>
          <cell r="D10" t="str">
            <v>3305080112590003</v>
          </cell>
          <cell r="E10" t="str">
            <v>PEJATEN RT01/01</v>
          </cell>
          <cell r="F10" t="str">
            <v>SARWOGADUNG</v>
          </cell>
          <cell r="G10" t="str">
            <v>MIRIT</v>
          </cell>
          <cell r="H10">
            <v>7500000</v>
          </cell>
          <cell r="I10" t="str">
            <v xml:space="preserve"> MIRIT</v>
          </cell>
          <cell r="J10">
            <v>6726</v>
          </cell>
          <cell r="K10" t="str">
            <v>031/05/2014</v>
          </cell>
          <cell r="L10" t="str">
            <v>5 MEI 2014</v>
          </cell>
        </row>
        <row r="11">
          <cell r="A11">
            <v>6</v>
          </cell>
          <cell r="B11" t="str">
            <v>PONIYAH</v>
          </cell>
          <cell r="C11" t="str">
            <v>P</v>
          </cell>
          <cell r="D11" t="str">
            <v>3305084909570001</v>
          </cell>
          <cell r="E11" t="str">
            <v>PEJATEN RT01/01</v>
          </cell>
          <cell r="F11" t="str">
            <v>SARWOGADUNG</v>
          </cell>
          <cell r="G11" t="str">
            <v>MIRIT</v>
          </cell>
          <cell r="H11">
            <v>7500000</v>
          </cell>
          <cell r="I11" t="str">
            <v xml:space="preserve"> MIRIT</v>
          </cell>
          <cell r="J11">
            <v>6726</v>
          </cell>
          <cell r="K11" t="str">
            <v>031/05/2014</v>
          </cell>
          <cell r="L11" t="str">
            <v>5 MEI 2014</v>
          </cell>
        </row>
        <row r="12">
          <cell r="A12">
            <v>7</v>
          </cell>
          <cell r="B12" t="str">
            <v>PONIJO</v>
          </cell>
          <cell r="C12" t="str">
            <v>L</v>
          </cell>
          <cell r="D12" t="str">
            <v>3305082608770001</v>
          </cell>
          <cell r="E12" t="str">
            <v>PEJATEN RT02/01</v>
          </cell>
          <cell r="F12" t="str">
            <v>SARWOGADUNG</v>
          </cell>
          <cell r="G12" t="str">
            <v>MIRIT</v>
          </cell>
          <cell r="H12">
            <v>7500000</v>
          </cell>
          <cell r="I12" t="str">
            <v xml:space="preserve"> MIRIT</v>
          </cell>
          <cell r="J12">
            <v>6726</v>
          </cell>
          <cell r="K12" t="str">
            <v>031/05/2014</v>
          </cell>
          <cell r="L12" t="str">
            <v>5 MEI 2014</v>
          </cell>
        </row>
        <row r="13">
          <cell r="A13">
            <v>8</v>
          </cell>
          <cell r="B13" t="str">
            <v>AMAD KASDI</v>
          </cell>
          <cell r="C13" t="str">
            <v>L</v>
          </cell>
          <cell r="D13" t="str">
            <v>3305081207450001</v>
          </cell>
          <cell r="E13" t="str">
            <v>PEJATEN RT02/01</v>
          </cell>
          <cell r="F13" t="str">
            <v>SARWOGADUNG</v>
          </cell>
          <cell r="G13" t="str">
            <v>MIRIT</v>
          </cell>
          <cell r="H13">
            <v>7500000</v>
          </cell>
          <cell r="I13" t="str">
            <v xml:space="preserve"> MIRIT</v>
          </cell>
          <cell r="J13">
            <v>6726</v>
          </cell>
          <cell r="K13" t="str">
            <v>031/05/2014</v>
          </cell>
          <cell r="L13" t="str">
            <v>5 MEI 2014</v>
          </cell>
        </row>
        <row r="14">
          <cell r="A14">
            <v>9</v>
          </cell>
          <cell r="B14" t="str">
            <v>SELAMAT</v>
          </cell>
          <cell r="C14" t="str">
            <v>L</v>
          </cell>
          <cell r="D14" t="str">
            <v>3305081310800002</v>
          </cell>
          <cell r="E14" t="str">
            <v>PEJATEN RT02/01</v>
          </cell>
          <cell r="F14" t="str">
            <v>SARWOGADUNG</v>
          </cell>
          <cell r="G14" t="str">
            <v>MIRIT</v>
          </cell>
          <cell r="H14">
            <v>7500000</v>
          </cell>
          <cell r="I14" t="str">
            <v xml:space="preserve"> MIRIT</v>
          </cell>
          <cell r="J14">
            <v>6726</v>
          </cell>
          <cell r="K14" t="str">
            <v>031/05/2014</v>
          </cell>
          <cell r="L14" t="str">
            <v>5 MEI 2014</v>
          </cell>
        </row>
        <row r="15">
          <cell r="A15">
            <v>11</v>
          </cell>
          <cell r="B15" t="str">
            <v>COKRO SEMITO</v>
          </cell>
          <cell r="C15" t="str">
            <v>L</v>
          </cell>
          <cell r="D15" t="str">
            <v>3305081602420002</v>
          </cell>
          <cell r="E15" t="str">
            <v>PEJATEN RT02/01</v>
          </cell>
          <cell r="F15" t="str">
            <v>SARWOGADUNG</v>
          </cell>
          <cell r="G15" t="str">
            <v>MIRIT</v>
          </cell>
          <cell r="H15">
            <v>7500000</v>
          </cell>
          <cell r="I15" t="str">
            <v xml:space="preserve"> MIRIT</v>
          </cell>
          <cell r="J15">
            <v>6726</v>
          </cell>
          <cell r="K15" t="str">
            <v>031/05/2014</v>
          </cell>
          <cell r="L15" t="str">
            <v>5 MEI 2014</v>
          </cell>
        </row>
        <row r="16">
          <cell r="A16">
            <v>12</v>
          </cell>
          <cell r="B16" t="str">
            <v>SAMIKEM</v>
          </cell>
          <cell r="C16" t="str">
            <v>P</v>
          </cell>
          <cell r="D16" t="str">
            <v>3305084101390003</v>
          </cell>
          <cell r="E16" t="str">
            <v>PEJATEN RT01/01</v>
          </cell>
          <cell r="F16" t="str">
            <v>SARWOGADUNG</v>
          </cell>
          <cell r="G16" t="str">
            <v>MIRIT</v>
          </cell>
          <cell r="H16">
            <v>7500000</v>
          </cell>
          <cell r="I16" t="str">
            <v xml:space="preserve"> MIRIT</v>
          </cell>
          <cell r="J16">
            <v>6726</v>
          </cell>
          <cell r="K16" t="str">
            <v>031/05/2014</v>
          </cell>
          <cell r="L16" t="str">
            <v>5 MEI 2014</v>
          </cell>
        </row>
        <row r="17">
          <cell r="A17">
            <v>14</v>
          </cell>
          <cell r="B17" t="str">
            <v>BERO</v>
          </cell>
          <cell r="C17" t="str">
            <v>P</v>
          </cell>
          <cell r="D17" t="str">
            <v>3305084412370001</v>
          </cell>
          <cell r="E17" t="str">
            <v>PEJATEN RT02/01</v>
          </cell>
          <cell r="F17" t="str">
            <v>SARWOGADUNG</v>
          </cell>
          <cell r="G17" t="str">
            <v>MIRIT</v>
          </cell>
          <cell r="H17">
            <v>7500000</v>
          </cell>
          <cell r="I17" t="str">
            <v xml:space="preserve"> MIRIT</v>
          </cell>
          <cell r="J17">
            <v>6726</v>
          </cell>
          <cell r="K17" t="str">
            <v>031/05/2014</v>
          </cell>
          <cell r="L17" t="str">
            <v>5 MEI 2014</v>
          </cell>
        </row>
        <row r="18">
          <cell r="A18">
            <v>15</v>
          </cell>
          <cell r="B18" t="str">
            <v>MOHAMMAD ZAENUDIN</v>
          </cell>
          <cell r="C18" t="str">
            <v>L</v>
          </cell>
          <cell r="D18" t="str">
            <v>3305081111520001</v>
          </cell>
          <cell r="E18" t="str">
            <v>PENGAMPON RT 03/01</v>
          </cell>
          <cell r="F18" t="str">
            <v>SARWOGADUNG</v>
          </cell>
          <cell r="G18" t="str">
            <v>MIRIT</v>
          </cell>
          <cell r="H18">
            <v>7500000</v>
          </cell>
          <cell r="I18" t="str">
            <v xml:space="preserve"> MIRIT</v>
          </cell>
          <cell r="J18">
            <v>6726</v>
          </cell>
          <cell r="K18" t="str">
            <v>031/05/2014</v>
          </cell>
          <cell r="L18" t="str">
            <v>5 MEI 2014</v>
          </cell>
        </row>
        <row r="19">
          <cell r="A19">
            <v>16</v>
          </cell>
          <cell r="B19" t="str">
            <v>BASROWI</v>
          </cell>
          <cell r="C19" t="str">
            <v>L</v>
          </cell>
          <cell r="D19" t="str">
            <v>3305083112510002</v>
          </cell>
          <cell r="E19" t="str">
            <v>PENGAMPON RT 03/01</v>
          </cell>
          <cell r="F19" t="str">
            <v>SARWOGADUNG</v>
          </cell>
          <cell r="G19" t="str">
            <v>MIRIT</v>
          </cell>
          <cell r="H19">
            <v>7500000</v>
          </cell>
          <cell r="I19" t="str">
            <v xml:space="preserve"> MIRIT</v>
          </cell>
          <cell r="J19">
            <v>6726</v>
          </cell>
          <cell r="K19" t="str">
            <v>031/05/2014</v>
          </cell>
          <cell r="L19" t="str">
            <v>5 MEI 2014</v>
          </cell>
        </row>
        <row r="20">
          <cell r="A20">
            <v>17</v>
          </cell>
          <cell r="B20" t="str">
            <v>WIRYO SUMARTO</v>
          </cell>
          <cell r="C20" t="str">
            <v>L</v>
          </cell>
          <cell r="D20" t="str">
            <v>3305080607500001</v>
          </cell>
          <cell r="E20" t="str">
            <v>PENGAMPON RT 03/01</v>
          </cell>
          <cell r="F20" t="str">
            <v>SARWOGADUNG</v>
          </cell>
          <cell r="G20" t="str">
            <v>MIRIT</v>
          </cell>
          <cell r="H20">
            <v>7500000</v>
          </cell>
          <cell r="I20" t="str">
            <v xml:space="preserve"> MIRIT</v>
          </cell>
          <cell r="J20">
            <v>6726</v>
          </cell>
          <cell r="K20" t="str">
            <v>031/05/2014</v>
          </cell>
          <cell r="L20" t="str">
            <v>5 MEI 2014</v>
          </cell>
        </row>
        <row r="21">
          <cell r="A21">
            <v>18</v>
          </cell>
          <cell r="B21" t="str">
            <v>PANUT</v>
          </cell>
          <cell r="C21" t="str">
            <v>L</v>
          </cell>
          <cell r="D21" t="str">
            <v>3305080403520002</v>
          </cell>
          <cell r="E21" t="str">
            <v>PENGAMPON RT 03/01</v>
          </cell>
          <cell r="F21" t="str">
            <v>SARWOGADUNG</v>
          </cell>
          <cell r="G21" t="str">
            <v>MIRIT</v>
          </cell>
          <cell r="H21">
            <v>7500000</v>
          </cell>
          <cell r="I21" t="str">
            <v xml:space="preserve"> MIRIT</v>
          </cell>
          <cell r="J21">
            <v>6726</v>
          </cell>
          <cell r="K21" t="str">
            <v>031/05/2014</v>
          </cell>
          <cell r="L21" t="str">
            <v>5 MEI 2014</v>
          </cell>
        </row>
        <row r="22">
          <cell r="A22">
            <v>19</v>
          </cell>
          <cell r="B22" t="str">
            <v>BUDIONO</v>
          </cell>
          <cell r="C22" t="str">
            <v>L</v>
          </cell>
          <cell r="D22" t="str">
            <v>3305082903780001</v>
          </cell>
          <cell r="E22" t="str">
            <v>PENGAMPON RT 03/01</v>
          </cell>
          <cell r="F22" t="str">
            <v>SARWOGADUNG</v>
          </cell>
          <cell r="G22" t="str">
            <v>MIRIT</v>
          </cell>
          <cell r="H22">
            <v>7500000</v>
          </cell>
          <cell r="I22" t="str">
            <v xml:space="preserve"> MIRIT</v>
          </cell>
          <cell r="J22">
            <v>6726</v>
          </cell>
          <cell r="K22" t="str">
            <v>031/05/2014</v>
          </cell>
          <cell r="L22" t="str">
            <v>5 MEI 2014</v>
          </cell>
        </row>
        <row r="23">
          <cell r="A23">
            <v>20</v>
          </cell>
          <cell r="B23" t="str">
            <v>SUYATNO</v>
          </cell>
          <cell r="C23" t="str">
            <v>L</v>
          </cell>
          <cell r="D23" t="str">
            <v>3305081911620001</v>
          </cell>
          <cell r="E23" t="str">
            <v>PENGAMPON RT 03/01</v>
          </cell>
          <cell r="F23" t="str">
            <v>SARWOGADUNG</v>
          </cell>
          <cell r="G23" t="str">
            <v>MIRIT</v>
          </cell>
          <cell r="H23">
            <v>7500000</v>
          </cell>
          <cell r="I23" t="str">
            <v xml:space="preserve"> MIRIT</v>
          </cell>
          <cell r="J23">
            <v>6726</v>
          </cell>
          <cell r="K23" t="str">
            <v>031/05/2014</v>
          </cell>
          <cell r="L23" t="str">
            <v>5 MEI 2014</v>
          </cell>
        </row>
        <row r="24">
          <cell r="A24">
            <v>21</v>
          </cell>
          <cell r="B24" t="str">
            <v xml:space="preserve">PARTO MULYO </v>
          </cell>
          <cell r="C24" t="str">
            <v>L</v>
          </cell>
          <cell r="D24" t="str">
            <v>3305081310500001</v>
          </cell>
          <cell r="E24" t="str">
            <v>PENGAMPON RT 03/01</v>
          </cell>
          <cell r="F24" t="str">
            <v>SARWOGADUNG</v>
          </cell>
          <cell r="G24" t="str">
            <v>MIRIT</v>
          </cell>
          <cell r="H24">
            <v>7500000</v>
          </cell>
          <cell r="I24" t="str">
            <v xml:space="preserve"> MIRIT</v>
          </cell>
          <cell r="J24">
            <v>6726</v>
          </cell>
          <cell r="K24" t="str">
            <v>031/05/2014</v>
          </cell>
          <cell r="L24" t="str">
            <v>5 MEI 2014</v>
          </cell>
        </row>
        <row r="25">
          <cell r="A25">
            <v>22</v>
          </cell>
          <cell r="B25" t="str">
            <v>SUKIRMAN</v>
          </cell>
          <cell r="C25" t="str">
            <v>L</v>
          </cell>
          <cell r="D25" t="str">
            <v>3305082109700001</v>
          </cell>
          <cell r="E25" t="str">
            <v>PENGAMPON RT 04/01</v>
          </cell>
          <cell r="F25" t="str">
            <v>SARWOGADUNG</v>
          </cell>
          <cell r="G25" t="str">
            <v>MIRIT</v>
          </cell>
          <cell r="H25">
            <v>7500000</v>
          </cell>
          <cell r="I25" t="str">
            <v xml:space="preserve"> MIRIT</v>
          </cell>
          <cell r="J25">
            <v>6726</v>
          </cell>
          <cell r="K25" t="str">
            <v>031/05/2014</v>
          </cell>
          <cell r="L25" t="str">
            <v>5 MEI 2014</v>
          </cell>
        </row>
        <row r="26">
          <cell r="A26">
            <v>23</v>
          </cell>
          <cell r="B26" t="str">
            <v>SURAJI</v>
          </cell>
          <cell r="C26" t="str">
            <v>L</v>
          </cell>
          <cell r="D26" t="str">
            <v>3305080101500002</v>
          </cell>
          <cell r="E26" t="str">
            <v>PENGAMPON RT 04/01</v>
          </cell>
          <cell r="F26" t="str">
            <v>SARWOGADUNG</v>
          </cell>
          <cell r="G26" t="str">
            <v>MIRIT</v>
          </cell>
          <cell r="H26">
            <v>7500000</v>
          </cell>
          <cell r="I26" t="str">
            <v xml:space="preserve"> MIRIT</v>
          </cell>
          <cell r="J26">
            <v>6726</v>
          </cell>
          <cell r="K26" t="str">
            <v>031/05/2014</v>
          </cell>
          <cell r="L26" t="str">
            <v>5 MEI 2014</v>
          </cell>
        </row>
        <row r="27">
          <cell r="A27">
            <v>24</v>
          </cell>
          <cell r="B27" t="str">
            <v>AHMAD DAROJI</v>
          </cell>
          <cell r="C27" t="str">
            <v>L</v>
          </cell>
          <cell r="D27" t="str">
            <v>3305083112520002</v>
          </cell>
          <cell r="E27" t="str">
            <v>PENGAMPON RT 04/01</v>
          </cell>
          <cell r="F27" t="str">
            <v>SARWOGADUNG</v>
          </cell>
          <cell r="G27" t="str">
            <v>MIRIT</v>
          </cell>
          <cell r="H27">
            <v>7500000</v>
          </cell>
          <cell r="I27" t="str">
            <v xml:space="preserve"> MIRIT</v>
          </cell>
          <cell r="J27">
            <v>6726</v>
          </cell>
          <cell r="K27" t="str">
            <v>031/05/2014</v>
          </cell>
          <cell r="L27" t="str">
            <v>5 MEI 2014</v>
          </cell>
        </row>
        <row r="28">
          <cell r="A28">
            <v>25</v>
          </cell>
          <cell r="B28" t="str">
            <v>YUSUP</v>
          </cell>
          <cell r="C28" t="str">
            <v>L</v>
          </cell>
          <cell r="D28" t="str">
            <v>3305080901650002</v>
          </cell>
          <cell r="E28" t="str">
            <v>PENGAMPON RT 04/01</v>
          </cell>
          <cell r="F28" t="str">
            <v>SARWOGADUNG</v>
          </cell>
          <cell r="G28" t="str">
            <v>MIRIT</v>
          </cell>
          <cell r="H28">
            <v>7500000</v>
          </cell>
          <cell r="I28" t="str">
            <v xml:space="preserve"> MIRIT</v>
          </cell>
          <cell r="J28">
            <v>6726</v>
          </cell>
          <cell r="K28" t="str">
            <v>031/05/2014</v>
          </cell>
          <cell r="L28" t="str">
            <v>5 MEI 2014</v>
          </cell>
        </row>
        <row r="29">
          <cell r="A29">
            <v>26</v>
          </cell>
          <cell r="B29" t="str">
            <v>NUR KHAYAT</v>
          </cell>
          <cell r="C29" t="str">
            <v>L</v>
          </cell>
          <cell r="D29" t="str">
            <v>3305081607850003</v>
          </cell>
          <cell r="E29" t="str">
            <v>PENGAMPON RT 04/01</v>
          </cell>
          <cell r="F29" t="str">
            <v>SARWOGADUNG</v>
          </cell>
          <cell r="G29" t="str">
            <v>MIRIT</v>
          </cell>
          <cell r="H29">
            <v>7500000</v>
          </cell>
          <cell r="I29" t="str">
            <v xml:space="preserve"> MIRIT</v>
          </cell>
          <cell r="J29">
            <v>6726</v>
          </cell>
          <cell r="K29" t="str">
            <v>031/05/2014</v>
          </cell>
          <cell r="L29" t="str">
            <v>5 MEI 2014</v>
          </cell>
        </row>
        <row r="30">
          <cell r="A30">
            <v>27</v>
          </cell>
          <cell r="B30" t="str">
            <v>UNTUNG</v>
          </cell>
          <cell r="C30" t="str">
            <v>L</v>
          </cell>
          <cell r="D30" t="str">
            <v>3305081504880005</v>
          </cell>
          <cell r="E30" t="str">
            <v>JURU TENGAH RT 02/02</v>
          </cell>
          <cell r="F30" t="str">
            <v>SARWOGADUNG</v>
          </cell>
          <cell r="G30" t="str">
            <v>MIRIT</v>
          </cell>
          <cell r="H30">
            <v>7500000</v>
          </cell>
          <cell r="I30" t="str">
            <v xml:space="preserve"> MIRIT</v>
          </cell>
          <cell r="J30">
            <v>6726</v>
          </cell>
          <cell r="K30" t="str">
            <v>031/05/2014</v>
          </cell>
          <cell r="L30" t="str">
            <v>5 MEI 2014</v>
          </cell>
        </row>
        <row r="31">
          <cell r="A31">
            <v>28</v>
          </cell>
          <cell r="B31" t="str">
            <v>MUDIYONO</v>
          </cell>
          <cell r="C31" t="str">
            <v>L</v>
          </cell>
          <cell r="D31" t="str">
            <v>3305081901810001</v>
          </cell>
          <cell r="E31" t="str">
            <v>JURU TENGAH RT 02/02</v>
          </cell>
          <cell r="F31" t="str">
            <v>SARWOGADUNG</v>
          </cell>
          <cell r="G31" t="str">
            <v>MIRIT</v>
          </cell>
          <cell r="H31">
            <v>7500000</v>
          </cell>
          <cell r="I31" t="str">
            <v xml:space="preserve"> MIRIT</v>
          </cell>
          <cell r="J31">
            <v>6726</v>
          </cell>
          <cell r="K31" t="str">
            <v>031/05/2014</v>
          </cell>
          <cell r="L31" t="str">
            <v>5 MEI 2014</v>
          </cell>
        </row>
        <row r="32">
          <cell r="A32">
            <v>29</v>
          </cell>
          <cell r="B32" t="str">
            <v>AMAD ROSIDIN</v>
          </cell>
          <cell r="C32" t="str">
            <v>L</v>
          </cell>
          <cell r="D32" t="str">
            <v>3305080107350055</v>
          </cell>
          <cell r="E32" t="str">
            <v>JURU TENGAH RT 02/02</v>
          </cell>
          <cell r="F32" t="str">
            <v>SARWOGADUNG</v>
          </cell>
          <cell r="G32" t="str">
            <v>MIRIT</v>
          </cell>
          <cell r="H32">
            <v>7500000</v>
          </cell>
          <cell r="I32" t="str">
            <v xml:space="preserve"> MIRIT</v>
          </cell>
          <cell r="J32">
            <v>6726</v>
          </cell>
          <cell r="K32" t="str">
            <v>031/05/2014</v>
          </cell>
          <cell r="L32" t="str">
            <v>5 MEI 2014</v>
          </cell>
        </row>
        <row r="33">
          <cell r="A33">
            <v>31</v>
          </cell>
          <cell r="B33" t="str">
            <v>EDI HARSONO</v>
          </cell>
          <cell r="C33" t="str">
            <v>L</v>
          </cell>
          <cell r="D33" t="str">
            <v>3305080810690001</v>
          </cell>
          <cell r="E33" t="str">
            <v>JURU TENGAH RT 02/02</v>
          </cell>
          <cell r="F33" t="str">
            <v>SARWOGADUNG</v>
          </cell>
          <cell r="G33" t="str">
            <v>MIRIT</v>
          </cell>
          <cell r="H33">
            <v>7500000</v>
          </cell>
          <cell r="I33" t="str">
            <v xml:space="preserve"> MIRIT</v>
          </cell>
          <cell r="J33">
            <v>6726</v>
          </cell>
          <cell r="K33" t="str">
            <v>031/05/2014</v>
          </cell>
          <cell r="L33" t="str">
            <v>5 MEI 2014</v>
          </cell>
        </row>
        <row r="34">
          <cell r="A34">
            <v>32</v>
          </cell>
          <cell r="B34" t="str">
            <v>SUTINAH</v>
          </cell>
          <cell r="C34" t="str">
            <v>P</v>
          </cell>
          <cell r="D34" t="str">
            <v>3305084107460024</v>
          </cell>
          <cell r="E34" t="str">
            <v>JURU TENGAH RT 02/02</v>
          </cell>
          <cell r="F34" t="str">
            <v>SARWOGADUNG</v>
          </cell>
          <cell r="G34" t="str">
            <v>MIRIT</v>
          </cell>
          <cell r="H34">
            <v>7500000</v>
          </cell>
          <cell r="I34" t="str">
            <v xml:space="preserve"> MIRIT</v>
          </cell>
          <cell r="J34">
            <v>6726</v>
          </cell>
          <cell r="K34" t="str">
            <v>031/05/2014</v>
          </cell>
          <cell r="L34" t="str">
            <v>5 MEI 2014</v>
          </cell>
        </row>
        <row r="35">
          <cell r="A35">
            <v>34</v>
          </cell>
          <cell r="B35" t="str">
            <v>SUPARDAN</v>
          </cell>
          <cell r="C35" t="str">
            <v>L</v>
          </cell>
          <cell r="D35" t="str">
            <v>3305080307600002</v>
          </cell>
          <cell r="E35" t="str">
            <v>JURU TENGAH RT 01/02</v>
          </cell>
          <cell r="F35" t="str">
            <v>SARWOGADUNG</v>
          </cell>
          <cell r="G35" t="str">
            <v>MIRIT</v>
          </cell>
          <cell r="H35">
            <v>7500000</v>
          </cell>
          <cell r="I35" t="str">
            <v xml:space="preserve"> MIRIT</v>
          </cell>
          <cell r="J35">
            <v>6726</v>
          </cell>
          <cell r="K35" t="str">
            <v>031/05/2014</v>
          </cell>
          <cell r="L35" t="str">
            <v>5 MEI 2014</v>
          </cell>
        </row>
        <row r="36">
          <cell r="A36">
            <v>35</v>
          </cell>
          <cell r="B36" t="str">
            <v>WAGIYAH</v>
          </cell>
          <cell r="C36" t="str">
            <v>P</v>
          </cell>
          <cell r="D36" t="str">
            <v>3305085509720001</v>
          </cell>
          <cell r="E36" t="str">
            <v>JURU TENGAH RT 01/02</v>
          </cell>
          <cell r="F36" t="str">
            <v>SARWOGADUNG</v>
          </cell>
          <cell r="G36" t="str">
            <v>MIRIT</v>
          </cell>
          <cell r="H36">
            <v>7500000</v>
          </cell>
          <cell r="I36" t="str">
            <v xml:space="preserve"> MIRIT</v>
          </cell>
          <cell r="J36">
            <v>6726</v>
          </cell>
          <cell r="K36" t="str">
            <v>031/05/2014</v>
          </cell>
          <cell r="L36" t="str">
            <v>5 MEI 2014</v>
          </cell>
        </row>
        <row r="37">
          <cell r="A37">
            <v>36</v>
          </cell>
          <cell r="B37" t="str">
            <v>PONIMAN</v>
          </cell>
          <cell r="C37" t="str">
            <v>L</v>
          </cell>
          <cell r="D37" t="str">
            <v>3305081212580002</v>
          </cell>
          <cell r="E37" t="str">
            <v>JURU TENGAH RT 01/02</v>
          </cell>
          <cell r="F37" t="str">
            <v>SARWOGADUNG</v>
          </cell>
          <cell r="G37" t="str">
            <v>MIRIT</v>
          </cell>
          <cell r="H37">
            <v>7500000</v>
          </cell>
          <cell r="I37" t="str">
            <v xml:space="preserve"> MIRIT</v>
          </cell>
          <cell r="J37">
            <v>6726</v>
          </cell>
          <cell r="K37" t="str">
            <v>031/05/2014</v>
          </cell>
          <cell r="L37" t="str">
            <v>5 MEI 2014</v>
          </cell>
        </row>
        <row r="38">
          <cell r="A38">
            <v>37</v>
          </cell>
          <cell r="B38" t="str">
            <v>PAINTEN</v>
          </cell>
          <cell r="C38" t="str">
            <v>L</v>
          </cell>
          <cell r="D38" t="str">
            <v>3305086411570001</v>
          </cell>
          <cell r="E38" t="str">
            <v>JURU TENGAH RT 01/02</v>
          </cell>
          <cell r="F38" t="str">
            <v>SARWOGADUNG</v>
          </cell>
          <cell r="G38" t="str">
            <v>MIRIT</v>
          </cell>
          <cell r="H38">
            <v>7500000</v>
          </cell>
          <cell r="I38" t="str">
            <v xml:space="preserve"> MIRIT</v>
          </cell>
          <cell r="J38">
            <v>6726</v>
          </cell>
          <cell r="K38" t="str">
            <v>031/05/2014</v>
          </cell>
          <cell r="L38" t="str">
            <v>5 MEI 2014</v>
          </cell>
        </row>
        <row r="39">
          <cell r="A39">
            <v>38</v>
          </cell>
          <cell r="B39" t="str">
            <v>MULYO ATMO</v>
          </cell>
          <cell r="C39" t="str">
            <v>P</v>
          </cell>
          <cell r="D39" t="str">
            <v>3305081209390002</v>
          </cell>
          <cell r="E39" t="str">
            <v>JURU TENGAH RT 01/02</v>
          </cell>
          <cell r="F39" t="str">
            <v>SARWOGADUNG</v>
          </cell>
          <cell r="G39" t="str">
            <v>MIRIT</v>
          </cell>
          <cell r="H39">
            <v>7500000</v>
          </cell>
          <cell r="I39" t="str">
            <v xml:space="preserve"> MIRIT</v>
          </cell>
          <cell r="J39">
            <v>6726</v>
          </cell>
          <cell r="K39" t="str">
            <v>031/05/2014</v>
          </cell>
          <cell r="L39" t="str">
            <v>5 MEI 2014</v>
          </cell>
        </row>
        <row r="40">
          <cell r="A40">
            <v>39</v>
          </cell>
          <cell r="B40" t="str">
            <v>RODLIYAH</v>
          </cell>
          <cell r="C40" t="str">
            <v>P</v>
          </cell>
          <cell r="D40" t="str">
            <v>3305085408710001</v>
          </cell>
          <cell r="E40" t="str">
            <v>JURU TENGAH RT 02/02</v>
          </cell>
          <cell r="F40" t="str">
            <v>SARWOGADUNG</v>
          </cell>
          <cell r="G40" t="str">
            <v>MIRIT</v>
          </cell>
          <cell r="H40">
            <v>7500000</v>
          </cell>
          <cell r="I40" t="str">
            <v xml:space="preserve"> MIRIT</v>
          </cell>
          <cell r="J40">
            <v>6726</v>
          </cell>
          <cell r="K40" t="str">
            <v>031/05/2014</v>
          </cell>
          <cell r="L40" t="str">
            <v>5 MEI 2014</v>
          </cell>
        </row>
        <row r="41">
          <cell r="A41">
            <v>40</v>
          </cell>
          <cell r="B41" t="str">
            <v>SUGIYANTO</v>
          </cell>
          <cell r="C41" t="str">
            <v>L</v>
          </cell>
          <cell r="D41" t="str">
            <v>3305080604600002</v>
          </cell>
          <cell r="E41" t="str">
            <v>JURU TENGAH RT 01/02</v>
          </cell>
          <cell r="F41" t="str">
            <v>SARWOGADUNG</v>
          </cell>
          <cell r="G41" t="str">
            <v>MIRIT</v>
          </cell>
          <cell r="H41">
            <v>7500000</v>
          </cell>
          <cell r="I41" t="str">
            <v xml:space="preserve"> MIRIT</v>
          </cell>
          <cell r="J41">
            <v>6726</v>
          </cell>
          <cell r="K41" t="str">
            <v>031/05/2014</v>
          </cell>
          <cell r="L41" t="str">
            <v>5 MEI 2014</v>
          </cell>
        </row>
        <row r="42">
          <cell r="A42">
            <v>41</v>
          </cell>
          <cell r="B42" t="str">
            <v>SURYANTO</v>
          </cell>
          <cell r="C42" t="str">
            <v>L</v>
          </cell>
          <cell r="D42" t="str">
            <v>3305080808840007</v>
          </cell>
          <cell r="E42" t="str">
            <v>JURU TENGAH RT 02/02</v>
          </cell>
          <cell r="F42" t="str">
            <v>SARWOGADUNG</v>
          </cell>
          <cell r="G42" t="str">
            <v>MIRIT</v>
          </cell>
          <cell r="H42">
            <v>7500000</v>
          </cell>
          <cell r="I42" t="str">
            <v xml:space="preserve"> MIRIT</v>
          </cell>
          <cell r="J42">
            <v>6726</v>
          </cell>
          <cell r="K42" t="str">
            <v>031/05/2014</v>
          </cell>
          <cell r="L42" t="str">
            <v>5 MEI 2014</v>
          </cell>
        </row>
        <row r="43">
          <cell r="A43">
            <v>42</v>
          </cell>
          <cell r="B43" t="str">
            <v>KARSINI</v>
          </cell>
          <cell r="C43" t="str">
            <v>P</v>
          </cell>
          <cell r="D43" t="str">
            <v>3305085002530002</v>
          </cell>
          <cell r="E43" t="str">
            <v>JURU TENGAH RT 02/02</v>
          </cell>
          <cell r="F43" t="str">
            <v>SARWOGADUNG</v>
          </cell>
          <cell r="G43" t="str">
            <v>MIRIT</v>
          </cell>
          <cell r="H43">
            <v>7500000</v>
          </cell>
          <cell r="I43" t="str">
            <v xml:space="preserve"> MIRIT</v>
          </cell>
          <cell r="J43">
            <v>6726</v>
          </cell>
          <cell r="K43" t="str">
            <v>031/05/2014</v>
          </cell>
          <cell r="L43" t="str">
            <v>5 MEI 2014</v>
          </cell>
        </row>
        <row r="44">
          <cell r="A44">
            <v>43</v>
          </cell>
          <cell r="B44" t="str">
            <v>KROMOYADI</v>
          </cell>
          <cell r="C44" t="str">
            <v>L</v>
          </cell>
          <cell r="D44" t="str">
            <v>3305083112460001</v>
          </cell>
          <cell r="E44" t="str">
            <v>JURU TENGAH RT 01/02</v>
          </cell>
          <cell r="F44" t="str">
            <v>SARWOGADUNG</v>
          </cell>
          <cell r="G44" t="str">
            <v>MIRIT</v>
          </cell>
          <cell r="H44">
            <v>7500000</v>
          </cell>
          <cell r="I44" t="str">
            <v xml:space="preserve"> MIRIT</v>
          </cell>
          <cell r="J44">
            <v>6726</v>
          </cell>
          <cell r="K44" t="str">
            <v>031/05/2014</v>
          </cell>
          <cell r="L44" t="str">
            <v>5 MEI 2014</v>
          </cell>
        </row>
        <row r="45">
          <cell r="A45">
            <v>44</v>
          </cell>
          <cell r="B45" t="str">
            <v>MARMIYAH</v>
          </cell>
          <cell r="C45" t="str">
            <v>P</v>
          </cell>
          <cell r="D45" t="str">
            <v>3305085505680002</v>
          </cell>
          <cell r="E45" t="str">
            <v>JURU TENGAH RT 01/02</v>
          </cell>
          <cell r="F45" t="str">
            <v>SARWOGADUNG</v>
          </cell>
          <cell r="G45" t="str">
            <v>MIRIT</v>
          </cell>
          <cell r="H45">
            <v>7500000</v>
          </cell>
          <cell r="I45" t="str">
            <v xml:space="preserve"> MIRIT</v>
          </cell>
          <cell r="J45">
            <v>6726</v>
          </cell>
          <cell r="K45" t="str">
            <v>031/05/2014</v>
          </cell>
          <cell r="L45" t="str">
            <v>5 MEI 2014</v>
          </cell>
        </row>
        <row r="46">
          <cell r="A46">
            <v>45</v>
          </cell>
          <cell r="B46" t="str">
            <v>SITI SALAMAH</v>
          </cell>
          <cell r="C46" t="str">
            <v>P</v>
          </cell>
          <cell r="D46" t="str">
            <v>3305084204430001</v>
          </cell>
          <cell r="E46" t="str">
            <v>JURU TENGAH RT 01/02</v>
          </cell>
          <cell r="F46" t="str">
            <v>SARWOGADUNG</v>
          </cell>
          <cell r="G46" t="str">
            <v>MIRIT</v>
          </cell>
          <cell r="H46">
            <v>7500000</v>
          </cell>
          <cell r="I46" t="str">
            <v xml:space="preserve"> MIRIT</v>
          </cell>
          <cell r="J46">
            <v>6726</v>
          </cell>
          <cell r="K46" t="str">
            <v>031/05/2014</v>
          </cell>
          <cell r="L46" t="str">
            <v>5 MEI 2014</v>
          </cell>
        </row>
        <row r="47">
          <cell r="A47">
            <v>48</v>
          </cell>
          <cell r="B47" t="str">
            <v>AHMAD ASMUNGI</v>
          </cell>
          <cell r="C47" t="str">
            <v>L</v>
          </cell>
          <cell r="D47" t="str">
            <v>3305083112370002</v>
          </cell>
          <cell r="E47" t="str">
            <v>JURU TENGAH RT 02/02</v>
          </cell>
          <cell r="F47" t="str">
            <v>SARWOGADUNG</v>
          </cell>
          <cell r="G47" t="str">
            <v>MIRIT</v>
          </cell>
          <cell r="H47">
            <v>7500000</v>
          </cell>
          <cell r="I47" t="str">
            <v xml:space="preserve"> MIRIT</v>
          </cell>
          <cell r="J47">
            <v>6726</v>
          </cell>
          <cell r="K47" t="str">
            <v>031/05/2014</v>
          </cell>
          <cell r="L47" t="str">
            <v>5 MEI 2014</v>
          </cell>
        </row>
        <row r="48">
          <cell r="A48">
            <v>50</v>
          </cell>
          <cell r="B48" t="str">
            <v>SARIJO</v>
          </cell>
          <cell r="C48" t="str">
            <v>L</v>
          </cell>
          <cell r="D48" t="str">
            <v>3305081203690002</v>
          </cell>
          <cell r="E48" t="str">
            <v>PELUTAN RT 03/02</v>
          </cell>
          <cell r="F48" t="str">
            <v>SARWOGADUNG</v>
          </cell>
          <cell r="G48" t="str">
            <v>MIRIT</v>
          </cell>
          <cell r="H48">
            <v>7500000</v>
          </cell>
          <cell r="I48" t="str">
            <v xml:space="preserve"> MIRIT</v>
          </cell>
          <cell r="J48">
            <v>6726</v>
          </cell>
          <cell r="K48" t="str">
            <v>031/05/2014</v>
          </cell>
          <cell r="L48" t="str">
            <v>5 MEI 2014</v>
          </cell>
        </row>
        <row r="49">
          <cell r="A49">
            <v>51</v>
          </cell>
          <cell r="B49" t="str">
            <v>SUKONO</v>
          </cell>
          <cell r="C49" t="str">
            <v>L</v>
          </cell>
          <cell r="D49" t="str">
            <v>3305081205650003</v>
          </cell>
          <cell r="E49" t="str">
            <v>PELUTAN RT 03/02</v>
          </cell>
          <cell r="F49" t="str">
            <v>SARWOGADUNG</v>
          </cell>
          <cell r="G49" t="str">
            <v>MIRIT</v>
          </cell>
          <cell r="H49">
            <v>7500000</v>
          </cell>
          <cell r="I49" t="str">
            <v xml:space="preserve"> MIRIT</v>
          </cell>
          <cell r="J49">
            <v>6726</v>
          </cell>
          <cell r="K49" t="str">
            <v>031/05/2014</v>
          </cell>
          <cell r="L49" t="str">
            <v>5 MEI 2014</v>
          </cell>
        </row>
        <row r="50">
          <cell r="A50">
            <v>53</v>
          </cell>
          <cell r="B50" t="str">
            <v>SUWARDI</v>
          </cell>
          <cell r="C50" t="str">
            <v>L</v>
          </cell>
          <cell r="D50" t="str">
            <v>3305081708750003</v>
          </cell>
          <cell r="E50" t="str">
            <v>PELUTAN RT 03/02</v>
          </cell>
          <cell r="F50" t="str">
            <v>SARWOGADUNG</v>
          </cell>
          <cell r="G50" t="str">
            <v>MIRIT</v>
          </cell>
          <cell r="H50">
            <v>7500000</v>
          </cell>
          <cell r="I50" t="str">
            <v xml:space="preserve"> MIRIT</v>
          </cell>
          <cell r="J50">
            <v>6726</v>
          </cell>
          <cell r="K50" t="str">
            <v>031/05/2014</v>
          </cell>
          <cell r="L50" t="str">
            <v>5 MEI 2014</v>
          </cell>
        </row>
        <row r="51">
          <cell r="A51">
            <v>54</v>
          </cell>
          <cell r="B51" t="str">
            <v>TRI JUMIYATI</v>
          </cell>
          <cell r="C51" t="str">
            <v>P</v>
          </cell>
          <cell r="D51" t="str">
            <v>3305084206590001</v>
          </cell>
          <cell r="E51" t="str">
            <v>PELUTAN RT 03/02</v>
          </cell>
          <cell r="F51" t="str">
            <v>SARWOGADUNG</v>
          </cell>
          <cell r="G51" t="str">
            <v>MIRIT</v>
          </cell>
          <cell r="H51">
            <v>7500000</v>
          </cell>
          <cell r="I51" t="str">
            <v xml:space="preserve"> MIRIT</v>
          </cell>
          <cell r="J51">
            <v>6726</v>
          </cell>
          <cell r="K51" t="str">
            <v>031/05/2014</v>
          </cell>
          <cell r="L51" t="str">
            <v>5 MEI 2014</v>
          </cell>
        </row>
        <row r="52">
          <cell r="A52">
            <v>55</v>
          </cell>
          <cell r="B52" t="str">
            <v>SUPIAH</v>
          </cell>
          <cell r="C52" t="str">
            <v>P</v>
          </cell>
          <cell r="D52" t="str">
            <v>3305084107430222</v>
          </cell>
          <cell r="E52" t="str">
            <v>PELUTAN RT 03/02</v>
          </cell>
          <cell r="F52" t="str">
            <v>SARWOGADUNG</v>
          </cell>
          <cell r="G52" t="str">
            <v>MIRIT</v>
          </cell>
          <cell r="H52">
            <v>7500000</v>
          </cell>
          <cell r="I52" t="str">
            <v xml:space="preserve"> MIRIT</v>
          </cell>
          <cell r="J52">
            <v>6726</v>
          </cell>
          <cell r="K52" t="str">
            <v>031/05/2014</v>
          </cell>
          <cell r="L52" t="str">
            <v>5 MEI 2014</v>
          </cell>
        </row>
        <row r="53">
          <cell r="A53">
            <v>56</v>
          </cell>
          <cell r="B53" t="str">
            <v>SUDI WIRYONO</v>
          </cell>
          <cell r="C53" t="str">
            <v>L</v>
          </cell>
          <cell r="D53" t="str">
            <v>3305080107450062</v>
          </cell>
          <cell r="E53" t="str">
            <v>PELUTAN RT 04/02</v>
          </cell>
          <cell r="F53" t="str">
            <v>SARWOGADUNG</v>
          </cell>
          <cell r="G53" t="str">
            <v>MIRIT</v>
          </cell>
          <cell r="H53">
            <v>7500000</v>
          </cell>
          <cell r="I53" t="str">
            <v xml:space="preserve"> MIRIT</v>
          </cell>
          <cell r="J53">
            <v>6726</v>
          </cell>
          <cell r="K53" t="str">
            <v>031/05/2014</v>
          </cell>
          <cell r="L53" t="str">
            <v>5 MEI 2014</v>
          </cell>
        </row>
        <row r="54">
          <cell r="A54">
            <v>57</v>
          </cell>
          <cell r="B54" t="str">
            <v>NURHADI</v>
          </cell>
          <cell r="C54" t="str">
            <v>L</v>
          </cell>
          <cell r="D54" t="str">
            <v>3305080107300063</v>
          </cell>
          <cell r="E54" t="str">
            <v>PELUTAN RT 04/02</v>
          </cell>
          <cell r="F54" t="str">
            <v>SARWOGADUNG</v>
          </cell>
          <cell r="G54" t="str">
            <v>MIRIT</v>
          </cell>
          <cell r="H54">
            <v>7500000</v>
          </cell>
          <cell r="I54" t="str">
            <v xml:space="preserve"> MIRIT</v>
          </cell>
          <cell r="J54">
            <v>6726</v>
          </cell>
          <cell r="K54" t="str">
            <v>031/05/2014</v>
          </cell>
          <cell r="L54" t="str">
            <v>5 MEI 2014</v>
          </cell>
        </row>
        <row r="55">
          <cell r="A55">
            <v>58</v>
          </cell>
          <cell r="B55" t="str">
            <v>JEMIYAH</v>
          </cell>
          <cell r="C55" t="str">
            <v>P</v>
          </cell>
          <cell r="D55" t="str">
            <v>3305085107500001</v>
          </cell>
          <cell r="E55" t="str">
            <v>PELUTAN RT 04/02</v>
          </cell>
          <cell r="F55" t="str">
            <v>SARWOGADUNG</v>
          </cell>
          <cell r="G55" t="str">
            <v>MIRIT</v>
          </cell>
          <cell r="H55">
            <v>7500000</v>
          </cell>
          <cell r="I55" t="str">
            <v xml:space="preserve"> MIRIT</v>
          </cell>
          <cell r="J55">
            <v>6726</v>
          </cell>
          <cell r="K55" t="str">
            <v>031/05/2014</v>
          </cell>
          <cell r="L55" t="str">
            <v>5 MEI 2014</v>
          </cell>
        </row>
        <row r="56">
          <cell r="A56">
            <v>59</v>
          </cell>
          <cell r="B56" t="str">
            <v>WIRYO PRAWIRO</v>
          </cell>
          <cell r="C56" t="str">
            <v>L</v>
          </cell>
          <cell r="D56" t="str">
            <v>3305082010520002</v>
          </cell>
          <cell r="E56" t="str">
            <v>PELUTAN RT 04/02</v>
          </cell>
          <cell r="F56" t="str">
            <v>SARWOGADUNG</v>
          </cell>
          <cell r="G56" t="str">
            <v>MIRIT</v>
          </cell>
          <cell r="H56">
            <v>7500000</v>
          </cell>
          <cell r="I56" t="str">
            <v xml:space="preserve"> MIRIT</v>
          </cell>
          <cell r="J56">
            <v>6726</v>
          </cell>
          <cell r="K56" t="str">
            <v>031/05/2014</v>
          </cell>
          <cell r="L56" t="str">
            <v>5 MEI 2014</v>
          </cell>
        </row>
        <row r="57">
          <cell r="A57">
            <v>62</v>
          </cell>
          <cell r="B57" t="str">
            <v>SALIDIN</v>
          </cell>
          <cell r="C57" t="str">
            <v>L</v>
          </cell>
          <cell r="D57" t="str">
            <v>3305081210660001</v>
          </cell>
          <cell r="E57" t="str">
            <v>KARANGBOKENG RT 06/02</v>
          </cell>
          <cell r="F57" t="str">
            <v>SARWOGADUNG</v>
          </cell>
          <cell r="G57" t="str">
            <v>MIRIT</v>
          </cell>
          <cell r="H57">
            <v>7500000</v>
          </cell>
          <cell r="I57" t="str">
            <v xml:space="preserve"> MIRIT</v>
          </cell>
          <cell r="J57">
            <v>6726</v>
          </cell>
          <cell r="K57" t="str">
            <v>031/05/2014</v>
          </cell>
          <cell r="L57" t="str">
            <v>5 MEI 2014</v>
          </cell>
        </row>
        <row r="58">
          <cell r="A58">
            <v>63</v>
          </cell>
          <cell r="B58" t="str">
            <v>NURSALIM</v>
          </cell>
          <cell r="C58" t="str">
            <v>L</v>
          </cell>
          <cell r="D58" t="str">
            <v>3305081711650001</v>
          </cell>
          <cell r="E58" t="str">
            <v>KARANGBOKENG RT 06/02</v>
          </cell>
          <cell r="F58" t="str">
            <v>SARWOGADUNG</v>
          </cell>
          <cell r="G58" t="str">
            <v>MIRIT</v>
          </cell>
          <cell r="H58">
            <v>7500000</v>
          </cell>
          <cell r="I58" t="str">
            <v xml:space="preserve"> MIRIT</v>
          </cell>
          <cell r="J58">
            <v>6726</v>
          </cell>
          <cell r="K58" t="str">
            <v>031/05/2014</v>
          </cell>
          <cell r="L58" t="str">
            <v>5 MEI 2014</v>
          </cell>
        </row>
        <row r="59">
          <cell r="A59">
            <v>64</v>
          </cell>
          <cell r="B59" t="str">
            <v>SALIJO</v>
          </cell>
          <cell r="C59" t="str">
            <v>L</v>
          </cell>
          <cell r="D59" t="str">
            <v>3305081206670001</v>
          </cell>
          <cell r="E59" t="str">
            <v>KARANGBOKENG RT 06/02</v>
          </cell>
          <cell r="F59" t="str">
            <v>SARWOGADUNG</v>
          </cell>
          <cell r="G59" t="str">
            <v>MIRIT</v>
          </cell>
          <cell r="H59">
            <v>7500000</v>
          </cell>
          <cell r="I59" t="str">
            <v xml:space="preserve"> MIRIT</v>
          </cell>
          <cell r="J59">
            <v>6726</v>
          </cell>
          <cell r="K59" t="str">
            <v>031/05/2014</v>
          </cell>
          <cell r="L59" t="str">
            <v>5 MEI 2014</v>
          </cell>
        </row>
        <row r="60">
          <cell r="A60">
            <v>65</v>
          </cell>
          <cell r="B60" t="str">
            <v>SUMARTI</v>
          </cell>
          <cell r="C60" t="str">
            <v>P</v>
          </cell>
          <cell r="D60" t="str">
            <v>3305086007670001</v>
          </cell>
          <cell r="E60" t="str">
            <v>KARANGBOKENG RT 06/02</v>
          </cell>
          <cell r="F60" t="str">
            <v>SARWOGADUNG</v>
          </cell>
          <cell r="G60" t="str">
            <v>MIRIT</v>
          </cell>
          <cell r="H60">
            <v>7500000</v>
          </cell>
          <cell r="I60" t="str">
            <v xml:space="preserve"> MIRIT</v>
          </cell>
          <cell r="J60">
            <v>6726</v>
          </cell>
          <cell r="K60" t="str">
            <v>031/05/2014</v>
          </cell>
          <cell r="L60" t="str">
            <v>5 MEI 2014</v>
          </cell>
        </row>
        <row r="61">
          <cell r="A61">
            <v>66</v>
          </cell>
          <cell r="B61" t="str">
            <v>AMAD RUSPANDI</v>
          </cell>
          <cell r="C61" t="str">
            <v>L</v>
          </cell>
          <cell r="D61" t="str">
            <v>3305080401370001</v>
          </cell>
          <cell r="E61" t="str">
            <v>KARANGBOKENG RT 06/02</v>
          </cell>
          <cell r="F61" t="str">
            <v>SARWOGADUNG</v>
          </cell>
          <cell r="G61" t="str">
            <v>MIRIT</v>
          </cell>
          <cell r="H61">
            <v>7500000</v>
          </cell>
          <cell r="I61" t="str">
            <v xml:space="preserve"> MIRIT</v>
          </cell>
          <cell r="J61">
            <v>6726</v>
          </cell>
          <cell r="K61" t="str">
            <v>031/05/2014</v>
          </cell>
          <cell r="L61" t="str">
            <v>5 MEI 2014</v>
          </cell>
        </row>
        <row r="62">
          <cell r="A62">
            <v>67</v>
          </cell>
          <cell r="B62" t="str">
            <v>GUNADI</v>
          </cell>
          <cell r="C62" t="str">
            <v>L</v>
          </cell>
          <cell r="D62" t="str">
            <v>3305080705770003</v>
          </cell>
          <cell r="E62" t="str">
            <v>KARANGBOKENG RT 05/02</v>
          </cell>
          <cell r="F62" t="str">
            <v>SARWOGADUNG</v>
          </cell>
          <cell r="G62" t="str">
            <v>MIRIT</v>
          </cell>
          <cell r="H62">
            <v>7500000</v>
          </cell>
          <cell r="I62" t="str">
            <v xml:space="preserve"> MIRIT</v>
          </cell>
          <cell r="J62">
            <v>6726</v>
          </cell>
          <cell r="K62" t="str">
            <v>031/05/2014</v>
          </cell>
          <cell r="L62" t="str">
            <v>5 MEI 2014</v>
          </cell>
        </row>
        <row r="63">
          <cell r="A63">
            <v>68</v>
          </cell>
          <cell r="B63" t="str">
            <v>SALIM</v>
          </cell>
          <cell r="C63" t="str">
            <v>L</v>
          </cell>
          <cell r="D63" t="str">
            <v>3305081103690001</v>
          </cell>
          <cell r="E63" t="str">
            <v>KARANGBOKENG RT 05/02</v>
          </cell>
          <cell r="F63" t="str">
            <v>SARWOGADUNG</v>
          </cell>
          <cell r="G63" t="str">
            <v>MIRIT</v>
          </cell>
          <cell r="H63">
            <v>7500000</v>
          </cell>
          <cell r="I63" t="str">
            <v xml:space="preserve"> MIRIT</v>
          </cell>
          <cell r="J63">
            <v>6726</v>
          </cell>
          <cell r="K63" t="str">
            <v>031/05/2014</v>
          </cell>
          <cell r="L63" t="str">
            <v>5 MEI 2014</v>
          </cell>
        </row>
        <row r="64">
          <cell r="A64">
            <v>69</v>
          </cell>
          <cell r="B64" t="str">
            <v>SUDIYAH</v>
          </cell>
          <cell r="C64" t="str">
            <v>P</v>
          </cell>
          <cell r="D64" t="str">
            <v>3305084107750108</v>
          </cell>
          <cell r="E64" t="str">
            <v>KARANGBOKENG RT 06/02</v>
          </cell>
          <cell r="F64" t="str">
            <v>SARWOGADUNG</v>
          </cell>
          <cell r="G64" t="str">
            <v>MIRIT</v>
          </cell>
          <cell r="H64">
            <v>7500000</v>
          </cell>
          <cell r="I64" t="str">
            <v xml:space="preserve"> MIRIT</v>
          </cell>
          <cell r="J64">
            <v>6726</v>
          </cell>
          <cell r="K64" t="str">
            <v>031/05/2014</v>
          </cell>
          <cell r="L64" t="str">
            <v>5 MEI 2014</v>
          </cell>
        </row>
        <row r="65">
          <cell r="A65">
            <v>71</v>
          </cell>
          <cell r="B65" t="str">
            <v>YUSMANUDIN</v>
          </cell>
          <cell r="C65" t="str">
            <v>L</v>
          </cell>
          <cell r="D65" t="str">
            <v>3305081011620003</v>
          </cell>
          <cell r="E65" t="str">
            <v>KARANGBOKENG RT 06/02</v>
          </cell>
          <cell r="F65" t="str">
            <v>SARWOGADUNG</v>
          </cell>
          <cell r="G65" t="str">
            <v>MIRIT</v>
          </cell>
          <cell r="H65">
            <v>7500000</v>
          </cell>
          <cell r="I65" t="str">
            <v xml:space="preserve"> MIRIT</v>
          </cell>
          <cell r="J65">
            <v>6726</v>
          </cell>
          <cell r="K65" t="str">
            <v>031/05/2014</v>
          </cell>
          <cell r="L65" t="str">
            <v>5 MEI 2014</v>
          </cell>
        </row>
        <row r="66">
          <cell r="A66">
            <v>73</v>
          </cell>
          <cell r="B66" t="str">
            <v>PAWIT</v>
          </cell>
          <cell r="C66" t="str">
            <v>P</v>
          </cell>
          <cell r="D66" t="str">
            <v>3305084707680005</v>
          </cell>
          <cell r="E66" t="str">
            <v>KARANGBOKENG RT 05/02</v>
          </cell>
          <cell r="F66" t="str">
            <v>SARWOGADUNG</v>
          </cell>
          <cell r="G66" t="str">
            <v>MIRIT</v>
          </cell>
          <cell r="H66">
            <v>7500000</v>
          </cell>
          <cell r="I66" t="str">
            <v xml:space="preserve"> MIRIT</v>
          </cell>
          <cell r="J66">
            <v>6726</v>
          </cell>
          <cell r="K66" t="str">
            <v>031/05/2014</v>
          </cell>
          <cell r="L66" t="str">
            <v>5 MEI 2014</v>
          </cell>
        </row>
        <row r="67">
          <cell r="A67">
            <v>75</v>
          </cell>
          <cell r="B67" t="str">
            <v>BIMO CAROKO</v>
          </cell>
          <cell r="C67" t="str">
            <v>L</v>
          </cell>
          <cell r="D67" t="str">
            <v>3305080809650002</v>
          </cell>
          <cell r="E67" t="str">
            <v>KARANGBOKENG RT 05/02</v>
          </cell>
          <cell r="F67" t="str">
            <v>SARWOGADUNG</v>
          </cell>
          <cell r="G67" t="str">
            <v>MIRIT</v>
          </cell>
          <cell r="H67">
            <v>7500000</v>
          </cell>
          <cell r="I67" t="str">
            <v xml:space="preserve"> MIRIT</v>
          </cell>
          <cell r="J67">
            <v>6726</v>
          </cell>
          <cell r="K67" t="str">
            <v>031/05/2014</v>
          </cell>
          <cell r="L67" t="str">
            <v>5 MEI 2014</v>
          </cell>
        </row>
        <row r="68">
          <cell r="A68">
            <v>76</v>
          </cell>
          <cell r="B68" t="str">
            <v>SUPARMAN</v>
          </cell>
          <cell r="C68" t="str">
            <v>L</v>
          </cell>
          <cell r="D68" t="str">
            <v>3305082103660001</v>
          </cell>
          <cell r="E68" t="str">
            <v>KARANGBOKENG RT 05/02</v>
          </cell>
          <cell r="F68" t="str">
            <v>SARWOGADUNG</v>
          </cell>
          <cell r="G68" t="str">
            <v>MIRIT</v>
          </cell>
          <cell r="H68">
            <v>7500000</v>
          </cell>
          <cell r="I68" t="str">
            <v xml:space="preserve"> MIRIT</v>
          </cell>
          <cell r="J68">
            <v>6726</v>
          </cell>
          <cell r="K68" t="str">
            <v>031/05/2014</v>
          </cell>
          <cell r="L68" t="str">
            <v>5 MEI 2014</v>
          </cell>
        </row>
        <row r="69">
          <cell r="A69">
            <v>77</v>
          </cell>
          <cell r="B69" t="str">
            <v>MARYONO</v>
          </cell>
          <cell r="C69" t="str">
            <v>L</v>
          </cell>
          <cell r="D69" t="str">
            <v>3305082008710001</v>
          </cell>
          <cell r="E69" t="str">
            <v>KARANGBOKENG RT 05/02</v>
          </cell>
          <cell r="F69" t="str">
            <v>SARWOGADUNG</v>
          </cell>
          <cell r="G69" t="str">
            <v>MIRIT</v>
          </cell>
          <cell r="H69">
            <v>7500000</v>
          </cell>
          <cell r="I69" t="str">
            <v xml:space="preserve"> MIRIT</v>
          </cell>
          <cell r="J69">
            <v>6726</v>
          </cell>
          <cell r="K69" t="str">
            <v>031/05/2014</v>
          </cell>
          <cell r="L69" t="str">
            <v>5 MEI 2014</v>
          </cell>
        </row>
        <row r="70">
          <cell r="A70">
            <v>78</v>
          </cell>
          <cell r="B70" t="str">
            <v>SALIM</v>
          </cell>
          <cell r="C70" t="str">
            <v>L</v>
          </cell>
          <cell r="D70" t="str">
            <v>3305081005560001</v>
          </cell>
          <cell r="E70" t="str">
            <v>KARANGBOKENG RT 05/02</v>
          </cell>
          <cell r="F70" t="str">
            <v>SARWOGADUNG</v>
          </cell>
          <cell r="G70" t="str">
            <v>MIRIT</v>
          </cell>
          <cell r="H70">
            <v>7500000</v>
          </cell>
          <cell r="I70" t="str">
            <v xml:space="preserve"> MIRIT</v>
          </cell>
          <cell r="J70">
            <v>6726</v>
          </cell>
          <cell r="K70" t="str">
            <v>031/05/2014</v>
          </cell>
          <cell r="L70" t="str">
            <v>5 MEI 2014</v>
          </cell>
        </row>
        <row r="71">
          <cell r="A71">
            <v>80</v>
          </cell>
          <cell r="B71" t="str">
            <v>MANISO</v>
          </cell>
          <cell r="C71" t="str">
            <v>L</v>
          </cell>
          <cell r="D71" t="str">
            <v>3305081212700002</v>
          </cell>
          <cell r="E71" t="str">
            <v>KARANGBOKENG RT 05/02</v>
          </cell>
          <cell r="F71" t="str">
            <v>SARWOGADUNG</v>
          </cell>
          <cell r="G71" t="str">
            <v>MIRIT</v>
          </cell>
          <cell r="H71">
            <v>7500000</v>
          </cell>
          <cell r="I71" t="str">
            <v xml:space="preserve"> MIRIT</v>
          </cell>
          <cell r="J71">
            <v>6726</v>
          </cell>
          <cell r="K71" t="str">
            <v>031/05/2014</v>
          </cell>
          <cell r="L71" t="str">
            <v>5 MEI 2014</v>
          </cell>
        </row>
        <row r="72">
          <cell r="A72">
            <v>82</v>
          </cell>
          <cell r="B72" t="str">
            <v>AMAD MUKRODIN</v>
          </cell>
          <cell r="C72" t="str">
            <v>L</v>
          </cell>
          <cell r="D72" t="str">
            <v>3305083009480001</v>
          </cell>
          <cell r="E72" t="str">
            <v>KARANGBOKENG RT 05/02</v>
          </cell>
          <cell r="F72" t="str">
            <v>SARWOGADUNG</v>
          </cell>
          <cell r="G72" t="str">
            <v>MIRIT</v>
          </cell>
          <cell r="H72">
            <v>7500000</v>
          </cell>
          <cell r="I72" t="str">
            <v xml:space="preserve"> MIRIT</v>
          </cell>
          <cell r="J72">
            <v>6726</v>
          </cell>
          <cell r="K72" t="str">
            <v>031/05/2014</v>
          </cell>
          <cell r="L72" t="str">
            <v>5 MEI 2014</v>
          </cell>
        </row>
        <row r="73">
          <cell r="A73">
            <v>83</v>
          </cell>
          <cell r="B73" t="str">
            <v>SUKAMTO</v>
          </cell>
          <cell r="C73" t="str">
            <v>L</v>
          </cell>
          <cell r="D73" t="str">
            <v>3305080812420002</v>
          </cell>
          <cell r="E73" t="str">
            <v>DUKUH RT 01/03</v>
          </cell>
          <cell r="F73" t="str">
            <v>SARWOGADUNG</v>
          </cell>
          <cell r="G73" t="str">
            <v>MIRIT</v>
          </cell>
          <cell r="H73">
            <v>7500000</v>
          </cell>
          <cell r="I73" t="str">
            <v xml:space="preserve"> MIRIT</v>
          </cell>
          <cell r="J73">
            <v>6726</v>
          </cell>
          <cell r="K73" t="str">
            <v>031/05/2014</v>
          </cell>
          <cell r="L73" t="str">
            <v>5 MEI 2014</v>
          </cell>
        </row>
        <row r="74">
          <cell r="A74">
            <v>84</v>
          </cell>
          <cell r="B74" t="str">
            <v>PARDI</v>
          </cell>
          <cell r="C74" t="str">
            <v>L</v>
          </cell>
          <cell r="D74" t="str">
            <v>3305080107630104</v>
          </cell>
          <cell r="E74" t="str">
            <v>DUKUH RT 01/03</v>
          </cell>
          <cell r="F74" t="str">
            <v>SARWOGADUNG</v>
          </cell>
          <cell r="G74" t="str">
            <v>MIRIT</v>
          </cell>
          <cell r="H74">
            <v>7500000</v>
          </cell>
          <cell r="I74" t="str">
            <v xml:space="preserve"> MIRIT</v>
          </cell>
          <cell r="J74">
            <v>6726</v>
          </cell>
          <cell r="K74" t="str">
            <v>031/05/2014</v>
          </cell>
          <cell r="L74" t="str">
            <v>5 MEI 2014</v>
          </cell>
        </row>
        <row r="75">
          <cell r="A75">
            <v>85</v>
          </cell>
          <cell r="B75" t="str">
            <v>WAGE</v>
          </cell>
          <cell r="C75" t="str">
            <v>L</v>
          </cell>
          <cell r="D75" t="str">
            <v>3305080608490003</v>
          </cell>
          <cell r="E75" t="str">
            <v>DUKUH RT 01/03</v>
          </cell>
          <cell r="F75" t="str">
            <v>SARWOGADUNG</v>
          </cell>
          <cell r="G75" t="str">
            <v>MIRIT</v>
          </cell>
          <cell r="H75">
            <v>7500000</v>
          </cell>
          <cell r="I75" t="str">
            <v xml:space="preserve"> MIRIT</v>
          </cell>
          <cell r="J75">
            <v>6726</v>
          </cell>
          <cell r="K75" t="str">
            <v>031/05/2014</v>
          </cell>
          <cell r="L75" t="str">
            <v>5 MEI 2014</v>
          </cell>
        </row>
        <row r="76">
          <cell r="A76">
            <v>86</v>
          </cell>
          <cell r="B76" t="str">
            <v>TUMINEM</v>
          </cell>
          <cell r="C76" t="str">
            <v>P</v>
          </cell>
          <cell r="D76" t="str">
            <v>3305084205450001</v>
          </cell>
          <cell r="E76" t="str">
            <v>DUKUH RT 02/03</v>
          </cell>
          <cell r="F76" t="str">
            <v>SARWOGADUNG</v>
          </cell>
          <cell r="G76" t="str">
            <v>MIRIT</v>
          </cell>
          <cell r="H76">
            <v>7500000</v>
          </cell>
          <cell r="I76" t="str">
            <v xml:space="preserve"> MIRIT</v>
          </cell>
          <cell r="J76">
            <v>6726</v>
          </cell>
          <cell r="K76" t="str">
            <v>031/05/2014</v>
          </cell>
          <cell r="L76" t="str">
            <v>5 MEI 2014</v>
          </cell>
        </row>
        <row r="77">
          <cell r="A77">
            <v>87</v>
          </cell>
          <cell r="B77" t="str">
            <v>SASTRO MIHARJO</v>
          </cell>
          <cell r="C77" t="str">
            <v>L</v>
          </cell>
          <cell r="D77" t="str">
            <v>3305082110500001</v>
          </cell>
          <cell r="E77" t="str">
            <v>DUKUH RT 02/03</v>
          </cell>
          <cell r="F77" t="str">
            <v>SARWOGADUNG</v>
          </cell>
          <cell r="G77" t="str">
            <v>MIRIT</v>
          </cell>
          <cell r="H77">
            <v>7500000</v>
          </cell>
          <cell r="I77" t="str">
            <v xml:space="preserve"> MIRIT</v>
          </cell>
          <cell r="J77">
            <v>6726</v>
          </cell>
          <cell r="K77" t="str">
            <v>031/05/2014</v>
          </cell>
          <cell r="L77" t="str">
            <v>5 MEI 2014</v>
          </cell>
        </row>
        <row r="78">
          <cell r="A78">
            <v>88</v>
          </cell>
          <cell r="B78" t="str">
            <v>TURUT PRIYONO</v>
          </cell>
          <cell r="C78" t="str">
            <v>L</v>
          </cell>
          <cell r="D78" t="str">
            <v>3305081609800001</v>
          </cell>
          <cell r="E78" t="str">
            <v>DUKUH RT 02/03</v>
          </cell>
          <cell r="F78" t="str">
            <v>SARWOGADUNG</v>
          </cell>
          <cell r="G78" t="str">
            <v>MIRIT</v>
          </cell>
          <cell r="H78">
            <v>7500000</v>
          </cell>
          <cell r="I78" t="str">
            <v xml:space="preserve"> MIRIT</v>
          </cell>
          <cell r="J78">
            <v>6726</v>
          </cell>
          <cell r="K78" t="str">
            <v>031/05/2014</v>
          </cell>
          <cell r="L78" t="str">
            <v>5 MEI 2014</v>
          </cell>
        </row>
        <row r="79">
          <cell r="A79">
            <v>89</v>
          </cell>
          <cell r="B79" t="str">
            <v>JONO</v>
          </cell>
          <cell r="C79" t="str">
            <v>L</v>
          </cell>
          <cell r="D79" t="str">
            <v>3305082005670001</v>
          </cell>
          <cell r="E79" t="str">
            <v>DUKUH RT 01/03</v>
          </cell>
          <cell r="F79" t="str">
            <v>SARWOGADUNG</v>
          </cell>
          <cell r="G79" t="str">
            <v>MIRIT</v>
          </cell>
          <cell r="H79">
            <v>7500000</v>
          </cell>
          <cell r="I79" t="str">
            <v xml:space="preserve"> MIRIT</v>
          </cell>
          <cell r="J79">
            <v>6726</v>
          </cell>
          <cell r="K79" t="str">
            <v>031/05/2014</v>
          </cell>
          <cell r="L79" t="str">
            <v>5 MEI 2014</v>
          </cell>
        </row>
        <row r="80">
          <cell r="A80">
            <v>91</v>
          </cell>
          <cell r="B80" t="str">
            <v>SAMIRAH</v>
          </cell>
          <cell r="C80" t="str">
            <v>P</v>
          </cell>
          <cell r="D80" t="str">
            <v>3305084706590005</v>
          </cell>
          <cell r="E80" t="str">
            <v>DUKUH RT 02/03</v>
          </cell>
          <cell r="F80" t="str">
            <v>SARWOGADUNG</v>
          </cell>
          <cell r="G80" t="str">
            <v>MIRIT</v>
          </cell>
          <cell r="H80">
            <v>7500000</v>
          </cell>
          <cell r="I80" t="str">
            <v xml:space="preserve"> MIRIT</v>
          </cell>
          <cell r="J80">
            <v>6726</v>
          </cell>
          <cell r="K80" t="str">
            <v>031/05/2014</v>
          </cell>
          <cell r="L80" t="str">
            <v>5 MEI 2014</v>
          </cell>
        </row>
        <row r="81">
          <cell r="A81">
            <v>92</v>
          </cell>
          <cell r="B81" t="str">
            <v>KATMAN</v>
          </cell>
          <cell r="C81" t="str">
            <v>L</v>
          </cell>
          <cell r="D81" t="str">
            <v>3305080112590001</v>
          </cell>
          <cell r="E81" t="str">
            <v>DUKUH RT 01/03</v>
          </cell>
          <cell r="F81" t="str">
            <v>SARWOGADUNG</v>
          </cell>
          <cell r="G81" t="str">
            <v>MIRIT</v>
          </cell>
          <cell r="H81">
            <v>7500000</v>
          </cell>
          <cell r="I81" t="str">
            <v xml:space="preserve"> MIRIT</v>
          </cell>
          <cell r="J81">
            <v>6726</v>
          </cell>
          <cell r="K81" t="str">
            <v>031/05/2014</v>
          </cell>
          <cell r="L81" t="str">
            <v>5 MEI 2014</v>
          </cell>
        </row>
        <row r="82">
          <cell r="A82">
            <v>93</v>
          </cell>
          <cell r="B82" t="str">
            <v>MARTO DIKROMO</v>
          </cell>
          <cell r="C82" t="str">
            <v>L</v>
          </cell>
          <cell r="D82" t="str">
            <v>3305080105380002</v>
          </cell>
          <cell r="E82" t="str">
            <v>DUKUH RT 02/03</v>
          </cell>
          <cell r="F82" t="str">
            <v>SARWOGADUNG</v>
          </cell>
          <cell r="G82" t="str">
            <v>MIRIT</v>
          </cell>
          <cell r="H82">
            <v>7500000</v>
          </cell>
          <cell r="I82" t="str">
            <v xml:space="preserve"> MIRIT</v>
          </cell>
          <cell r="J82">
            <v>6726</v>
          </cell>
          <cell r="K82" t="str">
            <v>031/05/2014</v>
          </cell>
          <cell r="L82" t="str">
            <v>5 MEI 2014</v>
          </cell>
        </row>
        <row r="83">
          <cell r="A83">
            <v>94</v>
          </cell>
          <cell r="B83" t="str">
            <v>SISWOYO</v>
          </cell>
          <cell r="C83" t="str">
            <v>L</v>
          </cell>
          <cell r="D83" t="str">
            <v>3305082502500001</v>
          </cell>
          <cell r="E83" t="str">
            <v>DUKUH RT 01/03</v>
          </cell>
          <cell r="F83" t="str">
            <v>SARWOGADUNG</v>
          </cell>
          <cell r="G83" t="str">
            <v>MIRIT</v>
          </cell>
          <cell r="H83">
            <v>7500000</v>
          </cell>
          <cell r="I83" t="str">
            <v xml:space="preserve"> MIRIT</v>
          </cell>
          <cell r="J83">
            <v>6726</v>
          </cell>
          <cell r="K83" t="str">
            <v>031/05/2014</v>
          </cell>
          <cell r="L83" t="str">
            <v>5 MEI 2014</v>
          </cell>
        </row>
        <row r="84">
          <cell r="A84">
            <v>95</v>
          </cell>
          <cell r="B84" t="str">
            <v>WAGIYO</v>
          </cell>
          <cell r="C84" t="str">
            <v>L</v>
          </cell>
          <cell r="D84" t="str">
            <v>3305080107700130</v>
          </cell>
          <cell r="E84" t="str">
            <v>DUKUH RT 02/03</v>
          </cell>
          <cell r="F84" t="str">
            <v>SARWOGADUNG</v>
          </cell>
          <cell r="G84" t="str">
            <v>MIRIT</v>
          </cell>
          <cell r="H84">
            <v>7500000</v>
          </cell>
          <cell r="I84" t="str">
            <v xml:space="preserve"> MIRIT</v>
          </cell>
          <cell r="J84">
            <v>6726</v>
          </cell>
          <cell r="K84" t="str">
            <v>031/05/2014</v>
          </cell>
          <cell r="L84" t="str">
            <v>5 MEI 2014</v>
          </cell>
        </row>
        <row r="85">
          <cell r="A85">
            <v>96</v>
          </cell>
          <cell r="B85" t="str">
            <v>WINARNI</v>
          </cell>
          <cell r="C85" t="str">
            <v>P</v>
          </cell>
          <cell r="D85" t="str">
            <v>3305085203650002</v>
          </cell>
          <cell r="E85" t="str">
            <v>DUKUH RT 02/03</v>
          </cell>
          <cell r="F85" t="str">
            <v>SARWOGADUNG</v>
          </cell>
          <cell r="G85" t="str">
            <v>MIRIT</v>
          </cell>
          <cell r="H85">
            <v>7500000</v>
          </cell>
          <cell r="I85" t="str">
            <v xml:space="preserve"> MIRIT</v>
          </cell>
          <cell r="J85">
            <v>6726</v>
          </cell>
          <cell r="K85" t="str">
            <v>031/05/2014</v>
          </cell>
          <cell r="L85" t="str">
            <v>5 MEI 2014</v>
          </cell>
        </row>
        <row r="86">
          <cell r="A86">
            <v>97</v>
          </cell>
          <cell r="B86" t="str">
            <v>SALIWON</v>
          </cell>
          <cell r="C86" t="str">
            <v>L</v>
          </cell>
          <cell r="D86" t="str">
            <v>3305081304740002</v>
          </cell>
          <cell r="E86" t="str">
            <v>DUKUH RT 02/03</v>
          </cell>
          <cell r="F86" t="str">
            <v>SARWOGADUNG</v>
          </cell>
          <cell r="G86" t="str">
            <v>MIRIT</v>
          </cell>
          <cell r="H86">
            <v>7500000</v>
          </cell>
          <cell r="I86" t="str">
            <v xml:space="preserve"> MIRIT</v>
          </cell>
          <cell r="J86">
            <v>6726</v>
          </cell>
          <cell r="K86" t="str">
            <v>031/05/2014</v>
          </cell>
          <cell r="L86" t="str">
            <v>5 MEI 2014</v>
          </cell>
        </row>
        <row r="87">
          <cell r="A87">
            <v>98</v>
          </cell>
          <cell r="B87" t="str">
            <v>TUMIRAH</v>
          </cell>
          <cell r="C87" t="str">
            <v>P</v>
          </cell>
          <cell r="D87" t="str">
            <v>3305084107450046</v>
          </cell>
          <cell r="E87" t="str">
            <v>DUKUH RT 02/03</v>
          </cell>
          <cell r="F87" t="str">
            <v>SARWOGADUNG</v>
          </cell>
          <cell r="G87" t="str">
            <v>MIRIT</v>
          </cell>
          <cell r="H87">
            <v>7500000</v>
          </cell>
          <cell r="I87" t="str">
            <v xml:space="preserve"> MIRIT</v>
          </cell>
          <cell r="J87">
            <v>6726</v>
          </cell>
          <cell r="K87" t="str">
            <v>031/05/2014</v>
          </cell>
          <cell r="L87" t="str">
            <v>5 MEI 2014</v>
          </cell>
        </row>
        <row r="88">
          <cell r="A88">
            <v>99</v>
          </cell>
          <cell r="B88" t="str">
            <v>AMAD MARSIDI</v>
          </cell>
          <cell r="C88" t="str">
            <v>L</v>
          </cell>
          <cell r="D88" t="str">
            <v>3305081808670001</v>
          </cell>
          <cell r="E88" t="str">
            <v>DUKUH RT 02/03</v>
          </cell>
          <cell r="F88" t="str">
            <v>SARWOGADUNG</v>
          </cell>
          <cell r="G88" t="str">
            <v>MIRIT</v>
          </cell>
          <cell r="H88">
            <v>7500000</v>
          </cell>
          <cell r="I88" t="str">
            <v xml:space="preserve"> MIRIT</v>
          </cell>
          <cell r="J88">
            <v>6726</v>
          </cell>
          <cell r="K88" t="str">
            <v>031/05/2014</v>
          </cell>
          <cell r="L88" t="str">
            <v>5 MEI 2014</v>
          </cell>
        </row>
        <row r="89">
          <cell r="A89">
            <v>102</v>
          </cell>
          <cell r="B89" t="str">
            <v>ABDUL KOHAR/TUMUD</v>
          </cell>
          <cell r="C89" t="str">
            <v>L</v>
          </cell>
          <cell r="D89" t="str">
            <v>3305080804660002</v>
          </cell>
          <cell r="E89" t="str">
            <v>DUKUH RT 01/03</v>
          </cell>
          <cell r="F89" t="str">
            <v>SARWOGADUNG</v>
          </cell>
          <cell r="G89" t="str">
            <v>MIRIT</v>
          </cell>
          <cell r="H89">
            <v>7500000</v>
          </cell>
          <cell r="I89" t="str">
            <v xml:space="preserve"> MIRIT</v>
          </cell>
          <cell r="J89">
            <v>6726</v>
          </cell>
          <cell r="K89" t="str">
            <v>031/05/2014</v>
          </cell>
          <cell r="L89" t="str">
            <v>5 MEI 2014</v>
          </cell>
        </row>
        <row r="90">
          <cell r="A90">
            <v>103</v>
          </cell>
          <cell r="B90" t="str">
            <v>AMAD PAWIRO</v>
          </cell>
          <cell r="C90" t="str">
            <v>L</v>
          </cell>
          <cell r="D90" t="str">
            <v>3305081406500001</v>
          </cell>
          <cell r="E90" t="str">
            <v>DUKUH RT 02/03</v>
          </cell>
          <cell r="F90" t="str">
            <v>SARWOGADUNG</v>
          </cell>
          <cell r="G90" t="str">
            <v>MIRIT</v>
          </cell>
          <cell r="H90">
            <v>7500000</v>
          </cell>
          <cell r="I90" t="str">
            <v xml:space="preserve"> MIRIT</v>
          </cell>
          <cell r="J90">
            <v>6726</v>
          </cell>
          <cell r="K90" t="str">
            <v>031/05/2014</v>
          </cell>
          <cell r="L90" t="str">
            <v>5 MEI 2014</v>
          </cell>
        </row>
        <row r="91">
          <cell r="A91">
            <v>104</v>
          </cell>
          <cell r="B91" t="str">
            <v>MULYO PAWIRO</v>
          </cell>
          <cell r="C91" t="str">
            <v>L</v>
          </cell>
          <cell r="D91" t="str">
            <v>3305080107330071</v>
          </cell>
          <cell r="E91" t="str">
            <v>NOLOSARAN RT 04/03</v>
          </cell>
          <cell r="F91" t="str">
            <v>SARWOGADUNG</v>
          </cell>
          <cell r="G91" t="str">
            <v>MIRIT</v>
          </cell>
          <cell r="H91">
            <v>7500000</v>
          </cell>
          <cell r="I91" t="str">
            <v xml:space="preserve"> MIRIT</v>
          </cell>
          <cell r="J91">
            <v>6726</v>
          </cell>
          <cell r="K91" t="str">
            <v>031/05/2014</v>
          </cell>
          <cell r="L91" t="str">
            <v>5 MEI 2014</v>
          </cell>
        </row>
        <row r="92">
          <cell r="A92">
            <v>105</v>
          </cell>
          <cell r="B92" t="str">
            <v>MUJIRAH</v>
          </cell>
          <cell r="C92" t="str">
            <v>P</v>
          </cell>
          <cell r="D92" t="str">
            <v>3305085908570002</v>
          </cell>
          <cell r="E92" t="str">
            <v>NOLOSARAN RT 04/03</v>
          </cell>
          <cell r="F92" t="str">
            <v>SARWOGADUNG</v>
          </cell>
          <cell r="G92" t="str">
            <v>MIRIT</v>
          </cell>
          <cell r="H92">
            <v>7500000</v>
          </cell>
          <cell r="I92" t="str">
            <v xml:space="preserve"> MIRIT</v>
          </cell>
          <cell r="J92">
            <v>6726</v>
          </cell>
          <cell r="K92" t="str">
            <v>031/05/2014</v>
          </cell>
          <cell r="L92" t="str">
            <v>5 MEI 2014</v>
          </cell>
        </row>
        <row r="93">
          <cell r="A93">
            <v>106</v>
          </cell>
          <cell r="B93" t="str">
            <v>ISWANDI</v>
          </cell>
          <cell r="C93" t="str">
            <v>L</v>
          </cell>
          <cell r="D93" t="str">
            <v>3305081505420002</v>
          </cell>
          <cell r="E93" t="str">
            <v>NOLOSARAN RT 04/03</v>
          </cell>
          <cell r="F93" t="str">
            <v>SARWOGADUNG</v>
          </cell>
          <cell r="G93" t="str">
            <v>MIRIT</v>
          </cell>
          <cell r="H93">
            <v>7500000</v>
          </cell>
          <cell r="I93" t="str">
            <v xml:space="preserve"> MIRIT</v>
          </cell>
          <cell r="J93">
            <v>6726</v>
          </cell>
          <cell r="K93" t="str">
            <v>031/05/2014</v>
          </cell>
          <cell r="L93" t="str">
            <v>5 MEI 2014</v>
          </cell>
        </row>
        <row r="94">
          <cell r="A94">
            <v>107</v>
          </cell>
          <cell r="B94" t="str">
            <v>NURLIWON</v>
          </cell>
          <cell r="C94" t="str">
            <v>L</v>
          </cell>
          <cell r="D94" t="str">
            <v>3305080107590045</v>
          </cell>
          <cell r="E94" t="str">
            <v>NOLOSARAN RT 03/03</v>
          </cell>
          <cell r="F94" t="str">
            <v>SARWOGADUNG</v>
          </cell>
          <cell r="G94" t="str">
            <v>MIRIT</v>
          </cell>
          <cell r="H94">
            <v>7500000</v>
          </cell>
          <cell r="I94" t="str">
            <v xml:space="preserve"> MIRIT</v>
          </cell>
          <cell r="J94">
            <v>6726</v>
          </cell>
          <cell r="K94" t="str">
            <v>031/05/2014</v>
          </cell>
          <cell r="L94" t="str">
            <v>5 MEI 2014</v>
          </cell>
        </row>
        <row r="95">
          <cell r="A95">
            <v>108</v>
          </cell>
          <cell r="B95" t="str">
            <v>MARINAH</v>
          </cell>
          <cell r="C95" t="str">
            <v>P</v>
          </cell>
          <cell r="D95" t="str">
            <v>3305084201490001</v>
          </cell>
          <cell r="E95" t="str">
            <v>NOLOSARAN RT 03/03</v>
          </cell>
          <cell r="F95" t="str">
            <v>SARWOGADUNG</v>
          </cell>
          <cell r="G95" t="str">
            <v>MIRIT</v>
          </cell>
          <cell r="H95">
            <v>7500000</v>
          </cell>
          <cell r="I95" t="str">
            <v xml:space="preserve"> MIRIT</v>
          </cell>
          <cell r="J95">
            <v>6726</v>
          </cell>
          <cell r="K95" t="str">
            <v>031/05/2014</v>
          </cell>
          <cell r="L95" t="str">
            <v>5 MEI 2014</v>
          </cell>
        </row>
        <row r="96">
          <cell r="A96">
            <v>109</v>
          </cell>
          <cell r="B96" t="str">
            <v>SUPARNO</v>
          </cell>
          <cell r="C96" t="str">
            <v>L</v>
          </cell>
          <cell r="D96" t="str">
            <v>3305082804760001</v>
          </cell>
          <cell r="E96" t="str">
            <v>NOLOSARAN RT 03/03</v>
          </cell>
          <cell r="F96" t="str">
            <v>SARWOGADUNG</v>
          </cell>
          <cell r="G96" t="str">
            <v>MIRIT</v>
          </cell>
          <cell r="H96">
            <v>7500000</v>
          </cell>
          <cell r="I96" t="str">
            <v xml:space="preserve"> MIRIT</v>
          </cell>
          <cell r="J96">
            <v>6726</v>
          </cell>
          <cell r="K96" t="str">
            <v>031/05/2014</v>
          </cell>
          <cell r="L96" t="str">
            <v>5 MEI 2014</v>
          </cell>
        </row>
        <row r="97">
          <cell r="A97">
            <v>110</v>
          </cell>
          <cell r="B97" t="str">
            <v>TURIYAH</v>
          </cell>
          <cell r="C97" t="str">
            <v>P</v>
          </cell>
          <cell r="D97" t="str">
            <v>3305085110510001</v>
          </cell>
          <cell r="E97" t="str">
            <v>NOLOSARAN RT 03/03</v>
          </cell>
          <cell r="F97" t="str">
            <v>SARWOGADUNG</v>
          </cell>
          <cell r="G97" t="str">
            <v>MIRIT</v>
          </cell>
          <cell r="H97">
            <v>7500000</v>
          </cell>
          <cell r="I97" t="str">
            <v xml:space="preserve"> MIRIT</v>
          </cell>
          <cell r="J97">
            <v>6726</v>
          </cell>
          <cell r="K97" t="str">
            <v>031/05/2014</v>
          </cell>
          <cell r="L97" t="str">
            <v>5 MEI 2014</v>
          </cell>
        </row>
        <row r="98">
          <cell r="A98">
            <v>111</v>
          </cell>
          <cell r="B98" t="str">
            <v>ASLAMIYAH</v>
          </cell>
          <cell r="C98" t="str">
            <v>P</v>
          </cell>
          <cell r="D98" t="str">
            <v>3305086201670001</v>
          </cell>
          <cell r="E98" t="str">
            <v>NOLOSARAN RT 03/03</v>
          </cell>
          <cell r="F98" t="str">
            <v>SARWOGADUNG</v>
          </cell>
          <cell r="G98" t="str">
            <v>MIRIT</v>
          </cell>
          <cell r="H98">
            <v>7500000</v>
          </cell>
          <cell r="I98" t="str">
            <v xml:space="preserve"> MIRIT</v>
          </cell>
          <cell r="J98">
            <v>6726</v>
          </cell>
          <cell r="K98" t="str">
            <v>031/05/2014</v>
          </cell>
          <cell r="L98" t="str">
            <v>5 MEI 2014</v>
          </cell>
        </row>
        <row r="99">
          <cell r="A99">
            <v>112</v>
          </cell>
          <cell r="B99" t="str">
            <v>KAIJO</v>
          </cell>
          <cell r="C99" t="str">
            <v>L</v>
          </cell>
          <cell r="D99" t="str">
            <v>3305081606620001</v>
          </cell>
          <cell r="E99" t="str">
            <v>NOLOSARAN RT 03/03</v>
          </cell>
          <cell r="F99" t="str">
            <v>SARWOGADUNG</v>
          </cell>
          <cell r="G99" t="str">
            <v>MIRIT</v>
          </cell>
          <cell r="H99">
            <v>7500000</v>
          </cell>
          <cell r="I99" t="str">
            <v xml:space="preserve"> MIRIT</v>
          </cell>
          <cell r="J99">
            <v>6726</v>
          </cell>
          <cell r="K99" t="str">
            <v>031/05/2014</v>
          </cell>
          <cell r="L99" t="str">
            <v>5 MEI 2014</v>
          </cell>
        </row>
        <row r="100">
          <cell r="A100">
            <v>113</v>
          </cell>
          <cell r="B100" t="str">
            <v>DULAH RUSMAN</v>
          </cell>
          <cell r="C100" t="str">
            <v>L</v>
          </cell>
          <cell r="D100" t="str">
            <v>3305080101420001</v>
          </cell>
          <cell r="E100" t="str">
            <v>NOLOSARAN RT 03/03</v>
          </cell>
          <cell r="F100" t="str">
            <v>SARWOGADUNG</v>
          </cell>
          <cell r="G100" t="str">
            <v>MIRIT</v>
          </cell>
          <cell r="H100">
            <v>7500000</v>
          </cell>
          <cell r="I100" t="str">
            <v xml:space="preserve"> MIRIT</v>
          </cell>
          <cell r="J100">
            <v>6726</v>
          </cell>
          <cell r="K100" t="str">
            <v>031/05/2014</v>
          </cell>
          <cell r="L100" t="str">
            <v>5 MEI 2014</v>
          </cell>
        </row>
        <row r="101">
          <cell r="A101">
            <v>114</v>
          </cell>
          <cell r="B101" t="str">
            <v>SUPRIYADI</v>
          </cell>
          <cell r="C101" t="str">
            <v>L</v>
          </cell>
          <cell r="D101" t="str">
            <v>3305081303690001</v>
          </cell>
          <cell r="E101" t="str">
            <v>NOLOSARAN RT 03/03</v>
          </cell>
          <cell r="F101" t="str">
            <v>SARWOGADUNG</v>
          </cell>
          <cell r="G101" t="str">
            <v>MIRIT</v>
          </cell>
          <cell r="H101">
            <v>7500000</v>
          </cell>
          <cell r="I101" t="str">
            <v xml:space="preserve"> MIRIT</v>
          </cell>
          <cell r="J101">
            <v>6726</v>
          </cell>
          <cell r="K101" t="str">
            <v>031/05/2014</v>
          </cell>
          <cell r="L101" t="str">
            <v>5 MEI 2014</v>
          </cell>
        </row>
        <row r="102">
          <cell r="A102">
            <v>118</v>
          </cell>
          <cell r="B102" t="str">
            <v>MARSINAH</v>
          </cell>
          <cell r="C102" t="str">
            <v>P</v>
          </cell>
          <cell r="D102" t="str">
            <v>3305084507760003</v>
          </cell>
          <cell r="E102" t="str">
            <v>NOLOSARAN RT 03/03</v>
          </cell>
          <cell r="F102" t="str">
            <v>SARWOGADUNG</v>
          </cell>
          <cell r="G102" t="str">
            <v>MIRIT</v>
          </cell>
          <cell r="H102">
            <v>7500000</v>
          </cell>
          <cell r="I102" t="str">
            <v xml:space="preserve"> MIRIT</v>
          </cell>
          <cell r="J102">
            <v>6726</v>
          </cell>
          <cell r="K102" t="str">
            <v>031/05/2014</v>
          </cell>
          <cell r="L102" t="str">
            <v>5 MEI 2014</v>
          </cell>
        </row>
        <row r="103">
          <cell r="A103">
            <v>120</v>
          </cell>
          <cell r="B103" t="str">
            <v>MUKSON</v>
          </cell>
          <cell r="C103" t="str">
            <v>L</v>
          </cell>
          <cell r="D103" t="str">
            <v>3305082305640001</v>
          </cell>
          <cell r="E103" t="str">
            <v>NOLOSARAN RT 03/03</v>
          </cell>
          <cell r="F103" t="str">
            <v>SARWOGADUNG</v>
          </cell>
          <cell r="G103" t="str">
            <v>MIRIT</v>
          </cell>
          <cell r="H103">
            <v>7500000</v>
          </cell>
          <cell r="I103" t="str">
            <v xml:space="preserve"> MIRIT</v>
          </cell>
          <cell r="J103">
            <v>6726</v>
          </cell>
          <cell r="K103" t="str">
            <v>031/05/2014</v>
          </cell>
          <cell r="L103" t="str">
            <v>5 MEI 2014</v>
          </cell>
        </row>
        <row r="104">
          <cell r="A104">
            <v>122</v>
          </cell>
          <cell r="B104" t="str">
            <v>MANISO</v>
          </cell>
          <cell r="C104" t="str">
            <v>L</v>
          </cell>
          <cell r="D104" t="str">
            <v>3305080912660001</v>
          </cell>
          <cell r="E104" t="str">
            <v>NOLOSARAN RT 03/03</v>
          </cell>
          <cell r="F104" t="str">
            <v>SARWOGADUNG</v>
          </cell>
          <cell r="G104" t="str">
            <v>MIRIT</v>
          </cell>
          <cell r="H104">
            <v>7500000</v>
          </cell>
          <cell r="I104" t="str">
            <v xml:space="preserve"> MIRIT</v>
          </cell>
          <cell r="J104">
            <v>6726</v>
          </cell>
          <cell r="K104" t="str">
            <v>031/05/2014</v>
          </cell>
          <cell r="L104" t="str">
            <v>5 MEI 2014</v>
          </cell>
        </row>
        <row r="105">
          <cell r="A105">
            <v>124</v>
          </cell>
          <cell r="B105" t="str">
            <v>PARYONO</v>
          </cell>
          <cell r="C105" t="str">
            <v>L</v>
          </cell>
          <cell r="D105" t="str">
            <v>3305082112720001</v>
          </cell>
          <cell r="E105" t="str">
            <v>NOLOSARAN RT 03/03</v>
          </cell>
          <cell r="F105" t="str">
            <v>SARWOGADUNG</v>
          </cell>
          <cell r="G105" t="str">
            <v>MIRIT</v>
          </cell>
          <cell r="H105">
            <v>7500000</v>
          </cell>
          <cell r="I105" t="str">
            <v xml:space="preserve"> MIRIT</v>
          </cell>
          <cell r="J105">
            <v>6726</v>
          </cell>
          <cell r="K105" t="str">
            <v>031/05/2014</v>
          </cell>
          <cell r="L105" t="str">
            <v>5 MEI 2014</v>
          </cell>
        </row>
        <row r="106">
          <cell r="A106">
            <v>125</v>
          </cell>
          <cell r="B106" t="str">
            <v>MUSINAH</v>
          </cell>
          <cell r="C106" t="str">
            <v>P</v>
          </cell>
          <cell r="D106" t="str">
            <v>3305085210370004</v>
          </cell>
          <cell r="E106" t="str">
            <v>NOLOSARAN RT 04/03</v>
          </cell>
          <cell r="F106" t="str">
            <v>SARWOGADUNG</v>
          </cell>
          <cell r="G106" t="str">
            <v>MIRIT</v>
          </cell>
          <cell r="H106">
            <v>7500000</v>
          </cell>
          <cell r="I106" t="str">
            <v xml:space="preserve"> MIRIT</v>
          </cell>
          <cell r="J106">
            <v>6726</v>
          </cell>
          <cell r="K106" t="str">
            <v>031/05/2014</v>
          </cell>
          <cell r="L106" t="str">
            <v>5 MEI 2014</v>
          </cell>
        </row>
        <row r="107">
          <cell r="A107">
            <v>126</v>
          </cell>
          <cell r="B107" t="str">
            <v>PONIRAN</v>
          </cell>
          <cell r="C107" t="str">
            <v>L</v>
          </cell>
          <cell r="D107" t="str">
            <v>3305081010720003</v>
          </cell>
          <cell r="E107" t="str">
            <v>KEBURUHAN RT 02/04</v>
          </cell>
          <cell r="F107" t="str">
            <v>SARWOGADUNG</v>
          </cell>
          <cell r="G107" t="str">
            <v>MIRIT</v>
          </cell>
          <cell r="H107">
            <v>7500000</v>
          </cell>
          <cell r="I107" t="str">
            <v xml:space="preserve"> MIRIT</v>
          </cell>
          <cell r="J107">
            <v>6726</v>
          </cell>
          <cell r="K107" t="str">
            <v>031/05/2014</v>
          </cell>
          <cell r="L107" t="str">
            <v>5 MEI 2014</v>
          </cell>
        </row>
        <row r="108">
          <cell r="A108">
            <v>127</v>
          </cell>
          <cell r="B108" t="str">
            <v>WAIYAH</v>
          </cell>
          <cell r="C108" t="str">
            <v>P</v>
          </cell>
          <cell r="D108" t="str">
            <v>3305084207400002</v>
          </cell>
          <cell r="E108" t="str">
            <v>KEBURUHAN RT 02/04</v>
          </cell>
          <cell r="F108" t="str">
            <v>SARWOGADUNG</v>
          </cell>
          <cell r="G108" t="str">
            <v>MIRIT</v>
          </cell>
          <cell r="H108">
            <v>7500000</v>
          </cell>
          <cell r="I108" t="str">
            <v xml:space="preserve"> MIRIT</v>
          </cell>
          <cell r="J108">
            <v>6726</v>
          </cell>
          <cell r="K108" t="str">
            <v>031/05/2014</v>
          </cell>
          <cell r="L108" t="str">
            <v>5 MEI 2014</v>
          </cell>
        </row>
        <row r="109">
          <cell r="A109">
            <v>128</v>
          </cell>
          <cell r="B109" t="str">
            <v>WARIS</v>
          </cell>
          <cell r="C109" t="str">
            <v>L</v>
          </cell>
          <cell r="D109" t="str">
            <v>3305081503630002</v>
          </cell>
          <cell r="E109" t="str">
            <v>KEBURUHAN RT 02/04</v>
          </cell>
          <cell r="F109" t="str">
            <v>SARWOGADUNG</v>
          </cell>
          <cell r="G109" t="str">
            <v>MIRIT</v>
          </cell>
          <cell r="H109">
            <v>7500000</v>
          </cell>
          <cell r="I109" t="str">
            <v xml:space="preserve"> MIRIT</v>
          </cell>
          <cell r="J109">
            <v>6726</v>
          </cell>
          <cell r="K109" t="str">
            <v>031/05/2014</v>
          </cell>
          <cell r="L109" t="str">
            <v>5 MEI 2014</v>
          </cell>
        </row>
        <row r="110">
          <cell r="A110">
            <v>129</v>
          </cell>
          <cell r="B110" t="str">
            <v>EDI WINARNO</v>
          </cell>
          <cell r="C110" t="str">
            <v>L</v>
          </cell>
          <cell r="D110" t="str">
            <v>3305082504610002</v>
          </cell>
          <cell r="E110" t="str">
            <v>KEBURUHAN RT 02/04</v>
          </cell>
          <cell r="F110" t="str">
            <v>SARWOGADUNG</v>
          </cell>
          <cell r="G110" t="str">
            <v>MIRIT</v>
          </cell>
          <cell r="H110">
            <v>7500000</v>
          </cell>
          <cell r="I110" t="str">
            <v xml:space="preserve"> MIRIT</v>
          </cell>
          <cell r="J110">
            <v>6726</v>
          </cell>
          <cell r="K110" t="str">
            <v>031/05/2014</v>
          </cell>
          <cell r="L110" t="str">
            <v>5 MEI 2014</v>
          </cell>
        </row>
        <row r="111">
          <cell r="A111">
            <v>130</v>
          </cell>
          <cell r="B111" t="str">
            <v>HADI PRANOTO</v>
          </cell>
          <cell r="C111" t="str">
            <v>L</v>
          </cell>
          <cell r="D111" t="str">
            <v>3305080408510001</v>
          </cell>
          <cell r="E111" t="str">
            <v>KEBURUHAN RT 02/04</v>
          </cell>
          <cell r="F111" t="str">
            <v>SARWOGADUNG</v>
          </cell>
          <cell r="G111" t="str">
            <v>MIRIT</v>
          </cell>
          <cell r="H111">
            <v>7500000</v>
          </cell>
          <cell r="I111" t="str">
            <v xml:space="preserve"> MIRIT</v>
          </cell>
          <cell r="J111">
            <v>6726</v>
          </cell>
          <cell r="K111" t="str">
            <v>031/05/2014</v>
          </cell>
          <cell r="L111" t="str">
            <v>5 MEI 2014</v>
          </cell>
        </row>
        <row r="112">
          <cell r="A112">
            <v>131</v>
          </cell>
          <cell r="B112" t="str">
            <v>SARIJO</v>
          </cell>
          <cell r="C112" t="str">
            <v>L</v>
          </cell>
          <cell r="D112" t="str">
            <v>3305081810620002</v>
          </cell>
          <cell r="E112" t="str">
            <v>KEBURUHAN RT 02/04</v>
          </cell>
          <cell r="F112" t="str">
            <v>SARWOGADUNG</v>
          </cell>
          <cell r="G112" t="str">
            <v>MIRIT</v>
          </cell>
          <cell r="H112">
            <v>7500000</v>
          </cell>
          <cell r="I112" t="str">
            <v xml:space="preserve"> MIRIT</v>
          </cell>
          <cell r="J112">
            <v>6726</v>
          </cell>
          <cell r="K112" t="str">
            <v>031/05/2014</v>
          </cell>
          <cell r="L112" t="str">
            <v>5 MEI 2014</v>
          </cell>
        </row>
        <row r="113">
          <cell r="A113">
            <v>132</v>
          </cell>
          <cell r="B113" t="str">
            <v>M. HARIYANTO</v>
          </cell>
          <cell r="C113" t="str">
            <v>L</v>
          </cell>
          <cell r="D113" t="str">
            <v>3305082103750003</v>
          </cell>
          <cell r="E113" t="str">
            <v>KEBURUHAN RT 01/04</v>
          </cell>
          <cell r="F113" t="str">
            <v>SARWOGADUNG</v>
          </cell>
          <cell r="G113" t="str">
            <v>MIRIT</v>
          </cell>
          <cell r="H113">
            <v>7500000</v>
          </cell>
          <cell r="I113" t="str">
            <v xml:space="preserve"> MIRIT</v>
          </cell>
          <cell r="J113">
            <v>6726</v>
          </cell>
          <cell r="K113" t="str">
            <v>031/05/2014</v>
          </cell>
          <cell r="L113" t="str">
            <v>5 MEI 2014</v>
          </cell>
        </row>
        <row r="114">
          <cell r="A114">
            <v>133</v>
          </cell>
          <cell r="B114" t="str">
            <v>NGADIKUN</v>
          </cell>
          <cell r="C114" t="str">
            <v>L</v>
          </cell>
          <cell r="D114" t="str">
            <v>3305080305560001</v>
          </cell>
          <cell r="E114" t="str">
            <v>KEBURUHAN RT 02/04</v>
          </cell>
          <cell r="F114" t="str">
            <v>SARWOGADUNG</v>
          </cell>
          <cell r="G114" t="str">
            <v>MIRIT</v>
          </cell>
          <cell r="H114">
            <v>7500000</v>
          </cell>
          <cell r="I114" t="str">
            <v xml:space="preserve"> MIRIT</v>
          </cell>
          <cell r="J114">
            <v>6726</v>
          </cell>
          <cell r="K114" t="str">
            <v>031/05/2014</v>
          </cell>
          <cell r="L114" t="str">
            <v>5 MEI 2014</v>
          </cell>
        </row>
        <row r="115">
          <cell r="A115">
            <v>135</v>
          </cell>
          <cell r="B115" t="str">
            <v>ATMOJO UTOMO</v>
          </cell>
          <cell r="C115" t="str">
            <v>L</v>
          </cell>
          <cell r="D115" t="str">
            <v>3305080101570013</v>
          </cell>
          <cell r="E115" t="str">
            <v>KEBURUHAN RT 02/04</v>
          </cell>
          <cell r="F115" t="str">
            <v>SARWOGADUNG</v>
          </cell>
          <cell r="G115" t="str">
            <v>MIRIT</v>
          </cell>
          <cell r="H115">
            <v>7500000</v>
          </cell>
          <cell r="I115" t="str">
            <v xml:space="preserve"> MIRIT</v>
          </cell>
          <cell r="J115">
            <v>6726</v>
          </cell>
          <cell r="K115" t="str">
            <v>031/05/2014</v>
          </cell>
          <cell r="L115" t="str">
            <v>5 MEI 2014</v>
          </cell>
        </row>
        <row r="116">
          <cell r="A116">
            <v>136</v>
          </cell>
          <cell r="B116" t="str">
            <v>PAINEM</v>
          </cell>
          <cell r="C116" t="str">
            <v>P</v>
          </cell>
          <cell r="D116" t="str">
            <v>3305084206450001</v>
          </cell>
          <cell r="E116" t="str">
            <v>KEBURUHAN RT 02/04</v>
          </cell>
          <cell r="F116" t="str">
            <v>SARWOGADUNG</v>
          </cell>
          <cell r="G116" t="str">
            <v>MIRIT</v>
          </cell>
          <cell r="H116">
            <v>7500000</v>
          </cell>
          <cell r="I116" t="str">
            <v xml:space="preserve"> MIRIT</v>
          </cell>
          <cell r="J116">
            <v>6726</v>
          </cell>
          <cell r="K116" t="str">
            <v>031/05/2014</v>
          </cell>
          <cell r="L116" t="str">
            <v>5 MEI 2014</v>
          </cell>
        </row>
        <row r="117">
          <cell r="A117">
            <v>137</v>
          </cell>
          <cell r="B117" t="str">
            <v>PAIJO</v>
          </cell>
          <cell r="C117" t="str">
            <v>L</v>
          </cell>
          <cell r="D117" t="str">
            <v>3305080607660001</v>
          </cell>
          <cell r="E117" t="str">
            <v>KEBURUHAN RT 02/04</v>
          </cell>
          <cell r="F117" t="str">
            <v>SARWOGADUNG</v>
          </cell>
          <cell r="G117" t="str">
            <v>MIRIT</v>
          </cell>
          <cell r="H117">
            <v>7500000</v>
          </cell>
          <cell r="I117" t="str">
            <v xml:space="preserve"> MIRIT</v>
          </cell>
          <cell r="J117">
            <v>6726</v>
          </cell>
          <cell r="K117" t="str">
            <v>031/05/2014</v>
          </cell>
          <cell r="L117" t="str">
            <v>5 MEI 2014</v>
          </cell>
        </row>
        <row r="118">
          <cell r="A118">
            <v>140</v>
          </cell>
          <cell r="B118" t="str">
            <v>MANISO</v>
          </cell>
          <cell r="C118" t="str">
            <v>L</v>
          </cell>
          <cell r="D118" t="str">
            <v>3305082507540001</v>
          </cell>
          <cell r="E118" t="str">
            <v>KEBURUHAN RT 02/04</v>
          </cell>
          <cell r="F118" t="str">
            <v>SARWOGADUNG</v>
          </cell>
          <cell r="G118" t="str">
            <v>MIRIT</v>
          </cell>
          <cell r="H118">
            <v>7500000</v>
          </cell>
          <cell r="I118" t="str">
            <v xml:space="preserve"> MIRIT</v>
          </cell>
          <cell r="J118">
            <v>6726</v>
          </cell>
          <cell r="K118" t="str">
            <v>031/05/2014</v>
          </cell>
          <cell r="L118" t="str">
            <v>5 MEI 2014</v>
          </cell>
        </row>
        <row r="119">
          <cell r="A119">
            <v>143</v>
          </cell>
          <cell r="B119" t="str">
            <v>SULASTRI</v>
          </cell>
          <cell r="C119" t="str">
            <v>P</v>
          </cell>
          <cell r="D119" t="str">
            <v>3305085010650001</v>
          </cell>
          <cell r="E119" t="str">
            <v>KEBURUHAN RT 02/04</v>
          </cell>
          <cell r="F119" t="str">
            <v>SARWOGADUNG</v>
          </cell>
          <cell r="G119" t="str">
            <v>MIRIT</v>
          </cell>
          <cell r="H119">
            <v>7500000</v>
          </cell>
          <cell r="I119" t="str">
            <v xml:space="preserve"> MIRIT</v>
          </cell>
          <cell r="J119">
            <v>6726</v>
          </cell>
          <cell r="K119" t="str">
            <v>031/05/2014</v>
          </cell>
          <cell r="L119" t="str">
            <v>5 MEI 2014</v>
          </cell>
        </row>
        <row r="120">
          <cell r="A120">
            <v>144</v>
          </cell>
          <cell r="B120" t="str">
            <v>ADI UTOMO</v>
          </cell>
          <cell r="C120" t="str">
            <v>L</v>
          </cell>
          <cell r="D120" t="str">
            <v>3305080101520009</v>
          </cell>
          <cell r="E120" t="str">
            <v>KEBURUHAN RT 02/04</v>
          </cell>
          <cell r="F120" t="str">
            <v>SARWOGADUNG</v>
          </cell>
          <cell r="G120" t="str">
            <v>MIRIT</v>
          </cell>
          <cell r="H120">
            <v>7500000</v>
          </cell>
          <cell r="I120" t="str">
            <v xml:space="preserve"> MIRIT</v>
          </cell>
          <cell r="J120">
            <v>6726</v>
          </cell>
          <cell r="K120" t="str">
            <v>031/05/2014</v>
          </cell>
          <cell r="L120" t="str">
            <v>5 MEI 2014</v>
          </cell>
        </row>
        <row r="121">
          <cell r="A121">
            <v>146</v>
          </cell>
          <cell r="B121" t="str">
            <v>SUGITO</v>
          </cell>
          <cell r="C121" t="str">
            <v>L</v>
          </cell>
          <cell r="D121" t="str">
            <v>3305080901700002</v>
          </cell>
          <cell r="E121" t="str">
            <v>KEBURUHAN RT 01/04</v>
          </cell>
          <cell r="F121" t="str">
            <v>SARWOGADUNG</v>
          </cell>
          <cell r="G121" t="str">
            <v>MIRIT</v>
          </cell>
          <cell r="H121">
            <v>7500000</v>
          </cell>
          <cell r="I121" t="str">
            <v xml:space="preserve"> MIRIT</v>
          </cell>
          <cell r="J121">
            <v>6726</v>
          </cell>
          <cell r="K121" t="str">
            <v>031/05/2014</v>
          </cell>
          <cell r="L121" t="str">
            <v>5 MEI 2014</v>
          </cell>
        </row>
        <row r="122">
          <cell r="A122">
            <v>147</v>
          </cell>
          <cell r="B122" t="str">
            <v>MARTO UTOMO</v>
          </cell>
          <cell r="C122" t="str">
            <v>L</v>
          </cell>
          <cell r="D122" t="str">
            <v>3305081206600004</v>
          </cell>
          <cell r="E122" t="str">
            <v>KEBURUHAN RT 01/05</v>
          </cell>
          <cell r="F122" t="str">
            <v>SARWOGADUNG</v>
          </cell>
          <cell r="G122" t="str">
            <v>MIRIT</v>
          </cell>
          <cell r="H122">
            <v>7500000</v>
          </cell>
          <cell r="I122" t="str">
            <v xml:space="preserve"> MIRIT</v>
          </cell>
          <cell r="J122">
            <v>6726</v>
          </cell>
          <cell r="K122" t="str">
            <v>031/05/2014</v>
          </cell>
          <cell r="L122" t="str">
            <v>5 MEI 2014</v>
          </cell>
        </row>
        <row r="123">
          <cell r="A123">
            <v>148</v>
          </cell>
          <cell r="B123" t="str">
            <v>SAINAH</v>
          </cell>
          <cell r="C123" t="str">
            <v>P</v>
          </cell>
          <cell r="D123" t="str">
            <v>3305084108640002</v>
          </cell>
          <cell r="E123" t="str">
            <v>KEBURUHAN RT 02/04</v>
          </cell>
          <cell r="F123" t="str">
            <v>SARWOGADUNG</v>
          </cell>
          <cell r="G123" t="str">
            <v>MIRIT</v>
          </cell>
          <cell r="H123">
            <v>7500000</v>
          </cell>
          <cell r="I123" t="str">
            <v xml:space="preserve"> MIRIT</v>
          </cell>
          <cell r="J123">
            <v>6726</v>
          </cell>
          <cell r="K123" t="str">
            <v>031/05/2014</v>
          </cell>
          <cell r="L123" t="str">
            <v>5 MEI 2014</v>
          </cell>
        </row>
        <row r="124">
          <cell r="A124">
            <v>149</v>
          </cell>
          <cell r="B124" t="str">
            <v>PARDI</v>
          </cell>
          <cell r="C124" t="str">
            <v>L</v>
          </cell>
          <cell r="D124" t="str">
            <v>3305082911790001</v>
          </cell>
          <cell r="E124" t="str">
            <v>KEBURUHAN RT 02/04</v>
          </cell>
          <cell r="F124" t="str">
            <v>SARWOGADUNG</v>
          </cell>
          <cell r="G124" t="str">
            <v>MIRIT</v>
          </cell>
          <cell r="H124">
            <v>7500000</v>
          </cell>
          <cell r="I124" t="str">
            <v xml:space="preserve"> MIRIT</v>
          </cell>
          <cell r="J124">
            <v>6726</v>
          </cell>
          <cell r="K124" t="str">
            <v>031/05/2014</v>
          </cell>
          <cell r="L124" t="str">
            <v>5 MEI 2014</v>
          </cell>
        </row>
        <row r="125">
          <cell r="A125">
            <v>150</v>
          </cell>
          <cell r="B125" t="str">
            <v>SOLIKIN</v>
          </cell>
          <cell r="C125" t="str">
            <v>L</v>
          </cell>
          <cell r="D125" t="str">
            <v>3305080909870001</v>
          </cell>
          <cell r="E125" t="str">
            <v>JURU TENGAH RT 01/02</v>
          </cell>
          <cell r="F125" t="str">
            <v>SARWOGADUNG</v>
          </cell>
          <cell r="G125" t="str">
            <v>MIRIT</v>
          </cell>
          <cell r="H125">
            <v>7500000</v>
          </cell>
          <cell r="I125" t="str">
            <v xml:space="preserve"> MIRIT</v>
          </cell>
          <cell r="J125">
            <v>6726</v>
          </cell>
          <cell r="K125" t="str">
            <v>031/05/2014</v>
          </cell>
          <cell r="L125" t="str">
            <v>5 MEI 2014</v>
          </cell>
        </row>
        <row r="126">
          <cell r="A126">
            <v>151</v>
          </cell>
          <cell r="B126" t="str">
            <v>MOH. NURHIDAYAT</v>
          </cell>
          <cell r="C126" t="str">
            <v>L</v>
          </cell>
          <cell r="D126" t="str">
            <v>3305081312800001</v>
          </cell>
          <cell r="E126" t="str">
            <v>DK PELUTAN RT 03/02</v>
          </cell>
          <cell r="F126" t="str">
            <v>SARWOGADUNG</v>
          </cell>
          <cell r="G126" t="str">
            <v>MIRIT</v>
          </cell>
          <cell r="H126">
            <v>7500000</v>
          </cell>
          <cell r="I126" t="str">
            <v xml:space="preserve"> MIRIT</v>
          </cell>
          <cell r="J126">
            <v>6726</v>
          </cell>
          <cell r="K126" t="str">
            <v>031/05/2014</v>
          </cell>
          <cell r="L126" t="str">
            <v>5 MEI 2014</v>
          </cell>
        </row>
        <row r="127">
          <cell r="A127">
            <v>154</v>
          </cell>
          <cell r="B127" t="str">
            <v>YUDO SISWO SAPUTRO</v>
          </cell>
          <cell r="C127" t="str">
            <v>L</v>
          </cell>
          <cell r="D127" t="str">
            <v>3305080707770005</v>
          </cell>
          <cell r="E127" t="str">
            <v>KARANG BAKENG RT 05/02</v>
          </cell>
          <cell r="F127" t="str">
            <v>SARWOGADUNG</v>
          </cell>
          <cell r="G127" t="str">
            <v>MIRIT</v>
          </cell>
          <cell r="H127">
            <v>7500000</v>
          </cell>
          <cell r="I127" t="str">
            <v xml:space="preserve"> MIRIT</v>
          </cell>
          <cell r="J127">
            <v>6726</v>
          </cell>
          <cell r="K127" t="str">
            <v>031/05/2014</v>
          </cell>
          <cell r="L127" t="str">
            <v>5 MEI 2014</v>
          </cell>
        </row>
        <row r="128">
          <cell r="A128">
            <v>155</v>
          </cell>
          <cell r="B128" t="str">
            <v>MARTINI</v>
          </cell>
          <cell r="C128" t="str">
            <v>P</v>
          </cell>
          <cell r="D128" t="str">
            <v>3305084205380001</v>
          </cell>
          <cell r="E128" t="str">
            <v>KARANG BAKENG RT 05/02</v>
          </cell>
          <cell r="F128" t="str">
            <v>SARWOGADUNG</v>
          </cell>
          <cell r="G128" t="str">
            <v>MIRIT</v>
          </cell>
          <cell r="H128">
            <v>7500000</v>
          </cell>
          <cell r="I128" t="str">
            <v xml:space="preserve"> MIRIT</v>
          </cell>
          <cell r="J128">
            <v>6726</v>
          </cell>
          <cell r="K128" t="str">
            <v>031/05/2014</v>
          </cell>
          <cell r="L128" t="str">
            <v>5 MEI 2014</v>
          </cell>
        </row>
        <row r="129">
          <cell r="A129">
            <v>156</v>
          </cell>
          <cell r="B129" t="str">
            <v>AMAD MIARTO</v>
          </cell>
          <cell r="C129" t="str">
            <v>L</v>
          </cell>
          <cell r="D129" t="str">
            <v>3305081303310001</v>
          </cell>
          <cell r="E129" t="str">
            <v>KARANG BAKENG RT 06/02</v>
          </cell>
          <cell r="F129" t="str">
            <v>SARWOGADUNG</v>
          </cell>
          <cell r="G129" t="str">
            <v>MIRIT</v>
          </cell>
          <cell r="H129">
            <v>7500000</v>
          </cell>
          <cell r="I129" t="str">
            <v xml:space="preserve"> MIRIT</v>
          </cell>
          <cell r="J129">
            <v>6726</v>
          </cell>
          <cell r="K129" t="str">
            <v>031/05/2014</v>
          </cell>
          <cell r="L129" t="str">
            <v>5 MEI 2014</v>
          </cell>
        </row>
        <row r="130">
          <cell r="A130">
            <v>157</v>
          </cell>
          <cell r="B130" t="str">
            <v>SUROSO</v>
          </cell>
          <cell r="C130" t="str">
            <v>L</v>
          </cell>
          <cell r="D130" t="str">
            <v>3305081512630001</v>
          </cell>
          <cell r="E130" t="str">
            <v>KARANG BAKENG RT 06/02</v>
          </cell>
          <cell r="F130" t="str">
            <v>SARWOGADUNG</v>
          </cell>
          <cell r="G130" t="str">
            <v>MIRIT</v>
          </cell>
          <cell r="H130">
            <v>7500000</v>
          </cell>
          <cell r="I130" t="str">
            <v xml:space="preserve"> MIRIT</v>
          </cell>
          <cell r="J130">
            <v>6726</v>
          </cell>
          <cell r="K130" t="str">
            <v>031/05/2014</v>
          </cell>
          <cell r="L130" t="str">
            <v>5 MEI 2014</v>
          </cell>
        </row>
        <row r="131">
          <cell r="A131">
            <v>158</v>
          </cell>
          <cell r="B131" t="str">
            <v>AMAD FAJERI</v>
          </cell>
          <cell r="C131" t="str">
            <v>L</v>
          </cell>
          <cell r="D131" t="str">
            <v>3305081103260001</v>
          </cell>
          <cell r="E131" t="str">
            <v>KARANG BAKENG RT 06/02</v>
          </cell>
          <cell r="F131" t="str">
            <v>SARWOGADUNG</v>
          </cell>
          <cell r="G131" t="str">
            <v>MIRIT</v>
          </cell>
          <cell r="H131">
            <v>7500000</v>
          </cell>
          <cell r="I131" t="str">
            <v xml:space="preserve"> MIRIT</v>
          </cell>
          <cell r="J131">
            <v>6726</v>
          </cell>
          <cell r="K131" t="str">
            <v>031/05/2014</v>
          </cell>
          <cell r="L131" t="str">
            <v>5 MEI 2014</v>
          </cell>
        </row>
        <row r="132">
          <cell r="A132">
            <v>159</v>
          </cell>
          <cell r="B132" t="str">
            <v>PAWIT RAYITNO</v>
          </cell>
          <cell r="C132" t="str">
            <v>L</v>
          </cell>
          <cell r="D132" t="str">
            <v>3305080907530001</v>
          </cell>
          <cell r="E132" t="str">
            <v>KARANG BAKENG RT 06/02</v>
          </cell>
          <cell r="F132" t="str">
            <v>SARWOGADUNG</v>
          </cell>
          <cell r="G132" t="str">
            <v>MIRIT</v>
          </cell>
          <cell r="H132">
            <v>7500000</v>
          </cell>
          <cell r="I132" t="str">
            <v xml:space="preserve"> MIRIT</v>
          </cell>
          <cell r="J132">
            <v>6726</v>
          </cell>
          <cell r="K132" t="str">
            <v>031/05/2014</v>
          </cell>
          <cell r="L132" t="str">
            <v>5 MEI 2014</v>
          </cell>
        </row>
        <row r="133">
          <cell r="A133">
            <v>160</v>
          </cell>
          <cell r="B133" t="str">
            <v>ARI BANGUN SUTRISNO</v>
          </cell>
          <cell r="C133" t="str">
            <v>L</v>
          </cell>
          <cell r="D133" t="str">
            <v>3305080210570002</v>
          </cell>
          <cell r="E133" t="str">
            <v>KARANG BAKENG RT 06/02</v>
          </cell>
          <cell r="F133" t="str">
            <v>SARWOGADUNG</v>
          </cell>
          <cell r="G133" t="str">
            <v>MIRIT</v>
          </cell>
          <cell r="H133">
            <v>7500000</v>
          </cell>
          <cell r="I133" t="str">
            <v xml:space="preserve"> MIRIT</v>
          </cell>
          <cell r="J133">
            <v>6726</v>
          </cell>
          <cell r="K133" t="str">
            <v>031/05/2014</v>
          </cell>
          <cell r="L133" t="str">
            <v>5 MEI 2014</v>
          </cell>
        </row>
        <row r="134">
          <cell r="A134">
            <v>162</v>
          </cell>
          <cell r="B134" t="str">
            <v>SALBIYAH</v>
          </cell>
          <cell r="C134" t="str">
            <v>P</v>
          </cell>
          <cell r="D134" t="str">
            <v>3305084107230049</v>
          </cell>
          <cell r="E134" t="str">
            <v>SARWOGADUNG RT 01/03</v>
          </cell>
          <cell r="F134" t="str">
            <v>SARWOGADUNG</v>
          </cell>
          <cell r="G134" t="str">
            <v>MIRIT</v>
          </cell>
          <cell r="H134">
            <v>7500000</v>
          </cell>
          <cell r="I134" t="str">
            <v xml:space="preserve"> MIRIT</v>
          </cell>
          <cell r="J134">
            <v>6726</v>
          </cell>
          <cell r="K134" t="str">
            <v>031/05/2014</v>
          </cell>
          <cell r="L134" t="str">
            <v>5 MEI 2014</v>
          </cell>
        </row>
        <row r="135">
          <cell r="A135">
            <v>163</v>
          </cell>
          <cell r="B135" t="str">
            <v>MARSIYAN</v>
          </cell>
          <cell r="C135" t="str">
            <v>P</v>
          </cell>
          <cell r="D135" t="str">
            <v>3305085403810001</v>
          </cell>
          <cell r="E135" t="str">
            <v>NOLOSARAN RT 03/03</v>
          </cell>
          <cell r="F135" t="str">
            <v>SARWOGADUNG</v>
          </cell>
          <cell r="G135" t="str">
            <v>MIRIT</v>
          </cell>
          <cell r="H135">
            <v>7500000</v>
          </cell>
          <cell r="I135" t="str">
            <v xml:space="preserve"> MIRIT</v>
          </cell>
          <cell r="J135">
            <v>6726</v>
          </cell>
          <cell r="K135" t="str">
            <v>031/05/2014</v>
          </cell>
          <cell r="L135" t="str">
            <v>5 MEI 2014</v>
          </cell>
        </row>
        <row r="136">
          <cell r="A136">
            <v>164</v>
          </cell>
          <cell r="B136" t="str">
            <v>SUKARNO</v>
          </cell>
          <cell r="C136" t="str">
            <v>L</v>
          </cell>
          <cell r="D136" t="str">
            <v>3305080101370006</v>
          </cell>
          <cell r="E136" t="str">
            <v>SARWOGADUNG RT 04/01</v>
          </cell>
          <cell r="F136" t="str">
            <v>SARWOGADUNG</v>
          </cell>
          <cell r="G136" t="str">
            <v>MIRIT</v>
          </cell>
          <cell r="H136">
            <v>7500000</v>
          </cell>
          <cell r="I136" t="str">
            <v xml:space="preserve"> MIRIT</v>
          </cell>
          <cell r="J136">
            <v>6726</v>
          </cell>
          <cell r="K136" t="str">
            <v>031/05/2014</v>
          </cell>
          <cell r="L136" t="str">
            <v>5 MEI 2014</v>
          </cell>
        </row>
        <row r="137">
          <cell r="A137">
            <v>165</v>
          </cell>
          <cell r="B137" t="str">
            <v>SANISWAN</v>
          </cell>
          <cell r="C137" t="str">
            <v>L</v>
          </cell>
          <cell r="D137" t="str">
            <v>3305081502440001</v>
          </cell>
          <cell r="E137" t="str">
            <v>PENGUMPAN RT 04/01</v>
          </cell>
          <cell r="F137" t="str">
            <v>SARWOGADUNG</v>
          </cell>
          <cell r="G137" t="str">
            <v>MIRIT</v>
          </cell>
          <cell r="H137">
            <v>7500000</v>
          </cell>
          <cell r="I137" t="str">
            <v xml:space="preserve"> MIRIT</v>
          </cell>
          <cell r="J137">
            <v>6726</v>
          </cell>
          <cell r="K137" t="str">
            <v>031/05/2014</v>
          </cell>
          <cell r="L137" t="str">
            <v>5 MEI 2014</v>
          </cell>
        </row>
        <row r="138">
          <cell r="A138">
            <v>166</v>
          </cell>
          <cell r="B138" t="str">
            <v>ROTO MULYO</v>
          </cell>
          <cell r="C138" t="str">
            <v>L</v>
          </cell>
          <cell r="D138" t="str">
            <v>3305080604420001</v>
          </cell>
          <cell r="E138" t="str">
            <v>PENGUMPAN RT 04/01</v>
          </cell>
          <cell r="F138" t="str">
            <v>SARWOGADUNG</v>
          </cell>
          <cell r="G138" t="str">
            <v>MIRIT</v>
          </cell>
          <cell r="H138">
            <v>7500000</v>
          </cell>
          <cell r="I138" t="str">
            <v xml:space="preserve"> MIRIT</v>
          </cell>
          <cell r="J138">
            <v>6726</v>
          </cell>
          <cell r="K138" t="str">
            <v>031/05/2014</v>
          </cell>
          <cell r="L138" t="str">
            <v>5 MEI 2014</v>
          </cell>
        </row>
      </sheetData>
      <sheetData sheetId="4"/>
      <sheetData sheetId="5"/>
      <sheetData sheetId="6">
        <row r="230">
          <cell r="O230">
            <v>105656.4</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hn+upah"/>
      <sheetName val="analisa"/>
      <sheetName val="Rab_Tot"/>
      <sheetName val="Rekap"/>
      <sheetName val="STR"/>
      <sheetName val="REKAP_STR"/>
      <sheetName val="ARS"/>
      <sheetName val="REKAP_ARS"/>
      <sheetName val="ME"/>
      <sheetName val="REKAP_ME"/>
      <sheetName val="kaca"/>
      <sheetName val="tulangan"/>
      <sheetName val="rekap-tul"/>
      <sheetName val="rekap-vol"/>
      <sheetName val="vol_str"/>
      <sheetName val="vol_beton"/>
      <sheetName val="vol_ars"/>
      <sheetName val="kusen"/>
      <sheetName val="HargaCCO"/>
      <sheetName val="Dftharga"/>
      <sheetName val="matre"/>
    </sheetNames>
    <sheetDataSet>
      <sheetData sheetId="0" refreshError="1"/>
      <sheetData sheetId="1" refreshError="1"/>
      <sheetData sheetId="2" refreshError="1"/>
      <sheetData sheetId="3" refreshError="1"/>
      <sheetData sheetId="4">
        <row r="4">
          <cell r="L4">
            <v>1.07</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covered_Sheet1"/>
      <sheetName val="Recovered_Sheet2"/>
      <sheetName val="000000"/>
      <sheetName val="laroux"/>
      <sheetName val="laroux_2"/>
      <sheetName val="sat-alat"/>
      <sheetName val="alat"/>
      <sheetName val="upahbahan"/>
      <sheetName val="analisa"/>
      <sheetName val="rab-rtk"/>
      <sheetName val="vol-jln"/>
      <sheetName val="vol-der"/>
      <sheetName val="rab.ter"/>
      <sheetName val="rab-R.tgu"/>
      <sheetName val="rab"/>
    </sheetNames>
    <sheetDataSet>
      <sheetData sheetId="0"/>
      <sheetData sheetId="1"/>
      <sheetData sheetId="2"/>
      <sheetData sheetId="3"/>
      <sheetData sheetId="4"/>
      <sheetData sheetId="5"/>
      <sheetData sheetId="6"/>
      <sheetData sheetId="7">
        <row r="17">
          <cell r="K17">
            <v>25000</v>
          </cell>
        </row>
      </sheetData>
      <sheetData sheetId="8"/>
      <sheetData sheetId="9"/>
      <sheetData sheetId="10"/>
      <sheetData sheetId="11"/>
      <sheetData sheetId="12"/>
      <sheetData sheetId="13"/>
      <sheetData sheetId="14"/>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l kost "/>
      <sheetName val="COV"/>
      <sheetName val="Srt Penawaran"/>
      <sheetName val="RAB (2)"/>
      <sheetName val="SATUAN JADI"/>
      <sheetName val="ANALISA"/>
      <sheetName val="HARGA BAHAN"/>
      <sheetName val="Kurva S"/>
      <sheetName val="JADWAL BAHAN"/>
      <sheetName val="JADWAL TENAGA"/>
      <sheetName val="mstr"/>
      <sheetName val="Per.Pasca "/>
      <sheetName val="minat"/>
      <sheetName val="inst.pemrintah"/>
      <sheetName val="s.p.dok"/>
      <sheetName val="ganti rugi"/>
      <sheetName val="kode etik"/>
      <sheetName val="dh"/>
      <sheetName val="pengadilan"/>
      <sheetName val="Pakta "/>
      <sheetName val="FOR.2"/>
      <sheetName val="DATA PERUS."/>
      <sheetName val="NERACA"/>
      <sheetName val="PERSONALIA"/>
      <sheetName val="ALAT"/>
      <sheetName val="PENGALAMAN"/>
      <sheetName val="modal"/>
      <sheetName val="skn"/>
      <sheetName val="ALAT UTAMA"/>
      <sheetName val="PERSNIL INTI"/>
      <sheetName val="SAMPUL"/>
      <sheetName val="Kaf Kualif"/>
      <sheetName val="Kaf Penawaran"/>
      <sheetName val="KAFER"/>
      <sheetName val="CEK LIST"/>
    </sheetNames>
    <sheetDataSet>
      <sheetData sheetId="0" refreshError="1"/>
      <sheetData sheetId="1" refreshError="1"/>
      <sheetData sheetId="2" refreshError="1"/>
      <sheetData sheetId="3"/>
      <sheetData sheetId="4" refreshError="1"/>
      <sheetData sheetId="5" refreshError="1"/>
      <sheetData sheetId="6" refreshError="1"/>
      <sheetData sheetId="7"/>
      <sheetData sheetId="8" refreshError="1"/>
      <sheetData sheetId="9" refreshError="1"/>
      <sheetData sheetId="10"/>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pond"/>
      <sheetName val="rek-pond"/>
      <sheetName val="1-4"/>
      <sheetName val="rek1-4"/>
      <sheetName val="ANAL"/>
      <sheetName val="SAT"/>
      <sheetName val="Sheet1"/>
      <sheetName val="landscp"/>
      <sheetName val="rek-landscp"/>
    </sheetNames>
    <sheetDataSet>
      <sheetData sheetId="0" refreshError="1">
        <row r="13">
          <cell r="B13" t="str">
            <v>PT. WIDYA SATRIA</v>
          </cell>
        </row>
        <row r="15">
          <cell r="B15" t="str">
            <v>DIREKTUR TEKNIK</v>
          </cell>
        </row>
        <row r="16">
          <cell r="B16" t="str">
            <v>DIREKTUR UTAMA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 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RKP Jl.manggis"/>
      <sheetName val="An. Gal &amp; Tim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row r="43">
          <cell r="F43">
            <v>7850</v>
          </cell>
        </row>
      </sheetData>
      <sheetData sheetId="69"/>
      <sheetData sheetId="70"/>
      <sheetData sheetId="71"/>
      <sheetData sheetId="72" refreshError="1">
        <row r="336">
          <cell r="W336">
            <v>3537.6032168236889</v>
          </cell>
        </row>
      </sheetData>
      <sheetData sheetId="73"/>
      <sheetData sheetId="74"/>
      <sheetData sheetId="75"/>
      <sheetData sheetId="76" refreshError="1">
        <row r="377">
          <cell r="W377">
            <v>330632.65316893859</v>
          </cell>
        </row>
      </sheetData>
      <sheetData sheetId="77"/>
      <sheetData sheetId="78"/>
      <sheetData sheetId="79"/>
      <sheetData sheetId="80" refreshError="1"/>
      <sheetData sheetId="81"/>
      <sheetData sheetId="82"/>
      <sheetData sheetId="83" refreshError="1"/>
      <sheetData sheetId="84"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 TRIKORA (2)"/>
      <sheetName val="JL, TRIKORA"/>
      <sheetName val="Rekap total"/>
      <sheetName val="Rekap Biaya (14)"/>
      <sheetName val="JL.KPR KEHUT"/>
      <sheetName val="Rekap Biaya (13)"/>
      <sheetName val="JL.TAMORAHANDAYANI"/>
      <sheetName val="Rekap Biaya (12)"/>
      <sheetName val="JL.SUNGAI MARU"/>
      <sheetName val="Rekap Biaya (11)"/>
      <sheetName val="JL.SAP.LURAH MAT."/>
      <sheetName val="Rekap Biaya (10)"/>
      <sheetName val="JL.TPU "/>
      <sheetName val="Jembatan Sementara"/>
      <sheetName val="Agregat Kelas A"/>
      <sheetName val="Agregat Kelas B"/>
      <sheetName val="Agregat Kelas C"/>
      <sheetName val="Analisa Quarry"/>
      <sheetName val="Agregat Halus &amp; Kasar"/>
      <sheetName val="Basic Price"/>
      <sheetName val="Peralatan"/>
      <sheetName val="Rekap Biaya (9)"/>
      <sheetName val="JL.MTOA"/>
      <sheetName val="Rekap Biaya (8)"/>
      <sheetName val="JL.PER KM 14"/>
      <sheetName val="Rekap Biaya (7)"/>
      <sheetName val="JL.PENDIDIKAN"/>
      <sheetName val="Rekap Biaya (6)"/>
      <sheetName val="JL.SP.GOR"/>
      <sheetName val="Rekap Biaya (5)"/>
      <sheetName val="JL.TRIKORA"/>
      <sheetName val="Rekap Biaya (4)"/>
      <sheetName val="JL.S.KAMUNDANG"/>
      <sheetName val="Rekap Biaya (3)"/>
      <sheetName val="JL.REMU"/>
      <sheetName val="Rekap Biaya (2)"/>
      <sheetName val="JL.KOM KOKODA"/>
      <sheetName val="Rekap Biaya"/>
      <sheetName val="JL SMP 5 "/>
      <sheetName val="Mobilisasi"/>
      <sheetName val="DEVI 2"/>
      <sheetName val="DEVI 3"/>
      <sheetName val="DEVI 4"/>
      <sheetName val="DEVI 5"/>
      <sheetName val="DEVI 6"/>
      <sheetName val="DEVI 7"/>
      <sheetName val="DEVI 7 (2)"/>
      <sheetName val="DEVI 8"/>
      <sheetName val="DEVI 9"/>
      <sheetName val="DEV 10"/>
      <sheetName val="LS-Rutin"/>
      <sheetName val="Kuanti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DEV.3 (2)"/>
      <sheetName val="DEV.5"/>
      <sheetName val="DEV.6"/>
      <sheetName val="DEV.7 (2)"/>
      <sheetName val="DEVI 7"/>
      <sheetName val="DEV.7"/>
      <sheetName val="DEVI 7 (2)"/>
      <sheetName val="CEK VOL"/>
      <sheetName val="Real"/>
      <sheetName val="JL.SMP 6"/>
      <sheetName val="RKP."/>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V.1"/>
      <sheetName val="DEI.2"/>
      <sheetName val="DEV.3"/>
      <sheetName val="DEV.3 (2)"/>
      <sheetName val="DEV.5"/>
      <sheetName val="DEV.6"/>
      <sheetName val="DEV.7 (2)"/>
      <sheetName val="Pas Bt"/>
      <sheetName val="K250"/>
      <sheetName val="U24"/>
      <sheetName val="Real"/>
      <sheetName val="RAB OK"/>
      <sheetName val="RKP."/>
      <sheetName val="RAB"/>
      <sheetName val="SCHEDULE COBA"/>
      <sheetName val="SCHEDULE OK"/>
      <sheetName val="Sheet1"/>
      <sheetName val="CEK VOL (2)"/>
      <sheetName val="PLESTER"/>
    </sheetNames>
    <sheetDataSet>
      <sheetData sheetId="0"/>
      <sheetData sheetId="1"/>
      <sheetData sheetId="2"/>
      <sheetData sheetId="3"/>
      <sheetData sheetId="4"/>
      <sheetData sheetId="5">
        <row r="168">
          <cell r="X168" t="str">
            <v>Analisa EI-322</v>
          </cell>
        </row>
        <row r="170">
          <cell r="O170" t="str">
            <v>FORMULIR STANDAR UNTUK</v>
          </cell>
        </row>
        <row r="171">
          <cell r="O171" t="str">
            <v>PEREKAMAN ANALISA MASING-MASING HARGA SATUAN</v>
          </cell>
        </row>
        <row r="172">
          <cell r="O172">
            <v>0</v>
          </cell>
        </row>
        <row r="174">
          <cell r="O174" t="str">
            <v>NAMA PAKET</v>
          </cell>
          <cell r="R174" t="str">
            <v>:</v>
          </cell>
          <cell r="S174" t="str">
            <v>Pembangunan Jalan Dan Jembatan Kota Sorong</v>
          </cell>
        </row>
        <row r="175">
          <cell r="O175" t="str">
            <v>PROP / KAB / KODYA</v>
          </cell>
          <cell r="R175" t="str">
            <v>:</v>
          </cell>
          <cell r="S175" t="str">
            <v>IRIAN JAYA BARAT -  KOTA SORONG</v>
          </cell>
        </row>
        <row r="176">
          <cell r="O176" t="str">
            <v>ITEM PEMBAYARAN NO.</v>
          </cell>
          <cell r="R176" t="str">
            <v>:</v>
          </cell>
          <cell r="S176" t="str">
            <v>3.1 ( 2 )</v>
          </cell>
        </row>
        <row r="177">
          <cell r="O177" t="str">
            <v>JENIS PEKERJAAN</v>
          </cell>
          <cell r="R177" t="str">
            <v>:</v>
          </cell>
          <cell r="S177" t="str">
            <v>TIMBUNAN  BIASA DARI HASIL SUMBER BAHAN</v>
          </cell>
        </row>
        <row r="178">
          <cell r="O178" t="str">
            <v>SATUAN PEMBAYARAN</v>
          </cell>
          <cell r="R178" t="str">
            <v>:</v>
          </cell>
          <cell r="S178" t="str">
            <v>M ³</v>
          </cell>
        </row>
        <row r="181">
          <cell r="U181" t="str">
            <v>PERKIRAAN</v>
          </cell>
          <cell r="V181" t="str">
            <v>HARGA</v>
          </cell>
          <cell r="W181" t="str">
            <v>JUMLAH</v>
          </cell>
        </row>
        <row r="182">
          <cell r="O182" t="str">
            <v>NO.</v>
          </cell>
          <cell r="Q182" t="str">
            <v>KOMPONEN</v>
          </cell>
          <cell r="T182" t="str">
            <v>SATUAN</v>
          </cell>
          <cell r="U182" t="str">
            <v>KUANTITAS</v>
          </cell>
          <cell r="V182" t="str">
            <v>SATUAN</v>
          </cell>
          <cell r="W182" t="str">
            <v>HARGA</v>
          </cell>
        </row>
        <row r="183">
          <cell r="V183" t="str">
            <v>(Rp.)</v>
          </cell>
          <cell r="W183" t="str">
            <v>(Rp.)</v>
          </cell>
        </row>
        <row r="186">
          <cell r="O186" t="str">
            <v>A.</v>
          </cell>
          <cell r="Q186" t="str">
            <v>TENAGA</v>
          </cell>
        </row>
        <row r="188">
          <cell r="O188" t="str">
            <v>1.</v>
          </cell>
          <cell r="Q188" t="str">
            <v>Pekerja</v>
          </cell>
          <cell r="S188" t="str">
            <v>(L07)</v>
          </cell>
          <cell r="T188" t="str">
            <v>Jam</v>
          </cell>
          <cell r="U188">
            <v>0.2677376171352075</v>
          </cell>
          <cell r="V188">
            <v>7857.1428571428569</v>
          </cell>
          <cell r="Y188">
            <v>2103.6527060623444</v>
          </cell>
        </row>
        <row r="189">
          <cell r="O189" t="str">
            <v>2.</v>
          </cell>
          <cell r="Q189" t="str">
            <v>Mandor</v>
          </cell>
          <cell r="S189" t="str">
            <v>(L10)</v>
          </cell>
          <cell r="T189" t="str">
            <v>Jam</v>
          </cell>
          <cell r="U189">
            <v>1.1474469305794606E-2</v>
          </cell>
          <cell r="V189">
            <v>11428.571428571429</v>
          </cell>
          <cell r="Y189">
            <v>131.13679206622407</v>
          </cell>
        </row>
        <row r="192">
          <cell r="U192" t="str">
            <v xml:space="preserve">JUMLAH HARGA TENAGA   </v>
          </cell>
          <cell r="Y192">
            <v>2234.7894981285685</v>
          </cell>
        </row>
        <row r="194">
          <cell r="O194" t="str">
            <v>B.</v>
          </cell>
          <cell r="Q194" t="str">
            <v>BAHAN</v>
          </cell>
        </row>
        <row r="196">
          <cell r="O196" t="str">
            <v>1.</v>
          </cell>
          <cell r="Q196" t="str">
            <v>Bahan timbunan     (M03)</v>
          </cell>
          <cell r="T196" t="str">
            <v>M3</v>
          </cell>
          <cell r="U196">
            <v>1.2</v>
          </cell>
          <cell r="V196">
            <v>73484</v>
          </cell>
          <cell r="Y196">
            <v>88180.800000000003</v>
          </cell>
        </row>
        <row r="203">
          <cell r="U203" t="str">
            <v xml:space="preserve">JUMLAH HARGA BAHAN   </v>
          </cell>
          <cell r="Y203">
            <v>88180.800000000003</v>
          </cell>
        </row>
        <row r="205">
          <cell r="O205" t="str">
            <v>C.</v>
          </cell>
          <cell r="Q205" t="str">
            <v>PERALATAN</v>
          </cell>
        </row>
        <row r="207">
          <cell r="O207">
            <v>1</v>
          </cell>
          <cell r="Q207" t="str">
            <v>Motor Grader</v>
          </cell>
          <cell r="S207" t="str">
            <v>(E13)</v>
          </cell>
          <cell r="T207" t="str">
            <v>Jam</v>
          </cell>
          <cell r="U207">
            <v>8.3889098611635417E-4</v>
          </cell>
          <cell r="V207">
            <v>467875.79121233535</v>
          </cell>
          <cell r="Y207">
            <v>392.49678387008544</v>
          </cell>
        </row>
        <row r="208">
          <cell r="O208">
            <v>2</v>
          </cell>
          <cell r="Q208" t="str">
            <v>Vibro Roller</v>
          </cell>
          <cell r="S208" t="str">
            <v>(E19)</v>
          </cell>
          <cell r="T208" t="str">
            <v>Jam</v>
          </cell>
          <cell r="U208">
            <v>1.0040160642570281E-2</v>
          </cell>
          <cell r="V208">
            <v>326599.96327443048</v>
          </cell>
          <cell r="Y208">
            <v>3279.1160971328363</v>
          </cell>
        </row>
        <row r="209">
          <cell r="O209">
            <v>3</v>
          </cell>
          <cell r="Q209" t="str">
            <v>Alat  Bantu</v>
          </cell>
          <cell r="T209" t="str">
            <v>Ls</v>
          </cell>
          <cell r="U209">
            <v>1</v>
          </cell>
          <cell r="V209">
            <v>500</v>
          </cell>
          <cell r="Y209">
            <v>500</v>
          </cell>
        </row>
        <row r="214">
          <cell r="U214" t="str">
            <v xml:space="preserve">JUMLAH HARGA PERALATAN   </v>
          </cell>
          <cell r="Y214">
            <v>4171.6128810029222</v>
          </cell>
        </row>
        <row r="216">
          <cell r="O216" t="str">
            <v>D.</v>
          </cell>
          <cell r="Q216" t="str">
            <v>JUMLAH HARGA TENAGA, BAHAN DAN PERALATAN  ( A + B + C )</v>
          </cell>
          <cell r="Y216">
            <v>94587.202379131486</v>
          </cell>
        </row>
        <row r="218">
          <cell r="O218" t="str">
            <v>Note: 1</v>
          </cell>
          <cell r="Q218" t="str">
            <v>SATUAN dapat berdasarkan atas jam operasi untuk Tenaga Kerja dan Peralatan, volume dan/atau ukuran</v>
          </cell>
        </row>
        <row r="219">
          <cell r="Q219" t="str">
            <v>berat untuk bahan-bahan.</v>
          </cell>
        </row>
        <row r="220">
          <cell r="O220">
            <v>2</v>
          </cell>
          <cell r="Q220" t="str">
            <v>Kuantitas satuan adalah kuantitas setiap komponen untuk menyelesaikan satu satuan pekerjaan dari nomor</v>
          </cell>
        </row>
        <row r="221">
          <cell r="Q221" t="str">
            <v>mata pembayaran.</v>
          </cell>
        </row>
        <row r="222">
          <cell r="O222">
            <v>3</v>
          </cell>
          <cell r="Q222" t="str">
            <v>Biaya satuan untuk peralatan sudah termasuk bahan bakar, bahan habis dipakai dan operator.</v>
          </cell>
        </row>
        <row r="223">
          <cell r="O223">
            <v>4</v>
          </cell>
          <cell r="Q223" t="str">
            <v>Biaya satuan sudah termasuk pengeluaran untuk seluruh pajak yang berkaitan (tetapi tidak termasuk PPN</v>
          </cell>
        </row>
        <row r="224">
          <cell r="Q224" t="str">
            <v>yang dibayar dari kontrak) dan biaya-biaya lainnya.</v>
          </cell>
        </row>
      </sheetData>
      <sheetData sheetId="6"/>
      <sheetData sheetId="7">
        <row r="1">
          <cell r="X1" t="str">
            <v>Analisa EI-511</v>
          </cell>
        </row>
        <row r="3">
          <cell r="O3" t="str">
            <v>FORMULIR STANDAR UNTUK</v>
          </cell>
        </row>
        <row r="4">
          <cell r="O4" t="str">
            <v>PEREKAMAN ANALISA MASING-MASING HARGA SATUAN</v>
          </cell>
        </row>
        <row r="5">
          <cell r="O5">
            <v>0</v>
          </cell>
        </row>
        <row r="7">
          <cell r="O7" t="str">
            <v>NAMA PAKET</v>
          </cell>
          <cell r="R7" t="str">
            <v xml:space="preserve">:  </v>
          </cell>
          <cell r="S7" t="str">
            <v>Pembangunan Jalan Dan Jembatan Kota Sorong</v>
          </cell>
        </row>
        <row r="8">
          <cell r="O8" t="str">
            <v>PROP / KAB / KODYA</v>
          </cell>
          <cell r="R8" t="str">
            <v xml:space="preserve">:  </v>
          </cell>
          <cell r="S8" t="str">
            <v>IRIAN JAYA BARAT -  KOTA SORONG</v>
          </cell>
        </row>
        <row r="9">
          <cell r="O9" t="str">
            <v>ITEM PEMBAYARAN NO.</v>
          </cell>
          <cell r="R9" t="str">
            <v xml:space="preserve">:  </v>
          </cell>
          <cell r="S9" t="str">
            <v>5.1 ( 1 )</v>
          </cell>
        </row>
        <row r="10">
          <cell r="O10" t="str">
            <v>JENIS PEKERJAAN</v>
          </cell>
          <cell r="R10" t="str">
            <v xml:space="preserve">:  </v>
          </cell>
          <cell r="S10" t="str">
            <v>LAPISAN PONDASI AGREGAT KELAS A</v>
          </cell>
        </row>
        <row r="11">
          <cell r="O11" t="str">
            <v>SATUAN PEMBAYARAN</v>
          </cell>
          <cell r="R11" t="str">
            <v xml:space="preserve">:  </v>
          </cell>
          <cell r="S11" t="str">
            <v>M ³</v>
          </cell>
        </row>
        <row r="14">
          <cell r="U14" t="str">
            <v>PERKIRAAN</v>
          </cell>
          <cell r="V14" t="str">
            <v>HARGA</v>
          </cell>
          <cell r="W14" t="str">
            <v>JUMLAH</v>
          </cell>
        </row>
        <row r="15">
          <cell r="O15" t="str">
            <v>NO.</v>
          </cell>
          <cell r="Q15" t="str">
            <v>KOMPONEN</v>
          </cell>
          <cell r="T15" t="str">
            <v>SATUAN</v>
          </cell>
          <cell r="U15" t="str">
            <v>KUANTITAS</v>
          </cell>
          <cell r="V15" t="str">
            <v>SATUAN</v>
          </cell>
          <cell r="W15" t="str">
            <v>HARGA</v>
          </cell>
        </row>
        <row r="16">
          <cell r="V16" t="str">
            <v>(Rp.)</v>
          </cell>
          <cell r="W16" t="str">
            <v>(Rp.)</v>
          </cell>
        </row>
        <row r="19">
          <cell r="O19" t="str">
            <v>A.</v>
          </cell>
          <cell r="Q19" t="str">
            <v>TENAGA</v>
          </cell>
        </row>
        <row r="21">
          <cell r="O21" t="str">
            <v>1.</v>
          </cell>
          <cell r="Q21" t="str">
            <v>Pekerja</v>
          </cell>
          <cell r="S21" t="str">
            <v>(L07)</v>
          </cell>
          <cell r="T21" t="str">
            <v>jam</v>
          </cell>
          <cell r="U21">
            <v>3.8197233377956268E-2</v>
          </cell>
          <cell r="V21">
            <v>7857.1428571428569</v>
          </cell>
          <cell r="Y21">
            <v>300.12111939822779</v>
          </cell>
        </row>
        <row r="22">
          <cell r="O22" t="str">
            <v>2.</v>
          </cell>
          <cell r="Q22" t="str">
            <v>Mandor</v>
          </cell>
          <cell r="S22" t="str">
            <v>(L10)</v>
          </cell>
          <cell r="T22" t="str">
            <v>jam</v>
          </cell>
          <cell r="U22">
            <v>1.9098616688978134E-2</v>
          </cell>
          <cell r="V22">
            <v>11428.571428571429</v>
          </cell>
          <cell r="Y22">
            <v>218.26990501689298</v>
          </cell>
        </row>
        <row r="25">
          <cell r="U25" t="str">
            <v xml:space="preserve">JUMLAH HARGA TENAGA   </v>
          </cell>
          <cell r="Y25">
            <v>518.3910244151208</v>
          </cell>
        </row>
        <row r="27">
          <cell r="O27" t="str">
            <v>B.</v>
          </cell>
          <cell r="Q27" t="str">
            <v>BAHAN</v>
          </cell>
        </row>
        <row r="29">
          <cell r="O29" t="str">
            <v>1.</v>
          </cell>
          <cell r="Q29" t="str">
            <v xml:space="preserve">  Agregat Kasar</v>
          </cell>
          <cell r="T29" t="str">
            <v>M3</v>
          </cell>
          <cell r="U29">
            <v>0.76800000000000002</v>
          </cell>
          <cell r="V29">
            <v>456194.02917134756</v>
          </cell>
          <cell r="Y29">
            <v>350357.01440359495</v>
          </cell>
        </row>
        <row r="30">
          <cell r="O30">
            <v>2</v>
          </cell>
          <cell r="Q30" t="str">
            <v xml:space="preserve">  Agregat Halus</v>
          </cell>
          <cell r="T30" t="str">
            <v>M3</v>
          </cell>
          <cell r="U30">
            <v>0.432</v>
          </cell>
          <cell r="V30">
            <v>456587.58174443</v>
          </cell>
          <cell r="Y30">
            <v>197245.83531359377</v>
          </cell>
        </row>
        <row r="35">
          <cell r="U35" t="str">
            <v xml:space="preserve">JUMLAH HARGA BAHAN   </v>
          </cell>
          <cell r="Y35">
            <v>547602.84971718874</v>
          </cell>
        </row>
        <row r="37">
          <cell r="O37" t="str">
            <v>C.</v>
          </cell>
          <cell r="Q37" t="str">
            <v>PERALATAN</v>
          </cell>
        </row>
        <row r="39">
          <cell r="O39">
            <v>1</v>
          </cell>
          <cell r="Q39" t="str">
            <v>Dump Truck</v>
          </cell>
          <cell r="S39" t="str">
            <v>(E08)</v>
          </cell>
          <cell r="T39" t="str">
            <v>jam</v>
          </cell>
          <cell r="U39">
            <v>0.42987048595990385</v>
          </cell>
          <cell r="V39">
            <v>239996.59802807387</v>
          </cell>
          <cell r="Y39">
            <v>103167.45422305181</v>
          </cell>
        </row>
        <row r="40">
          <cell r="O40">
            <v>2</v>
          </cell>
          <cell r="Q40" t="str">
            <v>Wheel Loader</v>
          </cell>
          <cell r="S40" t="str">
            <v>(E15)</v>
          </cell>
          <cell r="T40" t="str">
            <v>jam</v>
          </cell>
          <cell r="U40">
            <v>1.9098616688978134E-2</v>
          </cell>
          <cell r="V40">
            <v>383860.79271738796</v>
          </cell>
          <cell r="Y40">
            <v>7331.2101420366816</v>
          </cell>
        </row>
        <row r="41">
          <cell r="O41" t="str">
            <v>3.</v>
          </cell>
          <cell r="Q41" t="str">
            <v>Motor Grader</v>
          </cell>
          <cell r="S41" t="str">
            <v>(E13)</v>
          </cell>
          <cell r="T41" t="str">
            <v>jam</v>
          </cell>
          <cell r="U41">
            <v>1.1713520749665328E-2</v>
          </cell>
          <cell r="V41">
            <v>467875.79121233535</v>
          </cell>
          <cell r="Y41">
            <v>5480.4727886317723</v>
          </cell>
        </row>
        <row r="42">
          <cell r="O42">
            <v>4</v>
          </cell>
          <cell r="Q42" t="str">
            <v>Vibratory Roller</v>
          </cell>
          <cell r="S42" t="str">
            <v>(E19)</v>
          </cell>
          <cell r="T42" t="str">
            <v>jam</v>
          </cell>
          <cell r="U42">
            <v>1.7849174475680501E-2</v>
          </cell>
          <cell r="V42">
            <v>326599.96327443048</v>
          </cell>
          <cell r="Y42">
            <v>5829.5397282361537</v>
          </cell>
        </row>
        <row r="43">
          <cell r="O43">
            <v>5</v>
          </cell>
          <cell r="Q43" t="str">
            <v>P. Tyre Roller</v>
          </cell>
          <cell r="S43" t="str">
            <v>(E18)</v>
          </cell>
          <cell r="T43" t="str">
            <v>jam</v>
          </cell>
          <cell r="U43">
            <v>4.2838018741633201E-3</v>
          </cell>
          <cell r="V43">
            <v>362704.86673970101</v>
          </cell>
          <cell r="Y43">
            <v>1553.7557879076885</v>
          </cell>
        </row>
        <row r="44">
          <cell r="O44">
            <v>6</v>
          </cell>
          <cell r="Q44" t="str">
            <v>Water Tanker</v>
          </cell>
          <cell r="S44" t="str">
            <v>(E23)</v>
          </cell>
          <cell r="T44" t="str">
            <v>jam</v>
          </cell>
          <cell r="U44">
            <v>2.1084337349397592E-2</v>
          </cell>
          <cell r="V44">
            <v>217149.8358263968</v>
          </cell>
          <cell r="Y44">
            <v>4578.4603939300532</v>
          </cell>
        </row>
        <row r="45">
          <cell r="O45">
            <v>7</v>
          </cell>
          <cell r="Q45" t="str">
            <v>Alat Bantu</v>
          </cell>
          <cell r="T45" t="str">
            <v>Ls</v>
          </cell>
          <cell r="U45">
            <v>1</v>
          </cell>
          <cell r="V45">
            <v>850</v>
          </cell>
          <cell r="Y45">
            <v>850</v>
          </cell>
        </row>
        <row r="47">
          <cell r="U47" t="str">
            <v xml:space="preserve">JUMLAH HARGA PERALATAN   </v>
          </cell>
          <cell r="Y47">
            <v>128790.89306379417</v>
          </cell>
        </row>
        <row r="49">
          <cell r="O49" t="str">
            <v>E.</v>
          </cell>
          <cell r="Q49" t="str">
            <v>JUMLAH HARGA TENAGA, BAHAN DAN PERALATAN  ( A + B + C )</v>
          </cell>
          <cell r="Y49">
            <v>676912.13380539801</v>
          </cell>
        </row>
        <row r="51">
          <cell r="O51" t="str">
            <v>Note: 1</v>
          </cell>
          <cell r="Q51" t="str">
            <v>SATUAN dapat berdasarkan atas jam operasi untuk Tenaga Kerja dan Peralatan, volume dan/atau ukuran</v>
          </cell>
        </row>
        <row r="52">
          <cell r="Q52" t="str">
            <v>berat untuk bahan-bahan.</v>
          </cell>
        </row>
        <row r="53">
          <cell r="O53">
            <v>2</v>
          </cell>
          <cell r="Q53" t="str">
            <v>Kuantitas satuan adalah kuantitas setiap komponen untuk menyelesaikan satu satuan pekerjaan dari nomor</v>
          </cell>
        </row>
        <row r="54">
          <cell r="Q54" t="str">
            <v>mata pembayaran.</v>
          </cell>
        </row>
        <row r="55">
          <cell r="O55">
            <v>3</v>
          </cell>
          <cell r="Q55" t="str">
            <v>Biaya satuan untuk peralatan sudah termasuk bahan bakar, bahan habis dipakai dan operator.</v>
          </cell>
        </row>
        <row r="56">
          <cell r="O56">
            <v>4</v>
          </cell>
          <cell r="Q56" t="str">
            <v>Biaya satuan sudah termasuk pengeluaran untuk seluruh pajak yang berkaitan (tetapi tidak termasuk PPN</v>
          </cell>
        </row>
        <row r="470">
          <cell r="X470" t="str">
            <v>Analisa EI-522</v>
          </cell>
        </row>
        <row r="472">
          <cell r="O472" t="str">
            <v>FORMULIR STANDAR UNTUK</v>
          </cell>
        </row>
        <row r="473">
          <cell r="O473" t="str">
            <v>PEREKAMAN ANALISA MASING-MASING HARGA SATUAN</v>
          </cell>
        </row>
        <row r="474">
          <cell r="O474">
            <v>0</v>
          </cell>
        </row>
        <row r="477">
          <cell r="O477" t="str">
            <v>PROYEK</v>
          </cell>
          <cell r="S477" t="str">
            <v xml:space="preserve">:  </v>
          </cell>
        </row>
        <row r="478">
          <cell r="O478" t="str">
            <v>No. PAKET KONTRAK</v>
          </cell>
          <cell r="S478" t="str">
            <v xml:space="preserve">:  </v>
          </cell>
        </row>
        <row r="479">
          <cell r="O479" t="str">
            <v>NAMA PAKET</v>
          </cell>
          <cell r="S479" t="str">
            <v xml:space="preserve">:  </v>
          </cell>
        </row>
        <row r="480">
          <cell r="O480" t="str">
            <v>PROP / KAB / KODYA</v>
          </cell>
          <cell r="S480" t="str">
            <v xml:space="preserve">:  </v>
          </cell>
        </row>
        <row r="481">
          <cell r="O481" t="str">
            <v>ITEM PEMBAYARAN NO.</v>
          </cell>
          <cell r="S481" t="str">
            <v>:  5.2 (2)</v>
          </cell>
          <cell r="V481" t="str">
            <v>PERKIRAAN VOL. PEK.</v>
          </cell>
          <cell r="X481" t="str">
            <v>:</v>
          </cell>
          <cell r="Y481" t="e">
            <v>#REF!</v>
          </cell>
        </row>
        <row r="482">
          <cell r="O482" t="str">
            <v>JENIS PEKERJAAN</v>
          </cell>
          <cell r="S482" t="str">
            <v>:  Lapis Pondasi Agregat Kelas C2</v>
          </cell>
          <cell r="V482" t="str">
            <v>TOTAL HARGA</v>
          </cell>
          <cell r="X482" t="str">
            <v>:</v>
          </cell>
          <cell r="Y482" t="e">
            <v>#REF!</v>
          </cell>
        </row>
        <row r="483">
          <cell r="O483" t="str">
            <v>SATUAN PEMBAYARAN</v>
          </cell>
          <cell r="S483" t="str">
            <v>:  M3</v>
          </cell>
          <cell r="V483" t="str">
            <v>% THD. BIAYA PROYEK</v>
          </cell>
          <cell r="X483" t="str">
            <v>:</v>
          </cell>
          <cell r="Y483" t="e">
            <v>#REF!</v>
          </cell>
        </row>
        <row r="486">
          <cell r="U486" t="str">
            <v>PERKIRAAN</v>
          </cell>
          <cell r="V486" t="str">
            <v>HARGA</v>
          </cell>
          <cell r="W486" t="str">
            <v>JUMLAH</v>
          </cell>
        </row>
        <row r="487">
          <cell r="O487" t="str">
            <v>NO.</v>
          </cell>
          <cell r="Q487" t="str">
            <v>KOMPONEN</v>
          </cell>
          <cell r="T487" t="str">
            <v>SATUAN</v>
          </cell>
          <cell r="U487" t="str">
            <v>KUANTITAS</v>
          </cell>
          <cell r="V487" t="str">
            <v>SATUAN</v>
          </cell>
          <cell r="W487" t="str">
            <v>HARGA</v>
          </cell>
        </row>
        <row r="488">
          <cell r="V488" t="str">
            <v>(Rp.)</v>
          </cell>
          <cell r="W488" t="str">
            <v>(Rp.)</v>
          </cell>
        </row>
        <row r="491">
          <cell r="O491" t="str">
            <v>A.</v>
          </cell>
          <cell r="Q491" t="str">
            <v>TENAGA</v>
          </cell>
        </row>
        <row r="493">
          <cell r="O493" t="str">
            <v>1.</v>
          </cell>
          <cell r="Q493" t="str">
            <v>Pekerja</v>
          </cell>
          <cell r="S493" t="str">
            <v>(L01)</v>
          </cell>
          <cell r="T493" t="str">
            <v>Jam</v>
          </cell>
          <cell r="U493">
            <v>0.12494422132976347</v>
          </cell>
          <cell r="V493">
            <v>1800</v>
          </cell>
          <cell r="Y493">
            <v>224.89959839357425</v>
          </cell>
        </row>
        <row r="494">
          <cell r="O494" t="str">
            <v>2.</v>
          </cell>
          <cell r="Q494" t="str">
            <v>Mandor</v>
          </cell>
          <cell r="S494" t="str">
            <v>(L03)</v>
          </cell>
          <cell r="T494" t="str">
            <v>Jam</v>
          </cell>
          <cell r="U494">
            <v>1.7849174475680497E-2</v>
          </cell>
          <cell r="V494">
            <v>2750</v>
          </cell>
          <cell r="Y494">
            <v>49.085229808121369</v>
          </cell>
        </row>
        <row r="497">
          <cell r="U497" t="str">
            <v xml:space="preserve">JUMLAH HARGA TENAGA   </v>
          </cell>
          <cell r="Y497">
            <v>273.98482820169562</v>
          </cell>
        </row>
        <row r="499">
          <cell r="O499" t="str">
            <v>B.</v>
          </cell>
          <cell r="Q499" t="str">
            <v>BAHAN</v>
          </cell>
        </row>
        <row r="501">
          <cell r="O501" t="str">
            <v>1.</v>
          </cell>
          <cell r="Q501" t="str">
            <v>Agregat Kelas C2 (M29)</v>
          </cell>
          <cell r="T501" t="str">
            <v>M3</v>
          </cell>
          <cell r="U501">
            <v>1.2</v>
          </cell>
          <cell r="V501" t="str">
            <v xml:space="preserve">-  </v>
          </cell>
          <cell r="Y501">
            <v>0</v>
          </cell>
        </row>
        <row r="507">
          <cell r="U507" t="str">
            <v xml:space="preserve">JUMLAH HARGA BAHAN   </v>
          </cell>
          <cell r="Y507">
            <v>0</v>
          </cell>
        </row>
        <row r="509">
          <cell r="O509" t="str">
            <v>C.</v>
          </cell>
          <cell r="Q509" t="str">
            <v>PERALATAN</v>
          </cell>
        </row>
        <row r="511">
          <cell r="O511" t="str">
            <v>1</v>
          </cell>
          <cell r="Q511" t="str">
            <v>Wheel Loader</v>
          </cell>
          <cell r="S511" t="str">
            <v>(E15)</v>
          </cell>
          <cell r="T511" t="str">
            <v>Jam</v>
          </cell>
          <cell r="U511">
            <v>1.7849174475680497E-2</v>
          </cell>
          <cell r="V511">
            <v>55432.76343797033</v>
          </cell>
          <cell r="Y511">
            <v>989.42906627345508</v>
          </cell>
        </row>
        <row r="512">
          <cell r="O512" t="str">
            <v>2</v>
          </cell>
          <cell r="Q512" t="str">
            <v>Dump Truck</v>
          </cell>
          <cell r="S512" t="str">
            <v>(E08)</v>
          </cell>
          <cell r="T512" t="str">
            <v>Jam</v>
          </cell>
          <cell r="U512">
            <v>0.31112167970126114</v>
          </cell>
          <cell r="V512">
            <v>32323.54332401634</v>
          </cell>
          <cell r="Y512">
            <v>10056.55509286445</v>
          </cell>
        </row>
        <row r="513">
          <cell r="O513" t="str">
            <v>3</v>
          </cell>
          <cell r="Q513" t="str">
            <v>Motor Grader</v>
          </cell>
          <cell r="S513" t="str">
            <v>(E13)</v>
          </cell>
          <cell r="T513" t="str">
            <v>Jam</v>
          </cell>
          <cell r="U513">
            <v>1.1713520749665328E-2</v>
          </cell>
          <cell r="V513">
            <v>65062.918565899803</v>
          </cell>
          <cell r="Y513">
            <v>762.11584665545286</v>
          </cell>
        </row>
        <row r="514">
          <cell r="O514" t="str">
            <v>4</v>
          </cell>
          <cell r="Q514" t="str">
            <v>Vibratory Roller</v>
          </cell>
          <cell r="S514" t="str">
            <v>(E19)</v>
          </cell>
          <cell r="T514" t="str">
            <v>Jam</v>
          </cell>
          <cell r="U514">
            <v>2.1419009370816599E-2</v>
          </cell>
          <cell r="V514">
            <v>45348.702309985092</v>
          </cell>
          <cell r="Y514">
            <v>971.32427973194308</v>
          </cell>
        </row>
        <row r="515">
          <cell r="O515" t="str">
            <v>5</v>
          </cell>
          <cell r="Q515" t="str">
            <v>P. Tyre Roller</v>
          </cell>
          <cell r="S515" t="str">
            <v>(E18)</v>
          </cell>
          <cell r="T515" t="str">
            <v>Jam</v>
          </cell>
          <cell r="U515">
            <v>4.2838018741633201E-3</v>
          </cell>
          <cell r="V515">
            <v>40926.994792039943</v>
          </cell>
          <cell r="Y515">
            <v>175.32313699401314</v>
          </cell>
        </row>
        <row r="516">
          <cell r="O516" t="str">
            <v>6</v>
          </cell>
          <cell r="Q516" t="str">
            <v>Water Tanker</v>
          </cell>
          <cell r="S516" t="str">
            <v>(E23)</v>
          </cell>
          <cell r="T516" t="str">
            <v>Jam</v>
          </cell>
          <cell r="U516">
            <v>2.1084337349397592E-2</v>
          </cell>
          <cell r="V516">
            <v>29327.951193291767</v>
          </cell>
          <cell r="Y516">
            <v>618.3604167260313</v>
          </cell>
        </row>
        <row r="517">
          <cell r="O517" t="str">
            <v>7</v>
          </cell>
          <cell r="Q517" t="str">
            <v>Alat Bantu</v>
          </cell>
          <cell r="T517" t="str">
            <v>Ls</v>
          </cell>
          <cell r="U517">
            <v>1</v>
          </cell>
          <cell r="V517">
            <v>800</v>
          </cell>
          <cell r="Y517">
            <v>800</v>
          </cell>
        </row>
        <row r="519">
          <cell r="U519" t="str">
            <v xml:space="preserve">JUMLAH HARGA PERALATAN   </v>
          </cell>
          <cell r="Y519">
            <v>14373.107839245346</v>
          </cell>
        </row>
        <row r="521">
          <cell r="O521" t="str">
            <v>D.</v>
          </cell>
          <cell r="Q521" t="str">
            <v>JUMLAH HARGA TENAGA, BAHAN DAN PERALATAN  ( A + B + C )</v>
          </cell>
          <cell r="Y521">
            <v>14647.092667447041</v>
          </cell>
        </row>
        <row r="522">
          <cell r="O522" t="str">
            <v>E.</v>
          </cell>
          <cell r="Q522" t="str">
            <v>OVERHEAD &amp; PROFIT</v>
          </cell>
          <cell r="T522">
            <v>10</v>
          </cell>
          <cell r="U522" t="str">
            <v>%  x  D</v>
          </cell>
          <cell r="Y522">
            <v>1464.7092667447041</v>
          </cell>
        </row>
        <row r="523">
          <cell r="O523" t="str">
            <v>F.</v>
          </cell>
          <cell r="Q523" t="str">
            <v>HARGA SATUAN PEKERJAAN  ( D + E )</v>
          </cell>
          <cell r="Y523">
            <v>16111.801934191746</v>
          </cell>
        </row>
        <row r="524">
          <cell r="O524" t="str">
            <v>Note: 1</v>
          </cell>
          <cell r="Q524" t="str">
            <v>SATUAN dapat berdasarkan atas jam operasi untuk Tenaga Kerja dan Peralatan, volume dan/atau ukuran</v>
          </cell>
        </row>
        <row r="525">
          <cell r="Q525" t="str">
            <v>berat untuk bahan-bahan.</v>
          </cell>
        </row>
        <row r="526">
          <cell r="O526">
            <v>2</v>
          </cell>
          <cell r="Q526" t="str">
            <v>Kuantitas satuan adalah kuantitas setiap komponen untuk menyelesaikan satu satuan pekerjaan dari nomor</v>
          </cell>
        </row>
        <row r="527">
          <cell r="Q527" t="str">
            <v>mata pembayaran.</v>
          </cell>
        </row>
        <row r="528">
          <cell r="O528">
            <v>3</v>
          </cell>
          <cell r="Q528" t="str">
            <v>Biaya satuan untuk peralatan sudah termasuk bahan bakar, bahan habis dipakai dan operator.</v>
          </cell>
        </row>
        <row r="529">
          <cell r="O529">
            <v>4</v>
          </cell>
          <cell r="Q529" t="str">
            <v>Biaya satuan sudah termasuk pengeluaran untuk seluruh pajak yang berkaitan (tetapi tidak termasuk PPN</v>
          </cell>
        </row>
        <row r="530">
          <cell r="Q530" t="str">
            <v>yang dibayar dari kontrak) dan biaya-biaya lainnya.</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PE UT"/>
      <sheetName val="Upah+Bahan"/>
      <sheetName val="H.Alat"/>
      <sheetName val="A.Alat"/>
      <sheetName val="Analisa Quarry"/>
      <sheetName val="AGREGAT"/>
      <sheetName val="Div.1"/>
      <sheetName val="A.Div 2"/>
      <sheetName val="R.Div 2 "/>
      <sheetName val="A.Div3"/>
      <sheetName val="R.Div3 "/>
      <sheetName val="A.Div 4"/>
      <sheetName val="R.Div4"/>
      <sheetName val="A.Div5"/>
      <sheetName val="R.Div5"/>
      <sheetName val="A.Div 6"/>
      <sheetName val="R.Div 6"/>
      <sheetName val="A.Div7"/>
      <sheetName val="R.Div7"/>
      <sheetName val="A.Div8"/>
      <sheetName val="R.Div8 "/>
      <sheetName val="A.Div9"/>
      <sheetName val="R.Div9 "/>
      <sheetName val="A.Div10"/>
      <sheetName val="R.Div10 "/>
      <sheetName val="Rutin"/>
      <sheetName val="KONFIRMAS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L.KPR Polri  (3)"/>
      <sheetName val="RAB.KPR POLRI"/>
      <sheetName val="Moyo 1"/>
      <sheetName val="RKP.JL.MOYO"/>
      <sheetName val="Rekap Polri"/>
      <sheetName val="Sheet1"/>
      <sheetName val="JL.KERINCI"/>
      <sheetName val="RKP."/>
      <sheetName val="JL.S.MAM"/>
      <sheetName val="RKP.01"/>
      <sheetName val="JL.S.MAM (02)"/>
      <sheetName val="RKP.01 (2)"/>
      <sheetName val="JL.TPU"/>
      <sheetName val="RKP.02"/>
      <sheetName val="JL.F.KALASUAT.01"/>
      <sheetName val="RKP.(1)"/>
      <sheetName val="JL.F.KALASUAT.0 2"/>
      <sheetName val="RKP.(2)"/>
      <sheetName val="anal bhn"/>
      <sheetName val="Basic Price"/>
      <sheetName val="Peralatan (2)"/>
      <sheetName val="DEI.2"/>
      <sheetName val="DEV.3"/>
      <sheetName val="DEV.5"/>
      <sheetName val="DEVI 7"/>
      <sheetName val="DEV.7"/>
      <sheetName val="DEVI 7 (2)"/>
    </sheetNames>
    <sheetDataSet>
      <sheetData sheetId="0"/>
      <sheetData sheetId="1"/>
      <sheetData sheetId="2" refreshError="1"/>
      <sheetData sheetId="3"/>
      <sheetData sheetId="4"/>
      <sheetData sheetId="5"/>
      <sheetData sheetId="6"/>
      <sheetData sheetId="7"/>
      <sheetData sheetId="8" refreshError="1"/>
      <sheetData sheetId="9"/>
      <sheetData sheetId="10"/>
      <sheetData sheetId="11"/>
      <sheetData sheetId="12" refreshError="1"/>
      <sheetData sheetId="13"/>
      <sheetData sheetId="14"/>
      <sheetData sheetId="15"/>
      <sheetData sheetId="16"/>
      <sheetData sheetId="17"/>
      <sheetData sheetId="18"/>
      <sheetData sheetId="19" refreshError="1"/>
      <sheetData sheetId="20"/>
      <sheetData sheetId="21" refreshError="1"/>
      <sheetData sheetId="22" refreshError="1">
        <row r="1">
          <cell r="A1" t="str">
            <v>ITEM PEMBAYARAN NO.</v>
          </cell>
        </row>
        <row r="106">
          <cell r="V106" t="str">
            <v>Analisa EI-313</v>
          </cell>
        </row>
      </sheetData>
      <sheetData sheetId="23" refreshError="1"/>
      <sheetData sheetId="24"/>
      <sheetData sheetId="25" refreshError="1"/>
      <sheetData sheetId="26"/>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BASE PER DESA-KELURAHAN"/>
      <sheetName val="PM-03"/>
      <sheetName val="PM-03 (2)"/>
      <sheetName val="FORMAT PM-03"/>
      <sheetName val="FOTO PM-03 1-8"/>
      <sheetName val="FOTO PM-03 9-16"/>
      <sheetName val="FOTO PM-03 17-24"/>
      <sheetName val="FOTO PM-03 25-32"/>
      <sheetName val="FOTO PM-03 33-40"/>
      <sheetName val="FOTO PM-03 40-48"/>
      <sheetName val="FOTO PM-03 49-56"/>
      <sheetName val="FOTO PM-03 57-64"/>
      <sheetName val="FOTO PM-03 65-72"/>
      <sheetName val="FOTO PM-03 73-80"/>
      <sheetName val="FOTO PM-03 81-88"/>
      <sheetName val="FOTO PM-03 89-96"/>
      <sheetName val="FOTO PM-03 97-104"/>
      <sheetName val="FOTO PM-03 105-112"/>
      <sheetName val="Sheet1"/>
    </sheetNames>
    <sheetDataSet>
      <sheetData sheetId="0"/>
      <sheetData sheetId="1"/>
      <sheetData sheetId="2"/>
      <sheetData sheetId="3">
        <row r="13">
          <cell r="A13">
            <v>1</v>
          </cell>
          <cell r="B13">
            <v>1</v>
          </cell>
          <cell r="C13" t="str">
            <v>SUMARYONO</v>
          </cell>
          <cell r="D13" t="str">
            <v>L</v>
          </cell>
          <cell r="E13" t="str">
            <v>3305141711640002</v>
          </cell>
          <cell r="F13" t="str">
            <v>PENGEMPON KIDUL RT 03/RW 01</v>
          </cell>
          <cell r="G13" t="str">
            <v>Tidak Layak</v>
          </cell>
          <cell r="H13" t="str">
            <v>Tidak Layak</v>
          </cell>
          <cell r="I13" t="str">
            <v>Tidak Layak</v>
          </cell>
          <cell r="J13">
            <v>0</v>
          </cell>
          <cell r="K13">
            <v>0</v>
          </cell>
          <cell r="L13" t="str">
            <v>√</v>
          </cell>
          <cell r="M13">
            <v>3</v>
          </cell>
          <cell r="N13" t="str">
            <v>√</v>
          </cell>
          <cell r="O13">
            <v>0</v>
          </cell>
          <cell r="P13">
            <v>0</v>
          </cell>
          <cell r="Q13" t="str">
            <v>PK</v>
          </cell>
          <cell r="R13" t="str">
            <v>√</v>
          </cell>
          <cell r="S13">
            <v>0</v>
          </cell>
          <cell r="T13">
            <v>0</v>
          </cell>
        </row>
        <row r="14">
          <cell r="A14">
            <v>0</v>
          </cell>
          <cell r="B14">
            <v>0</v>
          </cell>
          <cell r="C14" t="str">
            <v>OK</v>
          </cell>
          <cell r="D14" t="str">
            <v>OK</v>
          </cell>
          <cell r="E14" t="str">
            <v>OK</v>
          </cell>
          <cell r="F14" t="str">
            <v>OK</v>
          </cell>
          <cell r="G14" t="str">
            <v>OK</v>
          </cell>
          <cell r="H14" t="str">
            <v>OK</v>
          </cell>
          <cell r="I14" t="str">
            <v>OK</v>
          </cell>
          <cell r="J14">
            <v>0</v>
          </cell>
          <cell r="K14">
            <v>0</v>
          </cell>
          <cell r="L14" t="str">
            <v>√</v>
          </cell>
          <cell r="M14">
            <v>3</v>
          </cell>
          <cell r="N14" t="str">
            <v>√</v>
          </cell>
          <cell r="O14">
            <v>0</v>
          </cell>
          <cell r="P14">
            <v>0</v>
          </cell>
          <cell r="Q14">
            <v>0</v>
          </cell>
          <cell r="R14">
            <v>0</v>
          </cell>
          <cell r="S14">
            <v>0</v>
          </cell>
          <cell r="T14">
            <v>0</v>
          </cell>
        </row>
        <row r="15">
          <cell r="A15">
            <v>2</v>
          </cell>
          <cell r="B15">
            <v>2</v>
          </cell>
          <cell r="C15" t="str">
            <v>SUTOMO</v>
          </cell>
          <cell r="D15" t="str">
            <v>L</v>
          </cell>
          <cell r="E15" t="str">
            <v>3305141612740003</v>
          </cell>
          <cell r="F15" t="str">
            <v>PENGEMPON KIDUL RT 03/RW 01</v>
          </cell>
          <cell r="G15" t="str">
            <v>Tidak Layak</v>
          </cell>
          <cell r="H15" t="str">
            <v>Tidak Layak</v>
          </cell>
          <cell r="I15" t="str">
            <v>Tidak Layak</v>
          </cell>
          <cell r="J15">
            <v>0</v>
          </cell>
          <cell r="K15">
            <v>0</v>
          </cell>
          <cell r="L15" t="str">
            <v>√</v>
          </cell>
          <cell r="M15">
            <v>3</v>
          </cell>
          <cell r="N15" t="str">
            <v>√</v>
          </cell>
          <cell r="O15">
            <v>0</v>
          </cell>
          <cell r="P15">
            <v>0</v>
          </cell>
          <cell r="Q15" t="str">
            <v>PK</v>
          </cell>
          <cell r="R15" t="str">
            <v>√</v>
          </cell>
          <cell r="S15">
            <v>0</v>
          </cell>
          <cell r="T15">
            <v>0</v>
          </cell>
        </row>
        <row r="16">
          <cell r="A16">
            <v>0</v>
          </cell>
          <cell r="B16">
            <v>0</v>
          </cell>
          <cell r="C16" t="str">
            <v>OK</v>
          </cell>
          <cell r="D16" t="str">
            <v>OK</v>
          </cell>
          <cell r="E16" t="str">
            <v>OK</v>
          </cell>
          <cell r="F16" t="str">
            <v>OK</v>
          </cell>
          <cell r="G16" t="str">
            <v>OK</v>
          </cell>
          <cell r="H16" t="str">
            <v>OK</v>
          </cell>
          <cell r="I16" t="str">
            <v>OK</v>
          </cell>
          <cell r="J16">
            <v>0</v>
          </cell>
          <cell r="K16">
            <v>0</v>
          </cell>
          <cell r="L16" t="str">
            <v>√</v>
          </cell>
          <cell r="M16">
            <v>3</v>
          </cell>
          <cell r="N16" t="str">
            <v>√</v>
          </cell>
          <cell r="O16">
            <v>0</v>
          </cell>
          <cell r="P16">
            <v>0</v>
          </cell>
          <cell r="Q16">
            <v>0</v>
          </cell>
          <cell r="R16">
            <v>0</v>
          </cell>
          <cell r="S16">
            <v>0</v>
          </cell>
          <cell r="T16">
            <v>0</v>
          </cell>
        </row>
        <row r="17">
          <cell r="A17">
            <v>3</v>
          </cell>
          <cell r="B17">
            <v>3</v>
          </cell>
          <cell r="C17" t="str">
            <v>SIDIK</v>
          </cell>
          <cell r="D17" t="str">
            <v>L</v>
          </cell>
          <cell r="E17" t="str">
            <v>3305143112640012</v>
          </cell>
          <cell r="F17" t="str">
            <v>PENGEMPON RT 04/RW 01</v>
          </cell>
          <cell r="G17" t="str">
            <v>Tidak Layak</v>
          </cell>
          <cell r="H17" t="str">
            <v>Tidak Layak</v>
          </cell>
          <cell r="I17" t="str">
            <v>Tidak Layak</v>
          </cell>
          <cell r="J17">
            <v>0</v>
          </cell>
          <cell r="K17">
            <v>0</v>
          </cell>
          <cell r="L17" t="str">
            <v>√</v>
          </cell>
          <cell r="M17">
            <v>3</v>
          </cell>
          <cell r="N17" t="str">
            <v>√</v>
          </cell>
          <cell r="O17">
            <v>0</v>
          </cell>
          <cell r="P17">
            <v>0</v>
          </cell>
          <cell r="Q17" t="str">
            <v>PK</v>
          </cell>
          <cell r="R17" t="str">
            <v>√</v>
          </cell>
          <cell r="S17">
            <v>0</v>
          </cell>
          <cell r="T17">
            <v>0</v>
          </cell>
        </row>
        <row r="18">
          <cell r="A18">
            <v>0</v>
          </cell>
          <cell r="B18">
            <v>0</v>
          </cell>
          <cell r="C18" t="str">
            <v>OK</v>
          </cell>
          <cell r="D18" t="str">
            <v>OK</v>
          </cell>
          <cell r="E18" t="str">
            <v>OK</v>
          </cell>
          <cell r="F18" t="str">
            <v>OK</v>
          </cell>
          <cell r="G18" t="str">
            <v>OK</v>
          </cell>
          <cell r="H18" t="str">
            <v>OK</v>
          </cell>
          <cell r="I18" t="str">
            <v>OK</v>
          </cell>
          <cell r="J18">
            <v>0</v>
          </cell>
          <cell r="K18">
            <v>0</v>
          </cell>
          <cell r="L18" t="str">
            <v>√</v>
          </cell>
          <cell r="M18">
            <v>3</v>
          </cell>
          <cell r="N18" t="str">
            <v>√</v>
          </cell>
          <cell r="O18">
            <v>0</v>
          </cell>
          <cell r="P18">
            <v>0</v>
          </cell>
          <cell r="Q18">
            <v>0</v>
          </cell>
          <cell r="R18">
            <v>0</v>
          </cell>
          <cell r="S18">
            <v>0</v>
          </cell>
          <cell r="T18">
            <v>0</v>
          </cell>
        </row>
        <row r="19">
          <cell r="A19">
            <v>4</v>
          </cell>
          <cell r="B19">
            <v>4</v>
          </cell>
          <cell r="C19" t="str">
            <v>AHMAD JAHUDIN</v>
          </cell>
          <cell r="D19" t="str">
            <v>L</v>
          </cell>
          <cell r="E19" t="str">
            <v>3305143011590001</v>
          </cell>
          <cell r="F19" t="str">
            <v>PENGEMPON RT 04/RW 01</v>
          </cell>
          <cell r="G19" t="str">
            <v>Tidak Layak</v>
          </cell>
          <cell r="H19" t="str">
            <v>Tidak Layak</v>
          </cell>
          <cell r="I19" t="str">
            <v>Tidak Layak</v>
          </cell>
          <cell r="J19">
            <v>0</v>
          </cell>
          <cell r="K19">
            <v>0</v>
          </cell>
          <cell r="L19" t="str">
            <v>√</v>
          </cell>
          <cell r="M19">
            <v>3</v>
          </cell>
          <cell r="N19" t="str">
            <v>√</v>
          </cell>
          <cell r="O19">
            <v>0</v>
          </cell>
          <cell r="P19">
            <v>0</v>
          </cell>
          <cell r="Q19" t="str">
            <v>PK</v>
          </cell>
          <cell r="R19" t="str">
            <v>√</v>
          </cell>
          <cell r="S19">
            <v>0</v>
          </cell>
          <cell r="T19">
            <v>0</v>
          </cell>
        </row>
        <row r="20">
          <cell r="A20">
            <v>0</v>
          </cell>
          <cell r="B20">
            <v>0</v>
          </cell>
          <cell r="C20" t="str">
            <v>OK</v>
          </cell>
          <cell r="D20" t="str">
            <v>OK</v>
          </cell>
          <cell r="E20" t="str">
            <v>OK</v>
          </cell>
          <cell r="F20" t="str">
            <v>OK</v>
          </cell>
          <cell r="G20" t="str">
            <v>OK</v>
          </cell>
          <cell r="H20" t="str">
            <v>OK</v>
          </cell>
          <cell r="I20" t="str">
            <v>OK</v>
          </cell>
          <cell r="J20">
            <v>0</v>
          </cell>
          <cell r="K20">
            <v>0</v>
          </cell>
          <cell r="L20" t="str">
            <v>√</v>
          </cell>
          <cell r="M20">
            <v>3</v>
          </cell>
          <cell r="N20" t="str">
            <v>√</v>
          </cell>
          <cell r="O20">
            <v>0</v>
          </cell>
          <cell r="P20">
            <v>0</v>
          </cell>
          <cell r="Q20">
            <v>0</v>
          </cell>
          <cell r="R20">
            <v>0</v>
          </cell>
          <cell r="S20">
            <v>0</v>
          </cell>
          <cell r="T20">
            <v>0</v>
          </cell>
        </row>
        <row r="21">
          <cell r="A21">
            <v>5</v>
          </cell>
          <cell r="B21">
            <v>5</v>
          </cell>
          <cell r="C21" t="str">
            <v>MUKSON</v>
          </cell>
          <cell r="D21" t="str">
            <v>L</v>
          </cell>
          <cell r="E21" t="str">
            <v>3305140802740001</v>
          </cell>
          <cell r="F21" t="str">
            <v>PENGEMPON RT 04/RW 01</v>
          </cell>
          <cell r="G21" t="str">
            <v>Tidak Layak</v>
          </cell>
          <cell r="H21" t="str">
            <v>Tidak Layak</v>
          </cell>
          <cell r="I21" t="str">
            <v>Tidak Layak</v>
          </cell>
          <cell r="J21">
            <v>0</v>
          </cell>
          <cell r="K21">
            <v>0</v>
          </cell>
          <cell r="L21" t="str">
            <v>√</v>
          </cell>
          <cell r="M21">
            <v>3</v>
          </cell>
          <cell r="N21" t="str">
            <v>√</v>
          </cell>
          <cell r="O21">
            <v>0</v>
          </cell>
          <cell r="P21">
            <v>0</v>
          </cell>
          <cell r="Q21" t="str">
            <v>PK</v>
          </cell>
          <cell r="R21" t="str">
            <v>√</v>
          </cell>
          <cell r="S21">
            <v>0</v>
          </cell>
          <cell r="T21">
            <v>0</v>
          </cell>
        </row>
        <row r="22">
          <cell r="A22">
            <v>0</v>
          </cell>
          <cell r="B22">
            <v>0</v>
          </cell>
          <cell r="C22" t="str">
            <v>OK</v>
          </cell>
          <cell r="D22" t="str">
            <v>OK</v>
          </cell>
          <cell r="E22" t="str">
            <v>OK</v>
          </cell>
          <cell r="F22" t="str">
            <v>OK</v>
          </cell>
          <cell r="G22" t="str">
            <v>OK</v>
          </cell>
          <cell r="H22" t="str">
            <v>OK</v>
          </cell>
          <cell r="I22" t="str">
            <v>OK</v>
          </cell>
          <cell r="J22">
            <v>0</v>
          </cell>
          <cell r="K22">
            <v>0</v>
          </cell>
          <cell r="L22" t="str">
            <v>√</v>
          </cell>
          <cell r="M22">
            <v>3</v>
          </cell>
          <cell r="N22" t="str">
            <v>√</v>
          </cell>
          <cell r="O22">
            <v>0</v>
          </cell>
          <cell r="P22">
            <v>0</v>
          </cell>
          <cell r="Q22">
            <v>0</v>
          </cell>
          <cell r="R22">
            <v>0</v>
          </cell>
          <cell r="S22">
            <v>0</v>
          </cell>
          <cell r="T22">
            <v>0</v>
          </cell>
        </row>
        <row r="23">
          <cell r="A23">
            <v>6</v>
          </cell>
          <cell r="B23">
            <v>6</v>
          </cell>
          <cell r="C23" t="str">
            <v>WAKINGAH</v>
          </cell>
          <cell r="D23" t="str">
            <v>P</v>
          </cell>
          <cell r="E23" t="str">
            <v>3305146405530001</v>
          </cell>
          <cell r="F23" t="str">
            <v>PENGEMPON RT 04/RW 01</v>
          </cell>
          <cell r="G23" t="str">
            <v>Tidak Layak</v>
          </cell>
          <cell r="H23" t="str">
            <v>Tidak Layak</v>
          </cell>
          <cell r="I23" t="str">
            <v>Tidak Layak</v>
          </cell>
          <cell r="J23">
            <v>0</v>
          </cell>
          <cell r="K23">
            <v>0</v>
          </cell>
          <cell r="L23" t="str">
            <v>√</v>
          </cell>
          <cell r="M23">
            <v>3</v>
          </cell>
          <cell r="N23" t="str">
            <v>√</v>
          </cell>
          <cell r="O23">
            <v>0</v>
          </cell>
          <cell r="P23">
            <v>0</v>
          </cell>
          <cell r="Q23" t="str">
            <v>PK</v>
          </cell>
          <cell r="R23" t="str">
            <v>√</v>
          </cell>
          <cell r="S23">
            <v>0</v>
          </cell>
          <cell r="T23">
            <v>0</v>
          </cell>
        </row>
        <row r="24">
          <cell r="A24">
            <v>0</v>
          </cell>
          <cell r="B24">
            <v>0</v>
          </cell>
          <cell r="C24" t="str">
            <v>OK</v>
          </cell>
          <cell r="D24" t="str">
            <v>OK</v>
          </cell>
          <cell r="E24" t="str">
            <v>OK</v>
          </cell>
          <cell r="F24" t="str">
            <v>OK</v>
          </cell>
          <cell r="G24" t="str">
            <v>OK</v>
          </cell>
          <cell r="H24" t="str">
            <v>OK</v>
          </cell>
          <cell r="I24" t="str">
            <v>OK</v>
          </cell>
          <cell r="J24">
            <v>0</v>
          </cell>
          <cell r="K24">
            <v>0</v>
          </cell>
          <cell r="L24" t="str">
            <v>√</v>
          </cell>
          <cell r="M24">
            <v>3</v>
          </cell>
          <cell r="N24" t="str">
            <v>√</v>
          </cell>
          <cell r="O24">
            <v>0</v>
          </cell>
          <cell r="P24">
            <v>0</v>
          </cell>
          <cell r="Q24">
            <v>0</v>
          </cell>
          <cell r="R24">
            <v>0</v>
          </cell>
          <cell r="S24">
            <v>0</v>
          </cell>
          <cell r="T24">
            <v>0</v>
          </cell>
        </row>
        <row r="25">
          <cell r="A25">
            <v>7</v>
          </cell>
          <cell r="B25">
            <v>7</v>
          </cell>
          <cell r="C25" t="str">
            <v>SARINGAH</v>
          </cell>
          <cell r="D25" t="str">
            <v>P</v>
          </cell>
          <cell r="E25" t="str">
            <v>3305145304550001</v>
          </cell>
          <cell r="F25" t="str">
            <v>PENGEMPON CINGKRANG RT 04/RW 01</v>
          </cell>
          <cell r="G25" t="str">
            <v>Tidak Layak</v>
          </cell>
          <cell r="H25" t="str">
            <v>Tidak Layak</v>
          </cell>
          <cell r="I25" t="str">
            <v>Tidak Layak</v>
          </cell>
          <cell r="J25">
            <v>0</v>
          </cell>
          <cell r="K25">
            <v>0</v>
          </cell>
          <cell r="L25" t="str">
            <v>√</v>
          </cell>
          <cell r="M25">
            <v>3</v>
          </cell>
          <cell r="N25" t="str">
            <v>√</v>
          </cell>
          <cell r="O25">
            <v>0</v>
          </cell>
          <cell r="P25">
            <v>0</v>
          </cell>
          <cell r="Q25" t="str">
            <v>PK</v>
          </cell>
          <cell r="R25" t="str">
            <v>√</v>
          </cell>
          <cell r="S25">
            <v>0</v>
          </cell>
          <cell r="T25">
            <v>0</v>
          </cell>
        </row>
        <row r="26">
          <cell r="A26">
            <v>0</v>
          </cell>
          <cell r="B26">
            <v>0</v>
          </cell>
          <cell r="C26" t="str">
            <v>OK</v>
          </cell>
          <cell r="D26" t="str">
            <v>OK</v>
          </cell>
          <cell r="E26" t="str">
            <v>OK</v>
          </cell>
          <cell r="F26" t="str">
            <v>OK</v>
          </cell>
          <cell r="G26" t="str">
            <v>OK</v>
          </cell>
          <cell r="H26" t="str">
            <v>OK</v>
          </cell>
          <cell r="I26" t="str">
            <v>OK</v>
          </cell>
          <cell r="J26">
            <v>0</v>
          </cell>
          <cell r="K26">
            <v>0</v>
          </cell>
          <cell r="L26" t="str">
            <v>√</v>
          </cell>
          <cell r="M26">
            <v>3</v>
          </cell>
          <cell r="N26" t="str">
            <v>√</v>
          </cell>
          <cell r="O26">
            <v>0</v>
          </cell>
          <cell r="P26">
            <v>0</v>
          </cell>
          <cell r="Q26">
            <v>0</v>
          </cell>
          <cell r="R26">
            <v>0</v>
          </cell>
          <cell r="S26">
            <v>0</v>
          </cell>
          <cell r="T26">
            <v>0</v>
          </cell>
        </row>
        <row r="27">
          <cell r="A27">
            <v>8</v>
          </cell>
          <cell r="B27">
            <v>8</v>
          </cell>
          <cell r="C27" t="str">
            <v>MUNASIR</v>
          </cell>
          <cell r="D27" t="str">
            <v>L</v>
          </cell>
          <cell r="E27" t="str">
            <v>3305143112400027</v>
          </cell>
          <cell r="F27" t="str">
            <v>PENGEMPON RT 01/RW 02</v>
          </cell>
          <cell r="G27" t="str">
            <v>Tidak Layak</v>
          </cell>
          <cell r="H27" t="str">
            <v>Tidak Layak</v>
          </cell>
          <cell r="I27" t="str">
            <v>Tidak Layak</v>
          </cell>
          <cell r="J27">
            <v>0</v>
          </cell>
          <cell r="K27">
            <v>0</v>
          </cell>
          <cell r="L27" t="str">
            <v>√</v>
          </cell>
          <cell r="M27">
            <v>3</v>
          </cell>
          <cell r="N27" t="str">
            <v>√</v>
          </cell>
          <cell r="O27">
            <v>0</v>
          </cell>
          <cell r="P27">
            <v>0</v>
          </cell>
          <cell r="Q27" t="str">
            <v>PK</v>
          </cell>
          <cell r="R27" t="str">
            <v>√</v>
          </cell>
          <cell r="S27">
            <v>0</v>
          </cell>
          <cell r="T27">
            <v>0</v>
          </cell>
        </row>
        <row r="28">
          <cell r="A28">
            <v>0</v>
          </cell>
          <cell r="B28">
            <v>0</v>
          </cell>
          <cell r="C28" t="str">
            <v>OK</v>
          </cell>
          <cell r="D28" t="str">
            <v>OK</v>
          </cell>
          <cell r="E28" t="str">
            <v>OK</v>
          </cell>
          <cell r="F28" t="str">
            <v>OK</v>
          </cell>
          <cell r="G28" t="str">
            <v>OK</v>
          </cell>
          <cell r="H28" t="str">
            <v>OK</v>
          </cell>
          <cell r="I28" t="str">
            <v>OK</v>
          </cell>
          <cell r="J28">
            <v>0</v>
          </cell>
          <cell r="K28">
            <v>0</v>
          </cell>
          <cell r="L28" t="str">
            <v>√</v>
          </cell>
          <cell r="M28">
            <v>3</v>
          </cell>
          <cell r="N28" t="str">
            <v>√</v>
          </cell>
          <cell r="O28">
            <v>0</v>
          </cell>
          <cell r="P28">
            <v>0</v>
          </cell>
          <cell r="Q28">
            <v>0</v>
          </cell>
          <cell r="R28">
            <v>0</v>
          </cell>
          <cell r="S28">
            <v>0</v>
          </cell>
          <cell r="T28">
            <v>0</v>
          </cell>
        </row>
        <row r="29">
          <cell r="A29">
            <v>9</v>
          </cell>
          <cell r="B29">
            <v>9</v>
          </cell>
          <cell r="C29" t="str">
            <v>NASRIYATUN</v>
          </cell>
          <cell r="D29" t="str">
            <v>P</v>
          </cell>
          <cell r="E29" t="str">
            <v>3305145608720001</v>
          </cell>
          <cell r="F29" t="str">
            <v>PENGEMPON LOR RT 01/RW 02</v>
          </cell>
          <cell r="G29" t="str">
            <v>Tidak Layak</v>
          </cell>
          <cell r="H29" t="str">
            <v>Tidak Layak</v>
          </cell>
          <cell r="I29" t="str">
            <v>Tidak Layak</v>
          </cell>
          <cell r="J29">
            <v>0</v>
          </cell>
          <cell r="K29">
            <v>0</v>
          </cell>
          <cell r="L29" t="str">
            <v>√</v>
          </cell>
          <cell r="M29">
            <v>3</v>
          </cell>
          <cell r="N29" t="str">
            <v>√</v>
          </cell>
          <cell r="O29">
            <v>0</v>
          </cell>
          <cell r="P29">
            <v>0</v>
          </cell>
          <cell r="Q29" t="str">
            <v>PK</v>
          </cell>
          <cell r="R29" t="str">
            <v>√</v>
          </cell>
          <cell r="S29">
            <v>0</v>
          </cell>
          <cell r="T29">
            <v>0</v>
          </cell>
        </row>
        <row r="30">
          <cell r="A30">
            <v>0</v>
          </cell>
          <cell r="B30">
            <v>0</v>
          </cell>
          <cell r="C30" t="str">
            <v>OK</v>
          </cell>
          <cell r="D30" t="str">
            <v>OK</v>
          </cell>
          <cell r="E30" t="str">
            <v>OK</v>
          </cell>
          <cell r="F30" t="str">
            <v>OK</v>
          </cell>
          <cell r="G30" t="str">
            <v>OK</v>
          </cell>
          <cell r="H30" t="str">
            <v>OK</v>
          </cell>
          <cell r="I30" t="str">
            <v>OK</v>
          </cell>
          <cell r="J30">
            <v>0</v>
          </cell>
          <cell r="K30">
            <v>0</v>
          </cell>
          <cell r="L30" t="str">
            <v>√</v>
          </cell>
          <cell r="M30">
            <v>3</v>
          </cell>
          <cell r="N30" t="str">
            <v>√</v>
          </cell>
          <cell r="O30">
            <v>0</v>
          </cell>
          <cell r="P30">
            <v>0</v>
          </cell>
          <cell r="Q30">
            <v>0</v>
          </cell>
          <cell r="R30">
            <v>0</v>
          </cell>
          <cell r="S30">
            <v>0</v>
          </cell>
          <cell r="T30">
            <v>0</v>
          </cell>
        </row>
        <row r="31">
          <cell r="A31">
            <v>10</v>
          </cell>
          <cell r="B31">
            <v>10</v>
          </cell>
          <cell r="C31" t="str">
            <v>MUDAKIR</v>
          </cell>
          <cell r="D31" t="str">
            <v>L</v>
          </cell>
          <cell r="E31" t="str">
            <v>3305140406580001</v>
          </cell>
          <cell r="F31" t="str">
            <v>PENGEMPON RT 01/RW 02</v>
          </cell>
          <cell r="G31" t="str">
            <v>Tidak Layak</v>
          </cell>
          <cell r="H31" t="str">
            <v>Tidak Layak</v>
          </cell>
          <cell r="I31" t="str">
            <v>Tidak Layak</v>
          </cell>
          <cell r="J31">
            <v>0</v>
          </cell>
          <cell r="K31">
            <v>0</v>
          </cell>
          <cell r="L31" t="str">
            <v>√</v>
          </cell>
          <cell r="M31">
            <v>3</v>
          </cell>
          <cell r="N31" t="str">
            <v>√</v>
          </cell>
          <cell r="O31">
            <v>0</v>
          </cell>
          <cell r="P31">
            <v>0</v>
          </cell>
          <cell r="Q31" t="str">
            <v>PK</v>
          </cell>
          <cell r="R31" t="str">
            <v>√</v>
          </cell>
          <cell r="S31">
            <v>0</v>
          </cell>
          <cell r="T31">
            <v>0</v>
          </cell>
        </row>
        <row r="32">
          <cell r="A32">
            <v>0</v>
          </cell>
          <cell r="B32">
            <v>0</v>
          </cell>
          <cell r="C32" t="str">
            <v>OK</v>
          </cell>
          <cell r="D32" t="str">
            <v>OK</v>
          </cell>
          <cell r="E32" t="str">
            <v>OK</v>
          </cell>
          <cell r="F32" t="str">
            <v>OK</v>
          </cell>
          <cell r="G32" t="str">
            <v>OK</v>
          </cell>
          <cell r="H32" t="str">
            <v>OK</v>
          </cell>
          <cell r="I32" t="str">
            <v>OK</v>
          </cell>
          <cell r="J32">
            <v>0</v>
          </cell>
          <cell r="K32">
            <v>0</v>
          </cell>
          <cell r="L32" t="str">
            <v>√</v>
          </cell>
          <cell r="M32">
            <v>3</v>
          </cell>
          <cell r="N32" t="str">
            <v>√</v>
          </cell>
          <cell r="O32">
            <v>0</v>
          </cell>
          <cell r="P32">
            <v>0</v>
          </cell>
          <cell r="Q32">
            <v>0</v>
          </cell>
          <cell r="R32">
            <v>0</v>
          </cell>
          <cell r="S32">
            <v>0</v>
          </cell>
          <cell r="T32">
            <v>0</v>
          </cell>
        </row>
        <row r="33">
          <cell r="A33">
            <v>11</v>
          </cell>
          <cell r="B33">
            <v>11</v>
          </cell>
          <cell r="C33" t="str">
            <v>NAFINGATUN</v>
          </cell>
          <cell r="D33" t="str">
            <v>P</v>
          </cell>
          <cell r="E33" t="str">
            <v>3305144906630002</v>
          </cell>
          <cell r="F33" t="str">
            <v>PENGEMPON RT 03/RW 01</v>
          </cell>
          <cell r="G33" t="str">
            <v>Tidak Layak</v>
          </cell>
          <cell r="H33" t="str">
            <v>Tidak Layak</v>
          </cell>
          <cell r="I33" t="str">
            <v>Tidak Layak</v>
          </cell>
          <cell r="J33">
            <v>0</v>
          </cell>
          <cell r="K33">
            <v>0</v>
          </cell>
          <cell r="L33" t="str">
            <v>√</v>
          </cell>
          <cell r="M33">
            <v>3</v>
          </cell>
          <cell r="N33" t="str">
            <v>√</v>
          </cell>
          <cell r="O33">
            <v>0</v>
          </cell>
          <cell r="P33">
            <v>0</v>
          </cell>
          <cell r="Q33" t="str">
            <v>PK</v>
          </cell>
          <cell r="R33" t="str">
            <v>√</v>
          </cell>
          <cell r="S33">
            <v>0</v>
          </cell>
          <cell r="T33">
            <v>0</v>
          </cell>
        </row>
        <row r="34">
          <cell r="A34">
            <v>0</v>
          </cell>
          <cell r="B34">
            <v>0</v>
          </cell>
          <cell r="C34" t="str">
            <v>OK</v>
          </cell>
          <cell r="D34" t="str">
            <v>OK</v>
          </cell>
          <cell r="E34" t="str">
            <v>OK</v>
          </cell>
          <cell r="F34" t="str">
            <v>OK</v>
          </cell>
          <cell r="G34" t="str">
            <v>OK</v>
          </cell>
          <cell r="H34" t="str">
            <v>OK</v>
          </cell>
          <cell r="I34" t="str">
            <v>OK</v>
          </cell>
          <cell r="J34">
            <v>0</v>
          </cell>
          <cell r="K34">
            <v>0</v>
          </cell>
          <cell r="L34" t="str">
            <v>√</v>
          </cell>
          <cell r="M34">
            <v>3</v>
          </cell>
          <cell r="N34" t="str">
            <v>√</v>
          </cell>
          <cell r="O34">
            <v>0</v>
          </cell>
          <cell r="P34">
            <v>0</v>
          </cell>
          <cell r="Q34">
            <v>0</v>
          </cell>
          <cell r="R34">
            <v>0</v>
          </cell>
          <cell r="S34">
            <v>0</v>
          </cell>
          <cell r="T34">
            <v>0</v>
          </cell>
        </row>
        <row r="35">
          <cell r="A35">
            <v>12</v>
          </cell>
          <cell r="B35">
            <v>12</v>
          </cell>
          <cell r="C35" t="str">
            <v>ROHAEDI</v>
          </cell>
          <cell r="D35" t="str">
            <v>L</v>
          </cell>
          <cell r="E35" t="str">
            <v>3305140605840001</v>
          </cell>
          <cell r="F35" t="str">
            <v>PENGEMPON RT 01/RW 02</v>
          </cell>
          <cell r="G35" t="str">
            <v>Tidak Layak</v>
          </cell>
          <cell r="H35" t="str">
            <v>Tidak Layak</v>
          </cell>
          <cell r="I35" t="str">
            <v>Tidak Layak</v>
          </cell>
          <cell r="J35">
            <v>0</v>
          </cell>
          <cell r="K35">
            <v>0</v>
          </cell>
          <cell r="L35" t="str">
            <v>√</v>
          </cell>
          <cell r="M35">
            <v>3</v>
          </cell>
          <cell r="N35" t="str">
            <v>√</v>
          </cell>
          <cell r="O35">
            <v>0</v>
          </cell>
          <cell r="P35">
            <v>0</v>
          </cell>
          <cell r="Q35" t="str">
            <v>PK</v>
          </cell>
          <cell r="R35" t="str">
            <v>√</v>
          </cell>
          <cell r="S35">
            <v>0</v>
          </cell>
          <cell r="T35">
            <v>0</v>
          </cell>
        </row>
        <row r="36">
          <cell r="A36">
            <v>0</v>
          </cell>
          <cell r="B36">
            <v>0</v>
          </cell>
          <cell r="C36" t="str">
            <v>OK</v>
          </cell>
          <cell r="D36" t="str">
            <v>OK</v>
          </cell>
          <cell r="E36" t="str">
            <v>OK</v>
          </cell>
          <cell r="F36" t="str">
            <v>OK</v>
          </cell>
          <cell r="G36" t="str">
            <v>OK</v>
          </cell>
          <cell r="H36" t="str">
            <v>OK</v>
          </cell>
          <cell r="I36" t="str">
            <v>OK</v>
          </cell>
          <cell r="J36">
            <v>0</v>
          </cell>
          <cell r="K36">
            <v>0</v>
          </cell>
          <cell r="L36" t="str">
            <v>√</v>
          </cell>
          <cell r="M36">
            <v>3</v>
          </cell>
          <cell r="N36" t="str">
            <v>√</v>
          </cell>
          <cell r="O36">
            <v>0</v>
          </cell>
          <cell r="P36">
            <v>0</v>
          </cell>
          <cell r="Q36">
            <v>0</v>
          </cell>
          <cell r="R36">
            <v>0</v>
          </cell>
          <cell r="S36">
            <v>0</v>
          </cell>
          <cell r="T36">
            <v>0</v>
          </cell>
        </row>
        <row r="37">
          <cell r="A37">
            <v>13</v>
          </cell>
          <cell r="B37">
            <v>13</v>
          </cell>
          <cell r="C37" t="str">
            <v>WAKHIRUDIN</v>
          </cell>
          <cell r="D37" t="str">
            <v>L</v>
          </cell>
          <cell r="E37" t="str">
            <v>3305141108700004</v>
          </cell>
          <cell r="F37" t="str">
            <v>PENGEMPON RT 02/RW 02</v>
          </cell>
          <cell r="G37" t="str">
            <v>Tidak Layak</v>
          </cell>
          <cell r="H37" t="str">
            <v>Tidak Layak</v>
          </cell>
          <cell r="I37" t="str">
            <v>Tidak Layak</v>
          </cell>
          <cell r="J37">
            <v>0</v>
          </cell>
          <cell r="K37">
            <v>0</v>
          </cell>
          <cell r="L37" t="str">
            <v>√</v>
          </cell>
          <cell r="M37">
            <v>3</v>
          </cell>
          <cell r="N37" t="str">
            <v>√</v>
          </cell>
          <cell r="O37">
            <v>0</v>
          </cell>
          <cell r="P37">
            <v>0</v>
          </cell>
          <cell r="Q37" t="str">
            <v>PK</v>
          </cell>
          <cell r="R37" t="str">
            <v>√</v>
          </cell>
          <cell r="S37">
            <v>0</v>
          </cell>
          <cell r="T37">
            <v>0</v>
          </cell>
        </row>
        <row r="38">
          <cell r="A38">
            <v>0</v>
          </cell>
          <cell r="B38">
            <v>0</v>
          </cell>
          <cell r="C38" t="str">
            <v>OK</v>
          </cell>
          <cell r="D38" t="str">
            <v>OK</v>
          </cell>
          <cell r="E38" t="str">
            <v>OK</v>
          </cell>
          <cell r="F38" t="str">
            <v>OK</v>
          </cell>
          <cell r="G38" t="str">
            <v>OK</v>
          </cell>
          <cell r="H38" t="str">
            <v>OK</v>
          </cell>
          <cell r="I38" t="str">
            <v>OK</v>
          </cell>
          <cell r="J38">
            <v>0</v>
          </cell>
          <cell r="K38">
            <v>0</v>
          </cell>
          <cell r="L38" t="str">
            <v>√</v>
          </cell>
          <cell r="M38">
            <v>3</v>
          </cell>
          <cell r="N38" t="str">
            <v>√</v>
          </cell>
          <cell r="O38">
            <v>0</v>
          </cell>
          <cell r="P38">
            <v>0</v>
          </cell>
          <cell r="Q38">
            <v>0</v>
          </cell>
          <cell r="R38">
            <v>0</v>
          </cell>
          <cell r="S38">
            <v>0</v>
          </cell>
          <cell r="T38">
            <v>0</v>
          </cell>
        </row>
        <row r="39">
          <cell r="A39">
            <v>14</v>
          </cell>
          <cell r="B39">
            <v>14</v>
          </cell>
          <cell r="C39" t="str">
            <v>KATIYO</v>
          </cell>
          <cell r="D39" t="str">
            <v>L</v>
          </cell>
          <cell r="E39" t="str">
            <v>3305141610540001</v>
          </cell>
          <cell r="F39" t="str">
            <v>PENGEMPON RT 02/RW 02</v>
          </cell>
          <cell r="G39" t="str">
            <v>Tidak Layak</v>
          </cell>
          <cell r="H39" t="str">
            <v>Tidak Layak</v>
          </cell>
          <cell r="I39" t="str">
            <v>Tidak Layak</v>
          </cell>
          <cell r="J39">
            <v>0</v>
          </cell>
          <cell r="K39">
            <v>0</v>
          </cell>
          <cell r="L39" t="str">
            <v>√</v>
          </cell>
          <cell r="M39">
            <v>3</v>
          </cell>
          <cell r="N39" t="str">
            <v>√</v>
          </cell>
          <cell r="O39">
            <v>0</v>
          </cell>
          <cell r="P39">
            <v>0</v>
          </cell>
          <cell r="Q39" t="str">
            <v>PK</v>
          </cell>
          <cell r="R39" t="str">
            <v>√</v>
          </cell>
          <cell r="S39">
            <v>0</v>
          </cell>
          <cell r="T39">
            <v>0</v>
          </cell>
        </row>
        <row r="40">
          <cell r="A40">
            <v>0</v>
          </cell>
          <cell r="B40">
            <v>0</v>
          </cell>
          <cell r="C40" t="str">
            <v>OK</v>
          </cell>
          <cell r="D40" t="str">
            <v>OK</v>
          </cell>
          <cell r="E40" t="str">
            <v>OK</v>
          </cell>
          <cell r="F40" t="str">
            <v>OK</v>
          </cell>
          <cell r="G40" t="str">
            <v>OK</v>
          </cell>
          <cell r="H40" t="str">
            <v>OK</v>
          </cell>
          <cell r="I40" t="str">
            <v>OK</v>
          </cell>
          <cell r="J40">
            <v>0</v>
          </cell>
          <cell r="K40">
            <v>0</v>
          </cell>
          <cell r="L40" t="str">
            <v>√</v>
          </cell>
          <cell r="M40">
            <v>3</v>
          </cell>
          <cell r="N40" t="str">
            <v>√</v>
          </cell>
          <cell r="O40">
            <v>0</v>
          </cell>
          <cell r="P40">
            <v>0</v>
          </cell>
          <cell r="Q40">
            <v>0</v>
          </cell>
          <cell r="R40">
            <v>0</v>
          </cell>
          <cell r="S40">
            <v>0</v>
          </cell>
          <cell r="T40">
            <v>0</v>
          </cell>
        </row>
        <row r="41">
          <cell r="A41">
            <v>15</v>
          </cell>
          <cell r="B41">
            <v>15</v>
          </cell>
          <cell r="C41" t="str">
            <v>MANISAH</v>
          </cell>
          <cell r="D41" t="str">
            <v>P</v>
          </cell>
          <cell r="E41" t="str">
            <v>3305147112590002</v>
          </cell>
          <cell r="F41" t="str">
            <v>PENGEMPON RT 02/RW 02</v>
          </cell>
          <cell r="G41" t="str">
            <v>Tidak Layak</v>
          </cell>
          <cell r="H41" t="str">
            <v>Tidak Layak</v>
          </cell>
          <cell r="I41" t="str">
            <v>Tidak Layak</v>
          </cell>
          <cell r="J41">
            <v>0</v>
          </cell>
          <cell r="K41">
            <v>0</v>
          </cell>
          <cell r="L41" t="str">
            <v>√</v>
          </cell>
          <cell r="M41">
            <v>3</v>
          </cell>
          <cell r="N41" t="str">
            <v>√</v>
          </cell>
          <cell r="O41">
            <v>0</v>
          </cell>
          <cell r="P41">
            <v>0</v>
          </cell>
          <cell r="Q41" t="str">
            <v>PK</v>
          </cell>
          <cell r="R41" t="str">
            <v>√</v>
          </cell>
          <cell r="S41">
            <v>0</v>
          </cell>
          <cell r="T41">
            <v>0</v>
          </cell>
        </row>
        <row r="42">
          <cell r="A42">
            <v>0</v>
          </cell>
          <cell r="B42">
            <v>0</v>
          </cell>
          <cell r="C42" t="str">
            <v>OK</v>
          </cell>
          <cell r="D42" t="str">
            <v>OK</v>
          </cell>
          <cell r="E42" t="str">
            <v>OK</v>
          </cell>
          <cell r="F42" t="str">
            <v>OK</v>
          </cell>
          <cell r="G42" t="str">
            <v>OK</v>
          </cell>
          <cell r="H42" t="str">
            <v>OK</v>
          </cell>
          <cell r="I42" t="str">
            <v>OK</v>
          </cell>
          <cell r="J42">
            <v>0</v>
          </cell>
          <cell r="K42">
            <v>0</v>
          </cell>
          <cell r="L42" t="str">
            <v>√</v>
          </cell>
          <cell r="M42">
            <v>3</v>
          </cell>
          <cell r="N42" t="str">
            <v>√</v>
          </cell>
          <cell r="O42">
            <v>0</v>
          </cell>
          <cell r="P42">
            <v>0</v>
          </cell>
          <cell r="Q42">
            <v>0</v>
          </cell>
          <cell r="R42">
            <v>0</v>
          </cell>
          <cell r="S42">
            <v>0</v>
          </cell>
          <cell r="T42">
            <v>0</v>
          </cell>
        </row>
        <row r="43">
          <cell r="A43">
            <v>16</v>
          </cell>
          <cell r="B43">
            <v>16</v>
          </cell>
          <cell r="C43" t="str">
            <v>WASITAH</v>
          </cell>
          <cell r="D43" t="str">
            <v>P</v>
          </cell>
          <cell r="E43" t="str">
            <v>3305147112500024</v>
          </cell>
          <cell r="F43" t="str">
            <v>`</v>
          </cell>
          <cell r="G43" t="str">
            <v>Tidak Layak</v>
          </cell>
          <cell r="H43" t="str">
            <v>Tidak Layak</v>
          </cell>
          <cell r="I43" t="str">
            <v>Tidak Layak</v>
          </cell>
          <cell r="J43">
            <v>0</v>
          </cell>
          <cell r="K43">
            <v>0</v>
          </cell>
          <cell r="L43">
            <v>0</v>
          </cell>
          <cell r="M43">
            <v>0</v>
          </cell>
          <cell r="N43">
            <v>0</v>
          </cell>
          <cell r="O43">
            <v>0</v>
          </cell>
          <cell r="P43" t="str">
            <v>SUDAH DIBANGUN PERMANEN</v>
          </cell>
          <cell r="Q43" t="str">
            <v>PK</v>
          </cell>
          <cell r="R43" t="str">
            <v>-</v>
          </cell>
          <cell r="S43">
            <v>0</v>
          </cell>
          <cell r="T43">
            <v>0</v>
          </cell>
        </row>
        <row r="44">
          <cell r="A44">
            <v>0</v>
          </cell>
          <cell r="B44">
            <v>0</v>
          </cell>
          <cell r="C44" t="str">
            <v>OK</v>
          </cell>
          <cell r="D44" t="str">
            <v>OK</v>
          </cell>
          <cell r="E44" t="str">
            <v>OK</v>
          </cell>
          <cell r="F44" t="str">
            <v>OK</v>
          </cell>
          <cell r="G44" t="str">
            <v>LAYAK</v>
          </cell>
          <cell r="H44" t="str">
            <v>LAYAK</v>
          </cell>
          <cell r="I44" t="str">
            <v>LAYAK</v>
          </cell>
          <cell r="J44">
            <v>0</v>
          </cell>
          <cell r="K44">
            <v>0</v>
          </cell>
          <cell r="L44">
            <v>0</v>
          </cell>
          <cell r="M44">
            <v>0</v>
          </cell>
          <cell r="N44">
            <v>0</v>
          </cell>
          <cell r="O44">
            <v>0</v>
          </cell>
          <cell r="P44">
            <v>0</v>
          </cell>
          <cell r="Q44">
            <v>0</v>
          </cell>
          <cell r="R44">
            <v>0</v>
          </cell>
          <cell r="S44">
            <v>0</v>
          </cell>
          <cell r="T44">
            <v>0</v>
          </cell>
        </row>
        <row r="45">
          <cell r="A45">
            <v>17</v>
          </cell>
          <cell r="B45">
            <v>17</v>
          </cell>
          <cell r="C45" t="str">
            <v>MADKASRI</v>
          </cell>
          <cell r="D45" t="str">
            <v>L</v>
          </cell>
          <cell r="E45" t="str">
            <v>3305143007370001</v>
          </cell>
          <cell r="F45" t="str">
            <v>PENGEMPON RT 02/RW 02</v>
          </cell>
          <cell r="G45" t="str">
            <v>Tidak Layak</v>
          </cell>
          <cell r="H45" t="str">
            <v>Tidak Layak</v>
          </cell>
          <cell r="I45" t="str">
            <v>Tidak Layak</v>
          </cell>
          <cell r="J45">
            <v>0</v>
          </cell>
          <cell r="K45">
            <v>0</v>
          </cell>
          <cell r="L45" t="str">
            <v>√</v>
          </cell>
          <cell r="M45">
            <v>3</v>
          </cell>
          <cell r="N45" t="str">
            <v>√</v>
          </cell>
          <cell r="O45">
            <v>0</v>
          </cell>
          <cell r="P45">
            <v>0</v>
          </cell>
          <cell r="Q45" t="str">
            <v>PK</v>
          </cell>
          <cell r="R45" t="str">
            <v>√</v>
          </cell>
          <cell r="S45">
            <v>0</v>
          </cell>
          <cell r="T45">
            <v>0</v>
          </cell>
        </row>
        <row r="46">
          <cell r="A46">
            <v>0</v>
          </cell>
          <cell r="B46">
            <v>0</v>
          </cell>
          <cell r="C46" t="str">
            <v>OK</v>
          </cell>
          <cell r="D46" t="str">
            <v>OK</v>
          </cell>
          <cell r="E46" t="str">
            <v>OK</v>
          </cell>
          <cell r="F46" t="str">
            <v>OK</v>
          </cell>
          <cell r="G46" t="str">
            <v>OK</v>
          </cell>
          <cell r="H46" t="str">
            <v>OK</v>
          </cell>
          <cell r="I46" t="str">
            <v>OK</v>
          </cell>
          <cell r="J46">
            <v>0</v>
          </cell>
          <cell r="K46">
            <v>0</v>
          </cell>
          <cell r="L46" t="str">
            <v>√</v>
          </cell>
          <cell r="M46">
            <v>3</v>
          </cell>
          <cell r="N46" t="str">
            <v>√</v>
          </cell>
          <cell r="O46">
            <v>0</v>
          </cell>
          <cell r="P46">
            <v>0</v>
          </cell>
          <cell r="Q46">
            <v>0</v>
          </cell>
          <cell r="R46">
            <v>0</v>
          </cell>
          <cell r="S46">
            <v>0</v>
          </cell>
          <cell r="T46">
            <v>0</v>
          </cell>
        </row>
        <row r="47">
          <cell r="A47">
            <v>18</v>
          </cell>
          <cell r="B47">
            <v>18</v>
          </cell>
          <cell r="C47" t="str">
            <v>SADIRAN</v>
          </cell>
          <cell r="D47" t="str">
            <v>L</v>
          </cell>
          <cell r="E47" t="str">
            <v>3305143112480010</v>
          </cell>
          <cell r="F47" t="str">
            <v>PENGEMPON RT 02/RW 02</v>
          </cell>
          <cell r="G47" t="str">
            <v>Tidak Layak</v>
          </cell>
          <cell r="H47" t="str">
            <v>Tidak Layak</v>
          </cell>
          <cell r="I47" t="str">
            <v>Tidak Layak</v>
          </cell>
          <cell r="J47">
            <v>0</v>
          </cell>
          <cell r="K47">
            <v>0</v>
          </cell>
          <cell r="L47" t="str">
            <v>√</v>
          </cell>
          <cell r="M47">
            <v>3</v>
          </cell>
          <cell r="N47" t="str">
            <v>√</v>
          </cell>
          <cell r="O47">
            <v>0</v>
          </cell>
          <cell r="P47">
            <v>0</v>
          </cell>
          <cell r="Q47" t="str">
            <v>PK</v>
          </cell>
          <cell r="R47" t="str">
            <v>√</v>
          </cell>
          <cell r="S47">
            <v>0</v>
          </cell>
          <cell r="T47">
            <v>0</v>
          </cell>
        </row>
        <row r="48">
          <cell r="A48">
            <v>0</v>
          </cell>
          <cell r="B48">
            <v>0</v>
          </cell>
          <cell r="C48" t="str">
            <v>OK</v>
          </cell>
          <cell r="D48" t="str">
            <v>OK</v>
          </cell>
          <cell r="E48" t="str">
            <v>OK</v>
          </cell>
          <cell r="F48" t="str">
            <v>OK</v>
          </cell>
          <cell r="G48" t="str">
            <v>OK</v>
          </cell>
          <cell r="H48" t="str">
            <v>OK</v>
          </cell>
          <cell r="I48" t="str">
            <v>OK</v>
          </cell>
          <cell r="J48">
            <v>0</v>
          </cell>
          <cell r="K48">
            <v>0</v>
          </cell>
          <cell r="L48" t="str">
            <v>√</v>
          </cell>
          <cell r="M48">
            <v>3</v>
          </cell>
          <cell r="N48" t="str">
            <v>√</v>
          </cell>
          <cell r="O48">
            <v>0</v>
          </cell>
          <cell r="P48">
            <v>0</v>
          </cell>
          <cell r="Q48">
            <v>0</v>
          </cell>
          <cell r="R48">
            <v>0</v>
          </cell>
          <cell r="S48">
            <v>0</v>
          </cell>
          <cell r="T48">
            <v>0</v>
          </cell>
        </row>
        <row r="49">
          <cell r="A49">
            <v>19</v>
          </cell>
          <cell r="B49">
            <v>19</v>
          </cell>
          <cell r="C49" t="str">
            <v>SURATIYAH</v>
          </cell>
          <cell r="D49" t="str">
            <v>P</v>
          </cell>
          <cell r="E49" t="str">
            <v>3305145403740002</v>
          </cell>
          <cell r="F49" t="str">
            <v>PENGEMPON RT 02/RW 02</v>
          </cell>
          <cell r="G49" t="str">
            <v>Tidak Layak</v>
          </cell>
          <cell r="H49" t="str">
            <v>Tidak Layak</v>
          </cell>
          <cell r="I49" t="str">
            <v>Tidak Layak</v>
          </cell>
          <cell r="J49">
            <v>0</v>
          </cell>
          <cell r="K49">
            <v>0</v>
          </cell>
          <cell r="L49" t="str">
            <v>√</v>
          </cell>
          <cell r="M49">
            <v>3</v>
          </cell>
          <cell r="N49" t="str">
            <v>√</v>
          </cell>
          <cell r="O49">
            <v>0</v>
          </cell>
          <cell r="P49">
            <v>0</v>
          </cell>
          <cell r="Q49" t="str">
            <v>PK</v>
          </cell>
          <cell r="R49" t="str">
            <v>√</v>
          </cell>
          <cell r="S49">
            <v>0</v>
          </cell>
          <cell r="T49">
            <v>0</v>
          </cell>
        </row>
        <row r="50">
          <cell r="A50">
            <v>0</v>
          </cell>
          <cell r="B50">
            <v>0</v>
          </cell>
          <cell r="C50" t="str">
            <v>OK</v>
          </cell>
          <cell r="D50" t="str">
            <v>OK</v>
          </cell>
          <cell r="E50" t="str">
            <v>OK</v>
          </cell>
          <cell r="F50" t="str">
            <v>OK</v>
          </cell>
          <cell r="G50" t="str">
            <v>OK</v>
          </cell>
          <cell r="H50" t="str">
            <v>OK</v>
          </cell>
          <cell r="I50" t="str">
            <v>OK</v>
          </cell>
          <cell r="J50">
            <v>0</v>
          </cell>
          <cell r="K50">
            <v>0</v>
          </cell>
          <cell r="L50" t="str">
            <v>√</v>
          </cell>
          <cell r="M50">
            <v>3</v>
          </cell>
          <cell r="N50" t="str">
            <v>√</v>
          </cell>
          <cell r="O50">
            <v>0</v>
          </cell>
          <cell r="P50">
            <v>0</v>
          </cell>
          <cell r="Q50">
            <v>0</v>
          </cell>
          <cell r="R50">
            <v>0</v>
          </cell>
          <cell r="S50">
            <v>0</v>
          </cell>
          <cell r="T50">
            <v>0</v>
          </cell>
        </row>
        <row r="51">
          <cell r="A51">
            <v>20</v>
          </cell>
          <cell r="B51">
            <v>20</v>
          </cell>
          <cell r="C51" t="str">
            <v>WATINI</v>
          </cell>
          <cell r="D51" t="str">
            <v>P</v>
          </cell>
          <cell r="E51" t="str">
            <v>3305146405550001</v>
          </cell>
          <cell r="F51" t="str">
            <v>PENGEMPON RT 02/RW 02</v>
          </cell>
          <cell r="G51" t="str">
            <v>Tidak Layak</v>
          </cell>
          <cell r="H51" t="str">
            <v>Tidak Layak</v>
          </cell>
          <cell r="I51" t="str">
            <v>Tidak Layak</v>
          </cell>
          <cell r="J51">
            <v>0</v>
          </cell>
          <cell r="K51">
            <v>0</v>
          </cell>
          <cell r="L51" t="str">
            <v>√</v>
          </cell>
          <cell r="M51">
            <v>3</v>
          </cell>
          <cell r="N51" t="str">
            <v>√</v>
          </cell>
          <cell r="O51">
            <v>0</v>
          </cell>
          <cell r="P51">
            <v>0</v>
          </cell>
          <cell r="Q51" t="str">
            <v>PK</v>
          </cell>
          <cell r="R51" t="str">
            <v>√</v>
          </cell>
          <cell r="S51">
            <v>0</v>
          </cell>
          <cell r="T51">
            <v>0</v>
          </cell>
        </row>
        <row r="52">
          <cell r="A52">
            <v>0</v>
          </cell>
          <cell r="B52">
            <v>0</v>
          </cell>
          <cell r="C52" t="str">
            <v>OK</v>
          </cell>
          <cell r="D52" t="str">
            <v>OK</v>
          </cell>
          <cell r="E52" t="str">
            <v>OK</v>
          </cell>
          <cell r="F52" t="str">
            <v>OK</v>
          </cell>
          <cell r="G52" t="str">
            <v>OK</v>
          </cell>
          <cell r="H52" t="str">
            <v>OK</v>
          </cell>
          <cell r="I52" t="str">
            <v>OK</v>
          </cell>
          <cell r="J52">
            <v>0</v>
          </cell>
          <cell r="K52">
            <v>0</v>
          </cell>
          <cell r="L52" t="str">
            <v>√</v>
          </cell>
          <cell r="M52">
            <v>3</v>
          </cell>
          <cell r="N52" t="str">
            <v>√</v>
          </cell>
          <cell r="O52">
            <v>0</v>
          </cell>
          <cell r="P52">
            <v>0</v>
          </cell>
          <cell r="Q52">
            <v>0</v>
          </cell>
          <cell r="R52">
            <v>0</v>
          </cell>
          <cell r="S52">
            <v>0</v>
          </cell>
          <cell r="T52">
            <v>0</v>
          </cell>
        </row>
        <row r="53">
          <cell r="A53">
            <v>21</v>
          </cell>
          <cell r="B53">
            <v>21</v>
          </cell>
          <cell r="C53" t="str">
            <v>SAROTUN</v>
          </cell>
          <cell r="D53" t="str">
            <v>L</v>
          </cell>
          <cell r="E53" t="str">
            <v>3305142512780001</v>
          </cell>
          <cell r="F53" t="str">
            <v>PENGEMPON RT 02/RW 02</v>
          </cell>
          <cell r="G53" t="str">
            <v>Tidak Layak</v>
          </cell>
          <cell r="H53" t="str">
            <v>Tidak Layak</v>
          </cell>
          <cell r="I53" t="str">
            <v>Tidak Layak</v>
          </cell>
          <cell r="J53">
            <v>0</v>
          </cell>
          <cell r="K53">
            <v>0</v>
          </cell>
          <cell r="L53" t="str">
            <v>√</v>
          </cell>
          <cell r="M53">
            <v>3</v>
          </cell>
          <cell r="N53" t="str">
            <v>√</v>
          </cell>
          <cell r="O53">
            <v>0</v>
          </cell>
          <cell r="P53">
            <v>0</v>
          </cell>
          <cell r="Q53" t="str">
            <v>PK</v>
          </cell>
          <cell r="R53" t="str">
            <v>√</v>
          </cell>
          <cell r="S53">
            <v>0</v>
          </cell>
          <cell r="T53">
            <v>0</v>
          </cell>
        </row>
        <row r="54">
          <cell r="A54">
            <v>0</v>
          </cell>
          <cell r="B54">
            <v>0</v>
          </cell>
          <cell r="C54" t="str">
            <v>OK</v>
          </cell>
          <cell r="D54" t="str">
            <v>OK</v>
          </cell>
          <cell r="E54" t="str">
            <v>OK</v>
          </cell>
          <cell r="F54" t="str">
            <v>OK</v>
          </cell>
          <cell r="G54" t="str">
            <v>OK</v>
          </cell>
          <cell r="H54" t="str">
            <v>OK</v>
          </cell>
          <cell r="I54" t="str">
            <v>OK</v>
          </cell>
          <cell r="J54">
            <v>0</v>
          </cell>
          <cell r="K54">
            <v>0</v>
          </cell>
          <cell r="L54" t="str">
            <v>√</v>
          </cell>
          <cell r="M54">
            <v>3</v>
          </cell>
          <cell r="N54" t="str">
            <v>√</v>
          </cell>
          <cell r="O54">
            <v>0</v>
          </cell>
          <cell r="P54">
            <v>0</v>
          </cell>
          <cell r="Q54">
            <v>0</v>
          </cell>
          <cell r="R54">
            <v>0</v>
          </cell>
          <cell r="S54">
            <v>0</v>
          </cell>
          <cell r="T54">
            <v>0</v>
          </cell>
        </row>
        <row r="55">
          <cell r="A55">
            <v>22</v>
          </cell>
          <cell r="B55">
            <v>22</v>
          </cell>
          <cell r="C55" t="str">
            <v>AGUS BUDIANTO</v>
          </cell>
          <cell r="D55" t="str">
            <v>L</v>
          </cell>
          <cell r="E55" t="str">
            <v>3305141008830011</v>
          </cell>
          <cell r="F55" t="str">
            <v>PENGEMPON RT 02/RW 02</v>
          </cell>
          <cell r="G55" t="str">
            <v>Tidak Layak</v>
          </cell>
          <cell r="H55" t="str">
            <v>Tidak Layak</v>
          </cell>
          <cell r="I55" t="str">
            <v>Tidak Layak</v>
          </cell>
          <cell r="J55">
            <v>0</v>
          </cell>
          <cell r="K55">
            <v>0</v>
          </cell>
          <cell r="L55" t="str">
            <v>√</v>
          </cell>
          <cell r="M55">
            <v>3</v>
          </cell>
          <cell r="N55" t="str">
            <v>√</v>
          </cell>
          <cell r="O55">
            <v>0</v>
          </cell>
          <cell r="P55">
            <v>0</v>
          </cell>
          <cell r="Q55" t="str">
            <v>PK</v>
          </cell>
          <cell r="R55" t="str">
            <v>√</v>
          </cell>
          <cell r="S55">
            <v>0</v>
          </cell>
          <cell r="T55">
            <v>0</v>
          </cell>
        </row>
        <row r="56">
          <cell r="A56">
            <v>0</v>
          </cell>
          <cell r="B56">
            <v>0</v>
          </cell>
          <cell r="C56" t="str">
            <v>OK</v>
          </cell>
          <cell r="D56" t="str">
            <v>OK</v>
          </cell>
          <cell r="E56" t="str">
            <v>OK</v>
          </cell>
          <cell r="F56" t="str">
            <v>OK</v>
          </cell>
          <cell r="G56" t="str">
            <v>OK</v>
          </cell>
          <cell r="H56" t="str">
            <v>OK</v>
          </cell>
          <cell r="I56" t="str">
            <v>OK</v>
          </cell>
          <cell r="J56">
            <v>0</v>
          </cell>
          <cell r="K56">
            <v>0</v>
          </cell>
          <cell r="L56" t="str">
            <v>√</v>
          </cell>
          <cell r="M56">
            <v>3</v>
          </cell>
          <cell r="N56" t="str">
            <v>√</v>
          </cell>
          <cell r="O56">
            <v>0</v>
          </cell>
          <cell r="P56">
            <v>0</v>
          </cell>
          <cell r="Q56">
            <v>0</v>
          </cell>
          <cell r="R56">
            <v>0</v>
          </cell>
          <cell r="S56">
            <v>0</v>
          </cell>
          <cell r="T56">
            <v>0</v>
          </cell>
        </row>
        <row r="57">
          <cell r="A57">
            <v>23</v>
          </cell>
          <cell r="B57">
            <v>23</v>
          </cell>
          <cell r="C57" t="str">
            <v>SRI HARYATI</v>
          </cell>
          <cell r="D57" t="str">
            <v>P</v>
          </cell>
          <cell r="E57" t="str">
            <v>3305145206600006</v>
          </cell>
          <cell r="F57" t="str">
            <v>PENGEMPON RT 02/RW 02</v>
          </cell>
          <cell r="G57" t="str">
            <v>Tidak Layak</v>
          </cell>
          <cell r="H57" t="str">
            <v>Tidak Layak</v>
          </cell>
          <cell r="I57" t="str">
            <v>Tidak Layak</v>
          </cell>
          <cell r="J57">
            <v>0</v>
          </cell>
          <cell r="K57">
            <v>0</v>
          </cell>
          <cell r="L57" t="str">
            <v>√</v>
          </cell>
          <cell r="M57">
            <v>3</v>
          </cell>
          <cell r="N57" t="str">
            <v>√</v>
          </cell>
          <cell r="O57">
            <v>0</v>
          </cell>
          <cell r="P57">
            <v>0</v>
          </cell>
          <cell r="Q57" t="str">
            <v>PK</v>
          </cell>
          <cell r="R57" t="str">
            <v>√</v>
          </cell>
          <cell r="S57">
            <v>0</v>
          </cell>
          <cell r="T57">
            <v>0</v>
          </cell>
        </row>
        <row r="58">
          <cell r="A58">
            <v>0</v>
          </cell>
          <cell r="B58">
            <v>0</v>
          </cell>
          <cell r="C58" t="str">
            <v>OK</v>
          </cell>
          <cell r="D58" t="str">
            <v>OK</v>
          </cell>
          <cell r="E58" t="str">
            <v>OK</v>
          </cell>
          <cell r="F58" t="str">
            <v>OK</v>
          </cell>
          <cell r="G58" t="str">
            <v>OK</v>
          </cell>
          <cell r="H58" t="str">
            <v>OK</v>
          </cell>
          <cell r="I58" t="str">
            <v>OK</v>
          </cell>
          <cell r="J58">
            <v>0</v>
          </cell>
          <cell r="K58">
            <v>0</v>
          </cell>
          <cell r="L58" t="str">
            <v>√</v>
          </cell>
          <cell r="M58">
            <v>3</v>
          </cell>
          <cell r="N58" t="str">
            <v>√</v>
          </cell>
          <cell r="O58">
            <v>0</v>
          </cell>
          <cell r="P58">
            <v>0</v>
          </cell>
          <cell r="Q58">
            <v>0</v>
          </cell>
          <cell r="R58">
            <v>0</v>
          </cell>
          <cell r="S58">
            <v>0</v>
          </cell>
          <cell r="T58">
            <v>0</v>
          </cell>
        </row>
        <row r="59">
          <cell r="A59">
            <v>24</v>
          </cell>
          <cell r="B59">
            <v>24</v>
          </cell>
          <cell r="C59" t="str">
            <v>SLAMET HARYANTO</v>
          </cell>
          <cell r="D59" t="str">
            <v>L</v>
          </cell>
          <cell r="E59" t="str">
            <v>3305142001830006</v>
          </cell>
          <cell r="F59" t="str">
            <v>PENGEMPON RT 02/RW 02</v>
          </cell>
          <cell r="G59" t="str">
            <v>Tidak Layak</v>
          </cell>
          <cell r="H59" t="str">
            <v>Tidak Layak</v>
          </cell>
          <cell r="I59" t="str">
            <v>Tidak Layak</v>
          </cell>
          <cell r="J59">
            <v>0</v>
          </cell>
          <cell r="K59">
            <v>0</v>
          </cell>
          <cell r="L59" t="str">
            <v>√</v>
          </cell>
          <cell r="M59">
            <v>3</v>
          </cell>
          <cell r="N59" t="str">
            <v>√</v>
          </cell>
          <cell r="O59">
            <v>0</v>
          </cell>
          <cell r="P59">
            <v>0</v>
          </cell>
          <cell r="Q59" t="str">
            <v>PK</v>
          </cell>
          <cell r="R59" t="str">
            <v>√</v>
          </cell>
          <cell r="S59">
            <v>0</v>
          </cell>
          <cell r="T59">
            <v>0</v>
          </cell>
        </row>
        <row r="60">
          <cell r="A60">
            <v>0</v>
          </cell>
          <cell r="B60">
            <v>0</v>
          </cell>
          <cell r="C60" t="str">
            <v>OK</v>
          </cell>
          <cell r="D60" t="str">
            <v>OK</v>
          </cell>
          <cell r="E60" t="str">
            <v>OK</v>
          </cell>
          <cell r="F60" t="str">
            <v>OK</v>
          </cell>
          <cell r="G60" t="str">
            <v>OK</v>
          </cell>
          <cell r="H60" t="str">
            <v>OK</v>
          </cell>
          <cell r="I60" t="str">
            <v>OK</v>
          </cell>
          <cell r="J60">
            <v>0</v>
          </cell>
          <cell r="K60">
            <v>0</v>
          </cell>
          <cell r="L60" t="str">
            <v>√</v>
          </cell>
          <cell r="M60">
            <v>3</v>
          </cell>
          <cell r="N60" t="str">
            <v>√</v>
          </cell>
          <cell r="O60">
            <v>0</v>
          </cell>
          <cell r="P60">
            <v>0</v>
          </cell>
          <cell r="Q60">
            <v>0</v>
          </cell>
          <cell r="R60">
            <v>0</v>
          </cell>
          <cell r="S60">
            <v>0</v>
          </cell>
          <cell r="T60">
            <v>0</v>
          </cell>
        </row>
        <row r="61">
          <cell r="A61">
            <v>25</v>
          </cell>
          <cell r="B61">
            <v>25</v>
          </cell>
          <cell r="C61" t="str">
            <v>KARTIMIN</v>
          </cell>
          <cell r="D61" t="str">
            <v>L</v>
          </cell>
          <cell r="E61" t="str">
            <v>3305142612457594</v>
          </cell>
          <cell r="F61" t="str">
            <v>PENGEMPON RT 03/RW 02</v>
          </cell>
          <cell r="G61" t="str">
            <v>Tidak Layak</v>
          </cell>
          <cell r="H61" t="str">
            <v>Tidak Layak</v>
          </cell>
          <cell r="I61" t="str">
            <v>Tidak Layak</v>
          </cell>
          <cell r="J61">
            <v>0</v>
          </cell>
          <cell r="K61">
            <v>0</v>
          </cell>
          <cell r="L61" t="str">
            <v>√</v>
          </cell>
          <cell r="M61">
            <v>3</v>
          </cell>
          <cell r="N61" t="str">
            <v>√</v>
          </cell>
          <cell r="O61">
            <v>0</v>
          </cell>
          <cell r="P61">
            <v>0</v>
          </cell>
          <cell r="Q61" t="str">
            <v>PK</v>
          </cell>
          <cell r="R61" t="str">
            <v>√</v>
          </cell>
          <cell r="S61">
            <v>0</v>
          </cell>
          <cell r="T61">
            <v>0</v>
          </cell>
        </row>
        <row r="62">
          <cell r="A62">
            <v>0</v>
          </cell>
          <cell r="B62">
            <v>0</v>
          </cell>
          <cell r="C62" t="str">
            <v>OK</v>
          </cell>
          <cell r="D62" t="str">
            <v>OK</v>
          </cell>
          <cell r="E62" t="str">
            <v>OK</v>
          </cell>
          <cell r="F62" t="str">
            <v>OK</v>
          </cell>
          <cell r="G62" t="str">
            <v>OK</v>
          </cell>
          <cell r="H62" t="str">
            <v>OK</v>
          </cell>
          <cell r="I62" t="str">
            <v>OK</v>
          </cell>
          <cell r="J62">
            <v>0</v>
          </cell>
          <cell r="K62">
            <v>0</v>
          </cell>
          <cell r="L62" t="str">
            <v>√</v>
          </cell>
          <cell r="M62">
            <v>3</v>
          </cell>
          <cell r="N62" t="str">
            <v>√</v>
          </cell>
          <cell r="O62">
            <v>0</v>
          </cell>
          <cell r="P62">
            <v>0</v>
          </cell>
          <cell r="Q62">
            <v>0</v>
          </cell>
          <cell r="R62">
            <v>0</v>
          </cell>
          <cell r="S62">
            <v>0</v>
          </cell>
          <cell r="T62">
            <v>0</v>
          </cell>
        </row>
        <row r="63">
          <cell r="A63">
            <v>26</v>
          </cell>
          <cell r="B63">
            <v>26</v>
          </cell>
          <cell r="C63" t="str">
            <v>SUKAMTO</v>
          </cell>
          <cell r="D63" t="str">
            <v>L</v>
          </cell>
          <cell r="E63" t="str">
            <v>3305141707720002</v>
          </cell>
          <cell r="F63" t="str">
            <v>PENGEMPON RT 03/RW 02</v>
          </cell>
          <cell r="G63" t="str">
            <v>Tidak Layak</v>
          </cell>
          <cell r="H63" t="str">
            <v>Tidak Layak</v>
          </cell>
          <cell r="I63" t="str">
            <v>Tidak Layak</v>
          </cell>
          <cell r="J63">
            <v>0</v>
          </cell>
          <cell r="K63">
            <v>0</v>
          </cell>
          <cell r="L63">
            <v>0</v>
          </cell>
          <cell r="M63">
            <v>0</v>
          </cell>
          <cell r="N63">
            <v>0</v>
          </cell>
          <cell r="O63">
            <v>0</v>
          </cell>
          <cell r="P63" t="str">
            <v>SUDAH DIBANGUN PERMANEN</v>
          </cell>
          <cell r="Q63" t="str">
            <v>PK</v>
          </cell>
          <cell r="R63" t="str">
            <v>-</v>
          </cell>
          <cell r="S63" t="str">
            <v>√</v>
          </cell>
          <cell r="T63">
            <v>0</v>
          </cell>
        </row>
        <row r="64">
          <cell r="A64">
            <v>0</v>
          </cell>
          <cell r="B64">
            <v>0</v>
          </cell>
          <cell r="C64" t="str">
            <v>OK</v>
          </cell>
          <cell r="D64" t="str">
            <v>OK</v>
          </cell>
          <cell r="E64" t="str">
            <v>OK</v>
          </cell>
          <cell r="F64" t="str">
            <v>OK</v>
          </cell>
          <cell r="G64" t="str">
            <v>LAYAK</v>
          </cell>
          <cell r="H64" t="str">
            <v>LAYAK</v>
          </cell>
          <cell r="I64" t="str">
            <v>LAYAK</v>
          </cell>
          <cell r="J64">
            <v>0</v>
          </cell>
          <cell r="K64">
            <v>0</v>
          </cell>
          <cell r="L64">
            <v>0</v>
          </cell>
          <cell r="M64">
            <v>0</v>
          </cell>
          <cell r="N64">
            <v>0</v>
          </cell>
          <cell r="O64">
            <v>0</v>
          </cell>
          <cell r="P64">
            <v>0</v>
          </cell>
          <cell r="Q64">
            <v>0</v>
          </cell>
          <cell r="R64">
            <v>0</v>
          </cell>
          <cell r="S64">
            <v>0</v>
          </cell>
          <cell r="T64">
            <v>0</v>
          </cell>
        </row>
        <row r="65">
          <cell r="A65">
            <v>27</v>
          </cell>
          <cell r="B65">
            <v>27</v>
          </cell>
          <cell r="C65" t="str">
            <v>AMIYAH</v>
          </cell>
          <cell r="D65" t="str">
            <v>P</v>
          </cell>
          <cell r="E65" t="str">
            <v>3305147112600003</v>
          </cell>
          <cell r="F65" t="str">
            <v>PENGEMPON RT 03/RW 02</v>
          </cell>
          <cell r="G65" t="str">
            <v>Tidak Layak</v>
          </cell>
          <cell r="H65" t="str">
            <v>Tidak Layak</v>
          </cell>
          <cell r="I65" t="str">
            <v>Tidak Layak</v>
          </cell>
          <cell r="J65">
            <v>0</v>
          </cell>
          <cell r="K65">
            <v>0</v>
          </cell>
          <cell r="L65">
            <v>0</v>
          </cell>
          <cell r="M65">
            <v>0</v>
          </cell>
          <cell r="N65">
            <v>0</v>
          </cell>
          <cell r="O65">
            <v>0</v>
          </cell>
          <cell r="P65" t="str">
            <v>MENINGGAL (AHLI WARIS TIDAK MENDIAMI RUMAH)</v>
          </cell>
          <cell r="Q65" t="str">
            <v>PK</v>
          </cell>
          <cell r="R65" t="str">
            <v>-</v>
          </cell>
          <cell r="S65" t="str">
            <v>√</v>
          </cell>
          <cell r="T65">
            <v>0</v>
          </cell>
        </row>
        <row r="66">
          <cell r="A66">
            <v>0</v>
          </cell>
          <cell r="B66">
            <v>0</v>
          </cell>
          <cell r="C66" t="str">
            <v>OK</v>
          </cell>
          <cell r="D66" t="str">
            <v>OK</v>
          </cell>
          <cell r="E66" t="str">
            <v>OK</v>
          </cell>
          <cell r="F66" t="str">
            <v>PINDAH</v>
          </cell>
          <cell r="G66" t="str">
            <v>PINDAH</v>
          </cell>
          <cell r="H66" t="str">
            <v>PINDAH</v>
          </cell>
          <cell r="I66" t="str">
            <v>PINDAH</v>
          </cell>
          <cell r="J66">
            <v>0</v>
          </cell>
          <cell r="K66">
            <v>0</v>
          </cell>
          <cell r="L66">
            <v>0</v>
          </cell>
          <cell r="M66">
            <v>0</v>
          </cell>
          <cell r="N66">
            <v>0</v>
          </cell>
          <cell r="O66">
            <v>0</v>
          </cell>
          <cell r="P66">
            <v>0</v>
          </cell>
          <cell r="Q66">
            <v>0</v>
          </cell>
          <cell r="R66">
            <v>0</v>
          </cell>
          <cell r="S66">
            <v>0</v>
          </cell>
          <cell r="T66">
            <v>0</v>
          </cell>
        </row>
        <row r="67">
          <cell r="A67">
            <v>28</v>
          </cell>
          <cell r="B67">
            <v>28</v>
          </cell>
          <cell r="C67" t="str">
            <v>SARIJAN</v>
          </cell>
          <cell r="D67" t="str">
            <v>L</v>
          </cell>
          <cell r="E67" t="str">
            <v>3305141009730004</v>
          </cell>
          <cell r="F67" t="str">
            <v>PENGEMPON RT 04/RW 02</v>
          </cell>
          <cell r="G67" t="str">
            <v>Tidak Layak</v>
          </cell>
          <cell r="H67" t="str">
            <v>Tidak Layak</v>
          </cell>
          <cell r="I67" t="str">
            <v>Tidak Layak</v>
          </cell>
          <cell r="J67">
            <v>0</v>
          </cell>
          <cell r="K67">
            <v>0</v>
          </cell>
          <cell r="L67" t="str">
            <v>√</v>
          </cell>
          <cell r="M67">
            <v>3</v>
          </cell>
          <cell r="N67" t="str">
            <v>√</v>
          </cell>
          <cell r="O67">
            <v>0</v>
          </cell>
          <cell r="P67">
            <v>0</v>
          </cell>
          <cell r="Q67" t="str">
            <v>PK</v>
          </cell>
          <cell r="R67" t="str">
            <v>√</v>
          </cell>
          <cell r="S67">
            <v>0</v>
          </cell>
          <cell r="T67">
            <v>0</v>
          </cell>
        </row>
        <row r="68">
          <cell r="A68">
            <v>0</v>
          </cell>
          <cell r="B68">
            <v>0</v>
          </cell>
          <cell r="C68" t="str">
            <v>OK</v>
          </cell>
          <cell r="D68" t="str">
            <v>OK</v>
          </cell>
          <cell r="E68" t="str">
            <v>OK</v>
          </cell>
          <cell r="F68" t="str">
            <v>OK</v>
          </cell>
          <cell r="G68" t="str">
            <v>OK</v>
          </cell>
          <cell r="H68" t="str">
            <v>OK</v>
          </cell>
          <cell r="I68" t="str">
            <v>OK</v>
          </cell>
          <cell r="J68">
            <v>0</v>
          </cell>
          <cell r="K68">
            <v>0</v>
          </cell>
          <cell r="L68" t="str">
            <v>√</v>
          </cell>
          <cell r="M68">
            <v>3</v>
          </cell>
          <cell r="N68" t="str">
            <v>√</v>
          </cell>
          <cell r="O68">
            <v>0</v>
          </cell>
          <cell r="P68">
            <v>0</v>
          </cell>
          <cell r="Q68">
            <v>0</v>
          </cell>
          <cell r="R68">
            <v>0</v>
          </cell>
          <cell r="S68">
            <v>0</v>
          </cell>
          <cell r="T68">
            <v>0</v>
          </cell>
        </row>
        <row r="69">
          <cell r="A69">
            <v>29</v>
          </cell>
          <cell r="B69">
            <v>29</v>
          </cell>
          <cell r="C69" t="str">
            <v>SUTARMAN</v>
          </cell>
          <cell r="D69" t="str">
            <v>L</v>
          </cell>
          <cell r="E69" t="str">
            <v>3305140608720001</v>
          </cell>
          <cell r="F69" t="str">
            <v>PENGEMPON RT 04/RW 02</v>
          </cell>
          <cell r="G69" t="str">
            <v>Tidak Layak</v>
          </cell>
          <cell r="H69" t="str">
            <v>Tidak Layak</v>
          </cell>
          <cell r="I69" t="str">
            <v>Tidak Layak</v>
          </cell>
          <cell r="J69">
            <v>0</v>
          </cell>
          <cell r="K69">
            <v>0</v>
          </cell>
          <cell r="L69" t="str">
            <v>√</v>
          </cell>
          <cell r="M69">
            <v>3</v>
          </cell>
          <cell r="N69" t="str">
            <v>√</v>
          </cell>
          <cell r="O69">
            <v>0</v>
          </cell>
          <cell r="P69">
            <v>0</v>
          </cell>
          <cell r="Q69" t="str">
            <v>PK</v>
          </cell>
          <cell r="R69" t="str">
            <v>√</v>
          </cell>
          <cell r="S69">
            <v>0</v>
          </cell>
          <cell r="T69">
            <v>0</v>
          </cell>
        </row>
        <row r="70">
          <cell r="A70">
            <v>0</v>
          </cell>
          <cell r="B70">
            <v>0</v>
          </cell>
          <cell r="C70" t="str">
            <v>OK</v>
          </cell>
          <cell r="D70" t="str">
            <v>OK</v>
          </cell>
          <cell r="E70" t="str">
            <v>OK</v>
          </cell>
          <cell r="F70" t="str">
            <v>OK</v>
          </cell>
          <cell r="G70" t="str">
            <v>OK</v>
          </cell>
          <cell r="H70" t="str">
            <v>OK</v>
          </cell>
          <cell r="I70" t="str">
            <v>OK</v>
          </cell>
          <cell r="J70">
            <v>0</v>
          </cell>
          <cell r="K70">
            <v>0</v>
          </cell>
          <cell r="L70" t="str">
            <v>√</v>
          </cell>
          <cell r="M70">
            <v>3</v>
          </cell>
          <cell r="N70" t="str">
            <v>√</v>
          </cell>
          <cell r="O70">
            <v>0</v>
          </cell>
          <cell r="P70">
            <v>0</v>
          </cell>
          <cell r="Q70">
            <v>0</v>
          </cell>
          <cell r="R70">
            <v>0</v>
          </cell>
          <cell r="S70">
            <v>0</v>
          </cell>
          <cell r="T70">
            <v>0</v>
          </cell>
        </row>
        <row r="71">
          <cell r="A71">
            <v>30</v>
          </cell>
          <cell r="B71">
            <v>30</v>
          </cell>
          <cell r="C71" t="str">
            <v>MUKHRODI</v>
          </cell>
          <cell r="D71" t="str">
            <v>L</v>
          </cell>
          <cell r="E71" t="str">
            <v>3305142605420001</v>
          </cell>
          <cell r="F71" t="str">
            <v>PENGEMPON RT 04/RW 02</v>
          </cell>
          <cell r="G71" t="str">
            <v>Tidak Layak</v>
          </cell>
          <cell r="H71" t="str">
            <v>Tidak Layak</v>
          </cell>
          <cell r="I71" t="str">
            <v>Tidak Layak</v>
          </cell>
          <cell r="J71">
            <v>0</v>
          </cell>
          <cell r="K71">
            <v>0</v>
          </cell>
          <cell r="L71" t="str">
            <v>√</v>
          </cell>
          <cell r="M71">
            <v>3</v>
          </cell>
          <cell r="N71" t="str">
            <v>√</v>
          </cell>
          <cell r="O71">
            <v>0</v>
          </cell>
          <cell r="P71">
            <v>0</v>
          </cell>
          <cell r="Q71" t="str">
            <v>PK</v>
          </cell>
          <cell r="R71" t="str">
            <v>√</v>
          </cell>
          <cell r="S71">
            <v>0</v>
          </cell>
          <cell r="T71">
            <v>0</v>
          </cell>
        </row>
        <row r="72">
          <cell r="A72">
            <v>0</v>
          </cell>
          <cell r="B72">
            <v>0</v>
          </cell>
          <cell r="C72" t="str">
            <v>OK</v>
          </cell>
          <cell r="D72" t="str">
            <v>OK</v>
          </cell>
          <cell r="E72" t="str">
            <v>OK</v>
          </cell>
          <cell r="F72" t="str">
            <v>OK</v>
          </cell>
          <cell r="G72" t="str">
            <v>OK</v>
          </cell>
          <cell r="H72" t="str">
            <v>OK</v>
          </cell>
          <cell r="I72" t="str">
            <v>OK</v>
          </cell>
          <cell r="J72">
            <v>0</v>
          </cell>
          <cell r="K72">
            <v>0</v>
          </cell>
          <cell r="L72" t="str">
            <v>√</v>
          </cell>
          <cell r="M72">
            <v>3</v>
          </cell>
          <cell r="N72" t="str">
            <v>√</v>
          </cell>
          <cell r="O72">
            <v>0</v>
          </cell>
          <cell r="P72">
            <v>0</v>
          </cell>
          <cell r="Q72">
            <v>0</v>
          </cell>
          <cell r="R72">
            <v>0</v>
          </cell>
          <cell r="S72">
            <v>0</v>
          </cell>
          <cell r="T72">
            <v>0</v>
          </cell>
        </row>
        <row r="73">
          <cell r="A73">
            <v>31</v>
          </cell>
          <cell r="B73">
            <v>31</v>
          </cell>
          <cell r="C73" t="str">
            <v>SUMARDI</v>
          </cell>
          <cell r="D73" t="str">
            <v>L</v>
          </cell>
          <cell r="E73" t="str">
            <v>3305141305650003</v>
          </cell>
          <cell r="F73" t="str">
            <v>PENGEMPON RT 04/RW 02</v>
          </cell>
          <cell r="G73" t="str">
            <v>Tidak Layak</v>
          </cell>
          <cell r="H73" t="str">
            <v>Tidak Layak</v>
          </cell>
          <cell r="I73" t="str">
            <v>Tidak Layak</v>
          </cell>
          <cell r="J73">
            <v>0</v>
          </cell>
          <cell r="K73">
            <v>0</v>
          </cell>
          <cell r="L73" t="str">
            <v>√</v>
          </cell>
          <cell r="M73">
            <v>3</v>
          </cell>
          <cell r="N73" t="str">
            <v>√</v>
          </cell>
          <cell r="O73">
            <v>0</v>
          </cell>
          <cell r="P73">
            <v>0</v>
          </cell>
          <cell r="Q73" t="str">
            <v>PK</v>
          </cell>
          <cell r="R73" t="str">
            <v>√</v>
          </cell>
          <cell r="S73">
            <v>0</v>
          </cell>
          <cell r="T73">
            <v>0</v>
          </cell>
        </row>
        <row r="74">
          <cell r="A74">
            <v>0</v>
          </cell>
          <cell r="B74">
            <v>0</v>
          </cell>
          <cell r="C74" t="str">
            <v>OK</v>
          </cell>
          <cell r="D74" t="str">
            <v>OK</v>
          </cell>
          <cell r="E74" t="str">
            <v>OK</v>
          </cell>
          <cell r="F74" t="str">
            <v>OK</v>
          </cell>
          <cell r="G74" t="str">
            <v>OK</v>
          </cell>
          <cell r="H74" t="str">
            <v>OK</v>
          </cell>
          <cell r="I74" t="str">
            <v>OK</v>
          </cell>
          <cell r="J74">
            <v>0</v>
          </cell>
          <cell r="K74">
            <v>0</v>
          </cell>
          <cell r="L74" t="str">
            <v>√</v>
          </cell>
          <cell r="M74">
            <v>3</v>
          </cell>
          <cell r="N74" t="str">
            <v>√</v>
          </cell>
          <cell r="O74">
            <v>0</v>
          </cell>
          <cell r="P74">
            <v>0</v>
          </cell>
          <cell r="Q74">
            <v>0</v>
          </cell>
          <cell r="R74">
            <v>0</v>
          </cell>
          <cell r="S74">
            <v>0</v>
          </cell>
          <cell r="T74">
            <v>0</v>
          </cell>
        </row>
        <row r="75">
          <cell r="A75">
            <v>32</v>
          </cell>
          <cell r="B75">
            <v>32</v>
          </cell>
          <cell r="C75" t="str">
            <v>RATIMAH</v>
          </cell>
          <cell r="D75" t="str">
            <v>P</v>
          </cell>
          <cell r="E75" t="str">
            <v>3305147112410013</v>
          </cell>
          <cell r="F75" t="str">
            <v>PENGEMPON RT 04/RW 02</v>
          </cell>
          <cell r="G75" t="str">
            <v>Tidak Layak</v>
          </cell>
          <cell r="H75" t="str">
            <v>Tidak Layak</v>
          </cell>
          <cell r="I75" t="str">
            <v>Tidak Layak</v>
          </cell>
          <cell r="J75">
            <v>0</v>
          </cell>
          <cell r="K75">
            <v>0</v>
          </cell>
          <cell r="L75" t="str">
            <v>√</v>
          </cell>
          <cell r="M75">
            <v>3</v>
          </cell>
          <cell r="N75" t="str">
            <v>√</v>
          </cell>
          <cell r="O75">
            <v>0</v>
          </cell>
          <cell r="P75">
            <v>0</v>
          </cell>
          <cell r="Q75" t="str">
            <v>PK</v>
          </cell>
          <cell r="R75" t="str">
            <v>√</v>
          </cell>
          <cell r="S75">
            <v>0</v>
          </cell>
          <cell r="T75">
            <v>0</v>
          </cell>
        </row>
        <row r="76">
          <cell r="A76">
            <v>0</v>
          </cell>
          <cell r="B76">
            <v>0</v>
          </cell>
          <cell r="C76" t="str">
            <v>OK</v>
          </cell>
          <cell r="D76" t="str">
            <v>OK</v>
          </cell>
          <cell r="E76" t="str">
            <v>OK</v>
          </cell>
          <cell r="F76" t="str">
            <v>OK</v>
          </cell>
          <cell r="G76" t="str">
            <v>OK</v>
          </cell>
          <cell r="H76" t="str">
            <v>OK</v>
          </cell>
          <cell r="I76" t="str">
            <v>OK</v>
          </cell>
          <cell r="J76">
            <v>0</v>
          </cell>
          <cell r="K76">
            <v>0</v>
          </cell>
          <cell r="L76" t="str">
            <v>√</v>
          </cell>
          <cell r="M76">
            <v>3</v>
          </cell>
          <cell r="N76" t="str">
            <v>√</v>
          </cell>
          <cell r="O76">
            <v>0</v>
          </cell>
          <cell r="P76">
            <v>0</v>
          </cell>
          <cell r="Q76">
            <v>0</v>
          </cell>
          <cell r="R76">
            <v>0</v>
          </cell>
          <cell r="S76">
            <v>0</v>
          </cell>
          <cell r="T76">
            <v>0</v>
          </cell>
        </row>
        <row r="77">
          <cell r="A77">
            <v>33</v>
          </cell>
          <cell r="B77">
            <v>33</v>
          </cell>
          <cell r="C77" t="str">
            <v>SATINEM</v>
          </cell>
          <cell r="D77" t="str">
            <v>P</v>
          </cell>
          <cell r="E77" t="str">
            <v>3305145308270001</v>
          </cell>
          <cell r="F77" t="str">
            <v>PENGEMPON RT 04/RW 02</v>
          </cell>
          <cell r="G77" t="str">
            <v>Tidak Layak</v>
          </cell>
          <cell r="H77" t="str">
            <v>Tidak Layak</v>
          </cell>
          <cell r="I77" t="str">
            <v>Tidak Layak</v>
          </cell>
          <cell r="J77">
            <v>0</v>
          </cell>
          <cell r="K77">
            <v>0</v>
          </cell>
          <cell r="L77" t="str">
            <v>√</v>
          </cell>
          <cell r="M77">
            <v>3</v>
          </cell>
          <cell r="N77" t="str">
            <v>√</v>
          </cell>
          <cell r="O77">
            <v>0</v>
          </cell>
          <cell r="P77">
            <v>0</v>
          </cell>
          <cell r="Q77" t="str">
            <v>PK</v>
          </cell>
          <cell r="R77" t="str">
            <v>√</v>
          </cell>
          <cell r="S77">
            <v>0</v>
          </cell>
          <cell r="T77">
            <v>0</v>
          </cell>
        </row>
        <row r="78">
          <cell r="A78">
            <v>0</v>
          </cell>
          <cell r="B78">
            <v>0</v>
          </cell>
          <cell r="C78" t="str">
            <v>OK</v>
          </cell>
          <cell r="D78" t="str">
            <v>OK</v>
          </cell>
          <cell r="E78" t="str">
            <v>OK</v>
          </cell>
          <cell r="F78" t="str">
            <v>OK</v>
          </cell>
          <cell r="G78" t="str">
            <v>OK</v>
          </cell>
          <cell r="H78" t="str">
            <v>OK</v>
          </cell>
          <cell r="I78" t="str">
            <v>OK</v>
          </cell>
          <cell r="J78">
            <v>0</v>
          </cell>
          <cell r="K78">
            <v>0</v>
          </cell>
          <cell r="L78" t="str">
            <v>√</v>
          </cell>
          <cell r="M78">
            <v>3</v>
          </cell>
          <cell r="N78" t="str">
            <v>√</v>
          </cell>
          <cell r="O78">
            <v>0</v>
          </cell>
          <cell r="P78">
            <v>0</v>
          </cell>
          <cell r="Q78">
            <v>0</v>
          </cell>
          <cell r="R78">
            <v>0</v>
          </cell>
          <cell r="S78">
            <v>0</v>
          </cell>
          <cell r="T78">
            <v>0</v>
          </cell>
        </row>
        <row r="79">
          <cell r="A79">
            <v>34</v>
          </cell>
          <cell r="B79">
            <v>34</v>
          </cell>
          <cell r="C79" t="str">
            <v xml:space="preserve">AHMAD WARISIN </v>
          </cell>
          <cell r="D79" t="str">
            <v>L</v>
          </cell>
          <cell r="E79" t="str">
            <v>3305140607540001</v>
          </cell>
          <cell r="F79" t="str">
            <v>PENGEMPON RT 04/RW 02</v>
          </cell>
          <cell r="G79" t="str">
            <v>Tidak Layak</v>
          </cell>
          <cell r="H79" t="str">
            <v>Tidak Layak</v>
          </cell>
          <cell r="I79" t="str">
            <v>Tidak Layak</v>
          </cell>
          <cell r="J79">
            <v>0</v>
          </cell>
          <cell r="K79">
            <v>0</v>
          </cell>
          <cell r="L79" t="str">
            <v>√</v>
          </cell>
          <cell r="M79">
            <v>3</v>
          </cell>
          <cell r="N79" t="str">
            <v>√</v>
          </cell>
          <cell r="O79">
            <v>0</v>
          </cell>
          <cell r="P79">
            <v>0</v>
          </cell>
          <cell r="Q79" t="str">
            <v>PK</v>
          </cell>
          <cell r="R79" t="str">
            <v>√</v>
          </cell>
          <cell r="S79">
            <v>0</v>
          </cell>
          <cell r="T79">
            <v>0</v>
          </cell>
        </row>
        <row r="80">
          <cell r="A80">
            <v>0</v>
          </cell>
          <cell r="B80">
            <v>0</v>
          </cell>
          <cell r="C80" t="str">
            <v>OK</v>
          </cell>
          <cell r="D80" t="str">
            <v>OK</v>
          </cell>
          <cell r="E80" t="str">
            <v>OK</v>
          </cell>
          <cell r="F80" t="str">
            <v>OK</v>
          </cell>
          <cell r="G80" t="str">
            <v>OK</v>
          </cell>
          <cell r="H80" t="str">
            <v>OK</v>
          </cell>
          <cell r="I80" t="str">
            <v>OK</v>
          </cell>
          <cell r="J80">
            <v>0</v>
          </cell>
          <cell r="K80">
            <v>0</v>
          </cell>
          <cell r="L80" t="str">
            <v>√</v>
          </cell>
          <cell r="M80">
            <v>3</v>
          </cell>
          <cell r="N80" t="str">
            <v>√</v>
          </cell>
          <cell r="O80">
            <v>0</v>
          </cell>
          <cell r="P80">
            <v>0</v>
          </cell>
          <cell r="Q80">
            <v>0</v>
          </cell>
          <cell r="R80">
            <v>0</v>
          </cell>
          <cell r="S80">
            <v>0</v>
          </cell>
          <cell r="T80">
            <v>0</v>
          </cell>
        </row>
        <row r="81">
          <cell r="A81">
            <v>35</v>
          </cell>
          <cell r="B81">
            <v>35</v>
          </cell>
          <cell r="C81" t="str">
            <v>ANISATUN</v>
          </cell>
          <cell r="D81" t="str">
            <v>P</v>
          </cell>
          <cell r="E81" t="str">
            <v>3305144302860003</v>
          </cell>
          <cell r="F81" t="str">
            <v>PENGEMPON RT 02/RW 02</v>
          </cell>
          <cell r="G81" t="str">
            <v>Tidak Layak</v>
          </cell>
          <cell r="H81" t="str">
            <v>Tidak Layak</v>
          </cell>
          <cell r="I81" t="str">
            <v>Tidak Layak</v>
          </cell>
          <cell r="J81">
            <v>0</v>
          </cell>
          <cell r="K81">
            <v>0</v>
          </cell>
          <cell r="L81" t="str">
            <v>√</v>
          </cell>
          <cell r="M81">
            <v>3</v>
          </cell>
          <cell r="N81" t="str">
            <v>√</v>
          </cell>
          <cell r="O81">
            <v>0</v>
          </cell>
          <cell r="P81">
            <v>0</v>
          </cell>
          <cell r="Q81" t="str">
            <v>PK</v>
          </cell>
          <cell r="R81" t="str">
            <v>√</v>
          </cell>
          <cell r="S81">
            <v>0</v>
          </cell>
          <cell r="T81">
            <v>0</v>
          </cell>
        </row>
        <row r="82">
          <cell r="A82">
            <v>0</v>
          </cell>
          <cell r="B82">
            <v>0</v>
          </cell>
          <cell r="C82" t="str">
            <v>OK</v>
          </cell>
          <cell r="D82" t="str">
            <v>OK</v>
          </cell>
          <cell r="E82" t="str">
            <v>OK</v>
          </cell>
          <cell r="F82" t="str">
            <v>OK</v>
          </cell>
          <cell r="G82" t="str">
            <v>OK</v>
          </cell>
          <cell r="H82" t="str">
            <v>OK</v>
          </cell>
          <cell r="I82" t="str">
            <v>OK</v>
          </cell>
          <cell r="J82">
            <v>0</v>
          </cell>
          <cell r="K82">
            <v>0</v>
          </cell>
          <cell r="L82" t="str">
            <v>√</v>
          </cell>
          <cell r="M82">
            <v>3</v>
          </cell>
          <cell r="N82" t="str">
            <v>√</v>
          </cell>
          <cell r="O82">
            <v>0</v>
          </cell>
          <cell r="P82">
            <v>0</v>
          </cell>
          <cell r="Q82">
            <v>0</v>
          </cell>
          <cell r="R82">
            <v>0</v>
          </cell>
          <cell r="S82">
            <v>0</v>
          </cell>
          <cell r="T82">
            <v>0</v>
          </cell>
        </row>
        <row r="83">
          <cell r="A83">
            <v>36</v>
          </cell>
          <cell r="B83">
            <v>36</v>
          </cell>
          <cell r="C83" t="str">
            <v>MISKIYAH</v>
          </cell>
          <cell r="D83" t="str">
            <v>P</v>
          </cell>
          <cell r="E83" t="str">
            <v>3305146005650001</v>
          </cell>
          <cell r="F83" t="str">
            <v>PENGEMPON RT 02/RW 03</v>
          </cell>
          <cell r="G83" t="str">
            <v>Tidak Layak</v>
          </cell>
          <cell r="H83" t="str">
            <v>Tidak Layak</v>
          </cell>
          <cell r="I83" t="str">
            <v>Tidak Layak</v>
          </cell>
          <cell r="J83">
            <v>0</v>
          </cell>
          <cell r="K83">
            <v>0</v>
          </cell>
          <cell r="L83" t="str">
            <v>√</v>
          </cell>
          <cell r="M83">
            <v>3</v>
          </cell>
          <cell r="N83" t="str">
            <v>√</v>
          </cell>
          <cell r="O83">
            <v>0</v>
          </cell>
          <cell r="P83">
            <v>0</v>
          </cell>
          <cell r="Q83" t="str">
            <v>PK</v>
          </cell>
          <cell r="R83" t="str">
            <v>√</v>
          </cell>
          <cell r="S83">
            <v>0</v>
          </cell>
          <cell r="T83">
            <v>0</v>
          </cell>
        </row>
        <row r="84">
          <cell r="A84">
            <v>0</v>
          </cell>
          <cell r="B84">
            <v>0</v>
          </cell>
          <cell r="C84" t="str">
            <v>OK</v>
          </cell>
          <cell r="D84" t="str">
            <v>OK</v>
          </cell>
          <cell r="E84" t="str">
            <v>OK</v>
          </cell>
          <cell r="F84" t="str">
            <v>OK</v>
          </cell>
          <cell r="G84" t="str">
            <v>OK</v>
          </cell>
          <cell r="H84" t="str">
            <v>OK</v>
          </cell>
          <cell r="I84" t="str">
            <v>OK</v>
          </cell>
          <cell r="J84">
            <v>0</v>
          </cell>
          <cell r="K84">
            <v>0</v>
          </cell>
          <cell r="L84" t="str">
            <v>√</v>
          </cell>
          <cell r="M84">
            <v>3</v>
          </cell>
          <cell r="N84" t="str">
            <v>√</v>
          </cell>
          <cell r="O84">
            <v>0</v>
          </cell>
          <cell r="P84">
            <v>0</v>
          </cell>
          <cell r="Q84">
            <v>0</v>
          </cell>
          <cell r="R84">
            <v>0</v>
          </cell>
          <cell r="S84">
            <v>0</v>
          </cell>
          <cell r="T84">
            <v>0</v>
          </cell>
        </row>
        <row r="85">
          <cell r="A85">
            <v>37</v>
          </cell>
          <cell r="B85">
            <v>37</v>
          </cell>
          <cell r="C85" t="str">
            <v>NUR FAOJIAH</v>
          </cell>
          <cell r="D85" t="str">
            <v>P</v>
          </cell>
          <cell r="E85" t="str">
            <v>3305144912790003</v>
          </cell>
          <cell r="F85" t="str">
            <v>PENGEMPON RT 03/RW 03</v>
          </cell>
          <cell r="G85" t="str">
            <v>Tidak Layak</v>
          </cell>
          <cell r="H85" t="str">
            <v>Tidak Layak</v>
          </cell>
          <cell r="I85" t="str">
            <v>Tidak Layak</v>
          </cell>
          <cell r="J85">
            <v>0</v>
          </cell>
          <cell r="K85">
            <v>0</v>
          </cell>
          <cell r="L85" t="str">
            <v>√</v>
          </cell>
          <cell r="M85">
            <v>3</v>
          </cell>
          <cell r="N85" t="str">
            <v>√</v>
          </cell>
          <cell r="O85">
            <v>0</v>
          </cell>
          <cell r="P85">
            <v>0</v>
          </cell>
          <cell r="Q85" t="str">
            <v>PK</v>
          </cell>
          <cell r="R85" t="str">
            <v>√</v>
          </cell>
          <cell r="S85">
            <v>0</v>
          </cell>
          <cell r="T85">
            <v>0</v>
          </cell>
        </row>
        <row r="86">
          <cell r="A86">
            <v>0</v>
          </cell>
          <cell r="B86">
            <v>0</v>
          </cell>
          <cell r="C86" t="str">
            <v>OK</v>
          </cell>
          <cell r="D86" t="str">
            <v>OK</v>
          </cell>
          <cell r="E86" t="str">
            <v>OK</v>
          </cell>
          <cell r="F86" t="str">
            <v>OK</v>
          </cell>
          <cell r="G86" t="str">
            <v>OK</v>
          </cell>
          <cell r="H86" t="str">
            <v>OK</v>
          </cell>
          <cell r="I86" t="str">
            <v>OK</v>
          </cell>
          <cell r="J86">
            <v>0</v>
          </cell>
          <cell r="K86">
            <v>0</v>
          </cell>
          <cell r="L86" t="str">
            <v>√</v>
          </cell>
          <cell r="M86">
            <v>3</v>
          </cell>
          <cell r="N86" t="str">
            <v>√</v>
          </cell>
          <cell r="O86">
            <v>0</v>
          </cell>
          <cell r="P86">
            <v>0</v>
          </cell>
          <cell r="Q86">
            <v>0</v>
          </cell>
          <cell r="R86">
            <v>0</v>
          </cell>
          <cell r="S86">
            <v>0</v>
          </cell>
          <cell r="T86">
            <v>0</v>
          </cell>
        </row>
        <row r="87">
          <cell r="A87">
            <v>38</v>
          </cell>
          <cell r="B87">
            <v>38</v>
          </cell>
          <cell r="C87" t="str">
            <v>PARIYAH</v>
          </cell>
          <cell r="D87" t="str">
            <v>P</v>
          </cell>
          <cell r="E87" t="str">
            <v>3305145602530001</v>
          </cell>
          <cell r="F87" t="str">
            <v>PENGEMPON RT 03/RW 03</v>
          </cell>
          <cell r="G87" t="str">
            <v>Tidak Layak</v>
          </cell>
          <cell r="H87" t="str">
            <v>Tidak Layak</v>
          </cell>
          <cell r="I87" t="str">
            <v>Tidak Layak</v>
          </cell>
          <cell r="J87">
            <v>0</v>
          </cell>
          <cell r="K87">
            <v>0</v>
          </cell>
          <cell r="L87" t="str">
            <v>√</v>
          </cell>
          <cell r="M87">
            <v>3</v>
          </cell>
          <cell r="N87" t="str">
            <v>√</v>
          </cell>
          <cell r="O87">
            <v>0</v>
          </cell>
          <cell r="P87">
            <v>0</v>
          </cell>
          <cell r="Q87" t="str">
            <v>PK</v>
          </cell>
          <cell r="R87" t="str">
            <v>√</v>
          </cell>
          <cell r="S87">
            <v>0</v>
          </cell>
          <cell r="T87">
            <v>0</v>
          </cell>
        </row>
        <row r="88">
          <cell r="A88">
            <v>0</v>
          </cell>
          <cell r="B88">
            <v>0</v>
          </cell>
          <cell r="C88" t="str">
            <v>OK</v>
          </cell>
          <cell r="D88" t="str">
            <v>OK</v>
          </cell>
          <cell r="E88" t="str">
            <v>OK</v>
          </cell>
          <cell r="F88" t="str">
            <v>OK</v>
          </cell>
          <cell r="G88" t="str">
            <v>OK</v>
          </cell>
          <cell r="H88" t="str">
            <v>OK</v>
          </cell>
          <cell r="I88" t="str">
            <v>OK</v>
          </cell>
          <cell r="J88">
            <v>0</v>
          </cell>
          <cell r="K88">
            <v>0</v>
          </cell>
          <cell r="L88" t="str">
            <v>√</v>
          </cell>
          <cell r="M88">
            <v>3</v>
          </cell>
          <cell r="N88" t="str">
            <v>√</v>
          </cell>
          <cell r="O88">
            <v>0</v>
          </cell>
          <cell r="P88">
            <v>0</v>
          </cell>
          <cell r="Q88">
            <v>0</v>
          </cell>
          <cell r="R88">
            <v>0</v>
          </cell>
          <cell r="S88">
            <v>0</v>
          </cell>
          <cell r="T88">
            <v>0</v>
          </cell>
        </row>
        <row r="89">
          <cell r="A89">
            <v>39</v>
          </cell>
          <cell r="B89">
            <v>39</v>
          </cell>
          <cell r="C89" t="str">
            <v>KUSNADI</v>
          </cell>
          <cell r="D89" t="str">
            <v>L</v>
          </cell>
          <cell r="E89" t="str">
            <v>3305140312830001</v>
          </cell>
          <cell r="F89" t="str">
            <v>PENGEMPON RT 03/RW 03</v>
          </cell>
          <cell r="G89" t="str">
            <v>Tidak Layak</v>
          </cell>
          <cell r="H89" t="str">
            <v>Tidak Layak</v>
          </cell>
          <cell r="I89" t="str">
            <v>Tidak Layak</v>
          </cell>
          <cell r="J89">
            <v>0</v>
          </cell>
          <cell r="K89">
            <v>0</v>
          </cell>
          <cell r="L89" t="str">
            <v>√</v>
          </cell>
          <cell r="M89">
            <v>3</v>
          </cell>
          <cell r="N89" t="str">
            <v>√</v>
          </cell>
          <cell r="O89">
            <v>0</v>
          </cell>
          <cell r="P89">
            <v>0</v>
          </cell>
          <cell r="Q89" t="str">
            <v>PK</v>
          </cell>
          <cell r="R89" t="str">
            <v>√</v>
          </cell>
          <cell r="S89">
            <v>0</v>
          </cell>
          <cell r="T89">
            <v>0</v>
          </cell>
        </row>
        <row r="90">
          <cell r="A90">
            <v>0</v>
          </cell>
          <cell r="B90">
            <v>0</v>
          </cell>
          <cell r="C90" t="str">
            <v>OK</v>
          </cell>
          <cell r="D90" t="str">
            <v>OK</v>
          </cell>
          <cell r="E90" t="str">
            <v>OK</v>
          </cell>
          <cell r="F90" t="str">
            <v>OK</v>
          </cell>
          <cell r="G90" t="str">
            <v>OK</v>
          </cell>
          <cell r="H90" t="str">
            <v>OK</v>
          </cell>
          <cell r="I90" t="str">
            <v>OK</v>
          </cell>
          <cell r="J90">
            <v>0</v>
          </cell>
          <cell r="K90">
            <v>0</v>
          </cell>
          <cell r="L90" t="str">
            <v>√</v>
          </cell>
          <cell r="M90">
            <v>3</v>
          </cell>
          <cell r="N90" t="str">
            <v>√</v>
          </cell>
          <cell r="O90">
            <v>0</v>
          </cell>
          <cell r="P90">
            <v>0</v>
          </cell>
          <cell r="Q90">
            <v>0</v>
          </cell>
          <cell r="R90">
            <v>0</v>
          </cell>
          <cell r="S90">
            <v>0</v>
          </cell>
          <cell r="T90">
            <v>0</v>
          </cell>
        </row>
        <row r="91">
          <cell r="A91">
            <v>40</v>
          </cell>
          <cell r="B91">
            <v>40</v>
          </cell>
          <cell r="C91" t="str">
            <v>MOHAMAD MURTAKI</v>
          </cell>
          <cell r="D91" t="str">
            <v>L</v>
          </cell>
          <cell r="E91" t="str">
            <v>3305141105680001</v>
          </cell>
          <cell r="F91" t="str">
            <v>PENGEMPON RT 04/RW 03</v>
          </cell>
          <cell r="G91" t="str">
            <v>Tidak Layak</v>
          </cell>
          <cell r="H91" t="str">
            <v>Tidak Layak</v>
          </cell>
          <cell r="I91" t="str">
            <v>Tidak Layak</v>
          </cell>
          <cell r="J91">
            <v>0</v>
          </cell>
          <cell r="K91">
            <v>0</v>
          </cell>
          <cell r="L91" t="str">
            <v>√</v>
          </cell>
          <cell r="M91">
            <v>3</v>
          </cell>
          <cell r="N91" t="str">
            <v>√</v>
          </cell>
          <cell r="O91">
            <v>0</v>
          </cell>
          <cell r="P91">
            <v>0</v>
          </cell>
          <cell r="Q91" t="str">
            <v>PK</v>
          </cell>
          <cell r="R91" t="str">
            <v>√</v>
          </cell>
          <cell r="S91">
            <v>0</v>
          </cell>
          <cell r="T91">
            <v>0</v>
          </cell>
        </row>
        <row r="92">
          <cell r="A92">
            <v>0</v>
          </cell>
          <cell r="B92">
            <v>0</v>
          </cell>
          <cell r="C92" t="str">
            <v>OK</v>
          </cell>
          <cell r="D92" t="str">
            <v>OK</v>
          </cell>
          <cell r="E92" t="str">
            <v>OK</v>
          </cell>
          <cell r="F92" t="str">
            <v>OK</v>
          </cell>
          <cell r="G92" t="str">
            <v>OK</v>
          </cell>
          <cell r="H92" t="str">
            <v>OK</v>
          </cell>
          <cell r="I92" t="str">
            <v>OK</v>
          </cell>
          <cell r="J92">
            <v>0</v>
          </cell>
          <cell r="K92">
            <v>0</v>
          </cell>
          <cell r="L92" t="str">
            <v>√</v>
          </cell>
          <cell r="M92">
            <v>3</v>
          </cell>
          <cell r="N92" t="str">
            <v>√</v>
          </cell>
          <cell r="O92">
            <v>0</v>
          </cell>
          <cell r="P92">
            <v>0</v>
          </cell>
          <cell r="Q92">
            <v>0</v>
          </cell>
          <cell r="R92">
            <v>0</v>
          </cell>
          <cell r="S92">
            <v>0</v>
          </cell>
          <cell r="T92">
            <v>0</v>
          </cell>
        </row>
        <row r="93">
          <cell r="A93">
            <v>41</v>
          </cell>
          <cell r="B93">
            <v>41</v>
          </cell>
          <cell r="C93" t="str">
            <v>SARMINAH</v>
          </cell>
          <cell r="D93" t="str">
            <v>P</v>
          </cell>
          <cell r="E93" t="str">
            <v>3305147112430039</v>
          </cell>
          <cell r="F93" t="str">
            <v>PENGEMPON RT 04/RW 03</v>
          </cell>
          <cell r="G93" t="str">
            <v>Tidak Layak</v>
          </cell>
          <cell r="H93" t="str">
            <v>Tidak Layak</v>
          </cell>
          <cell r="I93" t="str">
            <v>Tidak Layak</v>
          </cell>
          <cell r="J93">
            <v>0</v>
          </cell>
          <cell r="K93">
            <v>0</v>
          </cell>
          <cell r="L93" t="str">
            <v>√</v>
          </cell>
          <cell r="M93">
            <v>3</v>
          </cell>
          <cell r="N93" t="str">
            <v>√</v>
          </cell>
          <cell r="O93">
            <v>0</v>
          </cell>
          <cell r="P93">
            <v>0</v>
          </cell>
          <cell r="Q93" t="str">
            <v>PK</v>
          </cell>
          <cell r="R93" t="str">
            <v>√</v>
          </cell>
          <cell r="S93">
            <v>0</v>
          </cell>
          <cell r="T93">
            <v>0</v>
          </cell>
        </row>
        <row r="94">
          <cell r="A94">
            <v>0</v>
          </cell>
          <cell r="B94">
            <v>0</v>
          </cell>
          <cell r="C94" t="str">
            <v>OK</v>
          </cell>
          <cell r="D94" t="str">
            <v>OK</v>
          </cell>
          <cell r="E94" t="str">
            <v>OK</v>
          </cell>
          <cell r="F94" t="str">
            <v>OK</v>
          </cell>
          <cell r="G94" t="str">
            <v>OK</v>
          </cell>
          <cell r="H94" t="str">
            <v>OK</v>
          </cell>
          <cell r="I94" t="str">
            <v>OK</v>
          </cell>
          <cell r="J94">
            <v>0</v>
          </cell>
          <cell r="K94">
            <v>0</v>
          </cell>
          <cell r="L94" t="str">
            <v>√</v>
          </cell>
          <cell r="M94">
            <v>3</v>
          </cell>
          <cell r="N94" t="str">
            <v>√</v>
          </cell>
          <cell r="O94">
            <v>0</v>
          </cell>
          <cell r="P94">
            <v>0</v>
          </cell>
          <cell r="Q94">
            <v>0</v>
          </cell>
          <cell r="R94">
            <v>0</v>
          </cell>
          <cell r="S94">
            <v>0</v>
          </cell>
          <cell r="T94">
            <v>0</v>
          </cell>
        </row>
        <row r="95">
          <cell r="A95">
            <v>42</v>
          </cell>
          <cell r="B95">
            <v>42</v>
          </cell>
          <cell r="C95" t="str">
            <v>BADIRI</v>
          </cell>
          <cell r="D95" t="str">
            <v>L</v>
          </cell>
          <cell r="E95" t="str">
            <v>3305141005420001</v>
          </cell>
          <cell r="F95" t="str">
            <v>PENGEMPON RT 04/RW 03</v>
          </cell>
          <cell r="G95" t="str">
            <v>Tidak Layak</v>
          </cell>
          <cell r="H95" t="str">
            <v>Tidak Layak</v>
          </cell>
          <cell r="I95" t="str">
            <v>Tidak Layak</v>
          </cell>
          <cell r="J95">
            <v>0</v>
          </cell>
          <cell r="K95">
            <v>0</v>
          </cell>
          <cell r="L95" t="str">
            <v>√</v>
          </cell>
          <cell r="M95">
            <v>3</v>
          </cell>
          <cell r="N95" t="str">
            <v>√</v>
          </cell>
          <cell r="O95">
            <v>0</v>
          </cell>
          <cell r="P95">
            <v>0</v>
          </cell>
          <cell r="Q95" t="str">
            <v>PK</v>
          </cell>
          <cell r="R95" t="str">
            <v>√</v>
          </cell>
          <cell r="S95">
            <v>0</v>
          </cell>
          <cell r="T95">
            <v>0</v>
          </cell>
        </row>
        <row r="96">
          <cell r="A96">
            <v>0</v>
          </cell>
          <cell r="B96">
            <v>0</v>
          </cell>
          <cell r="C96" t="str">
            <v>OK</v>
          </cell>
          <cell r="D96" t="str">
            <v>OK</v>
          </cell>
          <cell r="E96" t="str">
            <v>OK</v>
          </cell>
          <cell r="F96" t="str">
            <v>OK</v>
          </cell>
          <cell r="G96" t="str">
            <v>OK</v>
          </cell>
          <cell r="H96" t="str">
            <v>OK</v>
          </cell>
          <cell r="I96" t="str">
            <v>OK</v>
          </cell>
          <cell r="J96">
            <v>0</v>
          </cell>
          <cell r="K96">
            <v>0</v>
          </cell>
          <cell r="L96" t="str">
            <v>√</v>
          </cell>
          <cell r="M96">
            <v>3</v>
          </cell>
          <cell r="N96" t="str">
            <v>√</v>
          </cell>
          <cell r="O96">
            <v>0</v>
          </cell>
          <cell r="P96">
            <v>0</v>
          </cell>
          <cell r="Q96">
            <v>0</v>
          </cell>
          <cell r="R96">
            <v>0</v>
          </cell>
          <cell r="S96">
            <v>0</v>
          </cell>
          <cell r="T96">
            <v>0</v>
          </cell>
        </row>
        <row r="97">
          <cell r="A97">
            <v>43</v>
          </cell>
          <cell r="B97">
            <v>43</v>
          </cell>
          <cell r="C97" t="str">
            <v>NURHOLIK</v>
          </cell>
          <cell r="D97" t="str">
            <v>L</v>
          </cell>
          <cell r="E97" t="str">
            <v>3305143011450002</v>
          </cell>
          <cell r="F97" t="str">
            <v>PENGEMPON RT 04/RW 03</v>
          </cell>
          <cell r="G97" t="str">
            <v>Tidak Layak</v>
          </cell>
          <cell r="H97" t="str">
            <v>Tidak Layak</v>
          </cell>
          <cell r="I97" t="str">
            <v>Tidak Layak</v>
          </cell>
          <cell r="J97">
            <v>0</v>
          </cell>
          <cell r="K97">
            <v>0</v>
          </cell>
          <cell r="L97" t="str">
            <v>√</v>
          </cell>
          <cell r="M97">
            <v>3</v>
          </cell>
          <cell r="N97" t="str">
            <v>√</v>
          </cell>
          <cell r="O97">
            <v>0</v>
          </cell>
          <cell r="P97">
            <v>0</v>
          </cell>
          <cell r="Q97" t="str">
            <v>PK</v>
          </cell>
          <cell r="R97" t="str">
            <v>√</v>
          </cell>
          <cell r="S97">
            <v>0</v>
          </cell>
          <cell r="T97">
            <v>0</v>
          </cell>
        </row>
        <row r="98">
          <cell r="A98">
            <v>0</v>
          </cell>
          <cell r="B98">
            <v>0</v>
          </cell>
          <cell r="C98" t="str">
            <v>OK</v>
          </cell>
          <cell r="D98" t="str">
            <v>OK</v>
          </cell>
          <cell r="E98" t="str">
            <v>OK</v>
          </cell>
          <cell r="F98" t="str">
            <v>OK</v>
          </cell>
          <cell r="G98" t="str">
            <v>OK</v>
          </cell>
          <cell r="H98" t="str">
            <v>OK</v>
          </cell>
          <cell r="I98" t="str">
            <v>OK</v>
          </cell>
          <cell r="J98">
            <v>0</v>
          </cell>
          <cell r="K98">
            <v>0</v>
          </cell>
          <cell r="L98" t="str">
            <v>√</v>
          </cell>
          <cell r="M98">
            <v>3</v>
          </cell>
          <cell r="N98" t="str">
            <v>√</v>
          </cell>
          <cell r="O98">
            <v>0</v>
          </cell>
          <cell r="P98">
            <v>0</v>
          </cell>
          <cell r="Q98">
            <v>0</v>
          </cell>
          <cell r="R98">
            <v>0</v>
          </cell>
          <cell r="S98">
            <v>0</v>
          </cell>
          <cell r="T98">
            <v>0</v>
          </cell>
        </row>
        <row r="99">
          <cell r="A99">
            <v>44</v>
          </cell>
          <cell r="B99">
            <v>44</v>
          </cell>
          <cell r="C99" t="str">
            <v>KUSWATI</v>
          </cell>
          <cell r="D99" t="str">
            <v>P</v>
          </cell>
          <cell r="E99" t="str">
            <v>3305146708700001</v>
          </cell>
          <cell r="F99" t="str">
            <v>PENGEMPON RT 01/RW 04</v>
          </cell>
          <cell r="G99" t="str">
            <v>Tidak Layak</v>
          </cell>
          <cell r="H99" t="str">
            <v>Tidak Layak</v>
          </cell>
          <cell r="I99" t="str">
            <v>Tidak Layak</v>
          </cell>
          <cell r="J99">
            <v>0</v>
          </cell>
          <cell r="K99">
            <v>0</v>
          </cell>
          <cell r="L99" t="str">
            <v>√</v>
          </cell>
          <cell r="M99">
            <v>3</v>
          </cell>
          <cell r="N99" t="str">
            <v>√</v>
          </cell>
          <cell r="O99">
            <v>0</v>
          </cell>
          <cell r="P99">
            <v>0</v>
          </cell>
          <cell r="Q99" t="str">
            <v>PK</v>
          </cell>
          <cell r="R99" t="str">
            <v>√</v>
          </cell>
          <cell r="S99">
            <v>0</v>
          </cell>
          <cell r="T99">
            <v>0</v>
          </cell>
        </row>
        <row r="100">
          <cell r="A100">
            <v>0</v>
          </cell>
          <cell r="B100">
            <v>0</v>
          </cell>
          <cell r="C100" t="str">
            <v>OK</v>
          </cell>
          <cell r="D100" t="str">
            <v>OK</v>
          </cell>
          <cell r="E100" t="str">
            <v>OK</v>
          </cell>
          <cell r="F100" t="str">
            <v>OK</v>
          </cell>
          <cell r="G100" t="str">
            <v>OK</v>
          </cell>
          <cell r="H100" t="str">
            <v>OK</v>
          </cell>
          <cell r="I100" t="str">
            <v>OK</v>
          </cell>
          <cell r="J100">
            <v>0</v>
          </cell>
          <cell r="K100">
            <v>0</v>
          </cell>
          <cell r="L100" t="str">
            <v>√</v>
          </cell>
          <cell r="M100">
            <v>3</v>
          </cell>
          <cell r="N100" t="str">
            <v>√</v>
          </cell>
          <cell r="O100">
            <v>0</v>
          </cell>
          <cell r="P100">
            <v>0</v>
          </cell>
          <cell r="Q100">
            <v>0</v>
          </cell>
          <cell r="R100">
            <v>0</v>
          </cell>
          <cell r="S100">
            <v>0</v>
          </cell>
          <cell r="T100">
            <v>0</v>
          </cell>
        </row>
        <row r="101">
          <cell r="A101">
            <v>45</v>
          </cell>
          <cell r="B101">
            <v>45</v>
          </cell>
          <cell r="C101" t="str">
            <v>HUMEDI</v>
          </cell>
          <cell r="D101" t="str">
            <v>L</v>
          </cell>
          <cell r="E101" t="str">
            <v>3305140705300002</v>
          </cell>
          <cell r="F101" t="str">
            <v>PENGEMPON RT 02/RW 04</v>
          </cell>
          <cell r="G101" t="str">
            <v>Tidak Layak</v>
          </cell>
          <cell r="H101" t="str">
            <v>Tidak Layak</v>
          </cell>
          <cell r="I101" t="str">
            <v>Tidak Layak</v>
          </cell>
          <cell r="J101">
            <v>0</v>
          </cell>
          <cell r="K101">
            <v>0</v>
          </cell>
          <cell r="L101" t="str">
            <v>√</v>
          </cell>
          <cell r="M101">
            <v>3</v>
          </cell>
          <cell r="N101" t="str">
            <v>√</v>
          </cell>
          <cell r="O101">
            <v>0</v>
          </cell>
          <cell r="P101">
            <v>0</v>
          </cell>
          <cell r="Q101" t="str">
            <v>PK</v>
          </cell>
          <cell r="R101" t="str">
            <v>√</v>
          </cell>
          <cell r="S101">
            <v>0</v>
          </cell>
          <cell r="T101">
            <v>0</v>
          </cell>
        </row>
        <row r="102">
          <cell r="A102">
            <v>0</v>
          </cell>
          <cell r="B102">
            <v>0</v>
          </cell>
          <cell r="C102" t="str">
            <v>OK</v>
          </cell>
          <cell r="D102" t="str">
            <v>OK</v>
          </cell>
          <cell r="E102" t="str">
            <v>OK</v>
          </cell>
          <cell r="F102" t="str">
            <v>OK</v>
          </cell>
          <cell r="G102" t="str">
            <v>OK</v>
          </cell>
          <cell r="H102" t="str">
            <v>OK</v>
          </cell>
          <cell r="I102" t="str">
            <v>OK</v>
          </cell>
          <cell r="J102">
            <v>0</v>
          </cell>
          <cell r="K102">
            <v>0</v>
          </cell>
          <cell r="L102" t="str">
            <v>√</v>
          </cell>
          <cell r="M102">
            <v>3</v>
          </cell>
          <cell r="N102" t="str">
            <v>√</v>
          </cell>
          <cell r="O102">
            <v>0</v>
          </cell>
          <cell r="P102">
            <v>0</v>
          </cell>
          <cell r="Q102">
            <v>0</v>
          </cell>
          <cell r="R102">
            <v>0</v>
          </cell>
          <cell r="S102">
            <v>0</v>
          </cell>
          <cell r="T102">
            <v>0</v>
          </cell>
        </row>
        <row r="103">
          <cell r="A103">
            <v>46</v>
          </cell>
          <cell r="B103">
            <v>46</v>
          </cell>
          <cell r="C103" t="str">
            <v>AGUS CAHYONO</v>
          </cell>
          <cell r="D103" t="str">
            <v>L</v>
          </cell>
          <cell r="E103" t="str">
            <v>3305172411740001</v>
          </cell>
          <cell r="F103" t="str">
            <v>PENGEMPON RT 04/RW 02</v>
          </cell>
          <cell r="G103" t="str">
            <v>Tidak Layak</v>
          </cell>
          <cell r="H103" t="str">
            <v>Tidak Layak</v>
          </cell>
          <cell r="I103" t="str">
            <v>Tidak Layak</v>
          </cell>
          <cell r="J103">
            <v>0</v>
          </cell>
          <cell r="K103">
            <v>0</v>
          </cell>
          <cell r="L103">
            <v>0</v>
          </cell>
          <cell r="M103">
            <v>0</v>
          </cell>
          <cell r="N103">
            <v>0</v>
          </cell>
          <cell r="O103">
            <v>0</v>
          </cell>
          <cell r="P103" t="str">
            <v>SUDAH DIBANGUN PERMANEN</v>
          </cell>
          <cell r="Q103" t="str">
            <v>PK</v>
          </cell>
          <cell r="R103" t="str">
            <v>-</v>
          </cell>
          <cell r="S103" t="str">
            <v>√</v>
          </cell>
          <cell r="T103">
            <v>0</v>
          </cell>
        </row>
        <row r="104">
          <cell r="A104">
            <v>0</v>
          </cell>
          <cell r="B104">
            <v>0</v>
          </cell>
          <cell r="C104" t="str">
            <v>OK</v>
          </cell>
          <cell r="D104" t="str">
            <v>OK</v>
          </cell>
          <cell r="E104" t="str">
            <v>OK</v>
          </cell>
          <cell r="F104" t="str">
            <v>OK</v>
          </cell>
          <cell r="G104" t="str">
            <v>LAYAK</v>
          </cell>
          <cell r="H104" t="str">
            <v>LAYAK</v>
          </cell>
          <cell r="I104" t="str">
            <v>LAYAK</v>
          </cell>
          <cell r="J104">
            <v>0</v>
          </cell>
          <cell r="K104">
            <v>0</v>
          </cell>
          <cell r="L104">
            <v>0</v>
          </cell>
          <cell r="M104">
            <v>0</v>
          </cell>
          <cell r="N104">
            <v>0</v>
          </cell>
          <cell r="O104">
            <v>0</v>
          </cell>
          <cell r="P104">
            <v>0</v>
          </cell>
          <cell r="Q104">
            <v>0</v>
          </cell>
          <cell r="R104">
            <v>0</v>
          </cell>
          <cell r="S104">
            <v>0</v>
          </cell>
          <cell r="T104">
            <v>0</v>
          </cell>
        </row>
        <row r="105">
          <cell r="A105">
            <v>47</v>
          </cell>
          <cell r="B105">
            <v>47</v>
          </cell>
          <cell r="C105" t="str">
            <v>MASRURI</v>
          </cell>
          <cell r="D105" t="str">
            <v>L</v>
          </cell>
          <cell r="E105" t="str">
            <v>3305141608830001</v>
          </cell>
          <cell r="F105" t="str">
            <v>PENGEMPON RT 02/RW 04</v>
          </cell>
          <cell r="G105" t="str">
            <v>Tidak Layak</v>
          </cell>
          <cell r="H105" t="str">
            <v>Tidak Layak</v>
          </cell>
          <cell r="I105" t="str">
            <v>Tidak Layak</v>
          </cell>
          <cell r="J105">
            <v>0</v>
          </cell>
          <cell r="K105">
            <v>0</v>
          </cell>
          <cell r="L105" t="str">
            <v>√</v>
          </cell>
          <cell r="M105">
            <v>3</v>
          </cell>
          <cell r="N105" t="str">
            <v>√</v>
          </cell>
          <cell r="O105">
            <v>0</v>
          </cell>
          <cell r="P105">
            <v>0</v>
          </cell>
          <cell r="Q105" t="str">
            <v>PK</v>
          </cell>
          <cell r="R105" t="str">
            <v>√</v>
          </cell>
          <cell r="S105">
            <v>0</v>
          </cell>
          <cell r="T105">
            <v>0</v>
          </cell>
        </row>
        <row r="106">
          <cell r="A106">
            <v>0</v>
          </cell>
          <cell r="B106">
            <v>0</v>
          </cell>
          <cell r="C106" t="str">
            <v>OK</v>
          </cell>
          <cell r="D106" t="str">
            <v>OK</v>
          </cell>
          <cell r="E106" t="str">
            <v>OK</v>
          </cell>
          <cell r="F106" t="str">
            <v>OK</v>
          </cell>
          <cell r="G106" t="str">
            <v>OK</v>
          </cell>
          <cell r="H106" t="str">
            <v>OK</v>
          </cell>
          <cell r="I106" t="str">
            <v>OK</v>
          </cell>
          <cell r="J106">
            <v>0</v>
          </cell>
          <cell r="K106">
            <v>0</v>
          </cell>
          <cell r="L106" t="str">
            <v>√</v>
          </cell>
          <cell r="M106">
            <v>3</v>
          </cell>
          <cell r="N106" t="str">
            <v>√</v>
          </cell>
          <cell r="O106">
            <v>0</v>
          </cell>
          <cell r="P106">
            <v>0</v>
          </cell>
          <cell r="Q106">
            <v>0</v>
          </cell>
          <cell r="R106">
            <v>0</v>
          </cell>
          <cell r="S106">
            <v>0</v>
          </cell>
          <cell r="T106">
            <v>0</v>
          </cell>
        </row>
        <row r="107">
          <cell r="A107">
            <v>48</v>
          </cell>
          <cell r="B107">
            <v>48</v>
          </cell>
          <cell r="C107" t="str">
            <v>ROHIMATUN</v>
          </cell>
          <cell r="D107" t="str">
            <v>P</v>
          </cell>
          <cell r="E107" t="str">
            <v>3305146002550003</v>
          </cell>
          <cell r="F107" t="str">
            <v>PENGEMPON RT 02/RW 04</v>
          </cell>
          <cell r="G107" t="str">
            <v>Tidak Layak</v>
          </cell>
          <cell r="H107" t="str">
            <v>Tidak Layak</v>
          </cell>
          <cell r="I107" t="str">
            <v>Tidak Layak</v>
          </cell>
          <cell r="J107">
            <v>0</v>
          </cell>
          <cell r="K107">
            <v>0</v>
          </cell>
          <cell r="L107" t="str">
            <v>√</v>
          </cell>
          <cell r="M107">
            <v>3</v>
          </cell>
          <cell r="N107" t="str">
            <v>√</v>
          </cell>
          <cell r="O107">
            <v>0</v>
          </cell>
          <cell r="P107">
            <v>0</v>
          </cell>
          <cell r="Q107" t="str">
            <v>PK</v>
          </cell>
          <cell r="R107" t="str">
            <v>√</v>
          </cell>
          <cell r="S107">
            <v>0</v>
          </cell>
          <cell r="T107">
            <v>0</v>
          </cell>
        </row>
        <row r="108">
          <cell r="A108">
            <v>0</v>
          </cell>
          <cell r="B108">
            <v>0</v>
          </cell>
          <cell r="C108" t="str">
            <v>OK</v>
          </cell>
          <cell r="D108" t="str">
            <v>OK</v>
          </cell>
          <cell r="E108" t="str">
            <v>OK</v>
          </cell>
          <cell r="F108" t="str">
            <v>OK</v>
          </cell>
          <cell r="G108" t="str">
            <v>OK</v>
          </cell>
          <cell r="H108" t="str">
            <v>OK</v>
          </cell>
          <cell r="I108" t="str">
            <v>OK</v>
          </cell>
          <cell r="J108">
            <v>0</v>
          </cell>
          <cell r="K108">
            <v>0</v>
          </cell>
          <cell r="L108" t="str">
            <v>√</v>
          </cell>
          <cell r="M108">
            <v>3</v>
          </cell>
          <cell r="N108" t="str">
            <v>√</v>
          </cell>
          <cell r="O108">
            <v>0</v>
          </cell>
          <cell r="P108">
            <v>0</v>
          </cell>
          <cell r="Q108">
            <v>0</v>
          </cell>
          <cell r="R108">
            <v>0</v>
          </cell>
          <cell r="S108">
            <v>0</v>
          </cell>
          <cell r="T108">
            <v>0</v>
          </cell>
        </row>
        <row r="109">
          <cell r="A109">
            <v>49</v>
          </cell>
          <cell r="B109">
            <v>49</v>
          </cell>
          <cell r="C109" t="str">
            <v>MASNGUDIN</v>
          </cell>
          <cell r="D109" t="str">
            <v>L</v>
          </cell>
          <cell r="E109" t="str">
            <v>3305141312670001</v>
          </cell>
          <cell r="F109" t="str">
            <v>PENGEMPON RT 02/RW 04</v>
          </cell>
          <cell r="G109" t="str">
            <v>Tidak Layak</v>
          </cell>
          <cell r="H109" t="str">
            <v>Tidak Layak</v>
          </cell>
          <cell r="I109" t="str">
            <v>Tidak Layak</v>
          </cell>
          <cell r="J109">
            <v>0</v>
          </cell>
          <cell r="K109">
            <v>0</v>
          </cell>
          <cell r="L109" t="str">
            <v>√</v>
          </cell>
          <cell r="M109">
            <v>3</v>
          </cell>
          <cell r="N109" t="str">
            <v>√</v>
          </cell>
          <cell r="O109">
            <v>0</v>
          </cell>
          <cell r="P109">
            <v>0</v>
          </cell>
          <cell r="Q109" t="str">
            <v>PK</v>
          </cell>
          <cell r="R109" t="str">
            <v>√</v>
          </cell>
          <cell r="S109">
            <v>0</v>
          </cell>
          <cell r="T109">
            <v>0</v>
          </cell>
        </row>
        <row r="110">
          <cell r="A110">
            <v>0</v>
          </cell>
          <cell r="B110">
            <v>0</v>
          </cell>
          <cell r="C110" t="str">
            <v>OK</v>
          </cell>
          <cell r="D110" t="str">
            <v>OK</v>
          </cell>
          <cell r="E110" t="str">
            <v>OK</v>
          </cell>
          <cell r="F110" t="str">
            <v>OK</v>
          </cell>
          <cell r="G110" t="str">
            <v>OK</v>
          </cell>
          <cell r="H110" t="str">
            <v>OK</v>
          </cell>
          <cell r="I110" t="str">
            <v>OK</v>
          </cell>
          <cell r="J110">
            <v>0</v>
          </cell>
          <cell r="K110">
            <v>0</v>
          </cell>
          <cell r="L110" t="str">
            <v>√</v>
          </cell>
          <cell r="M110">
            <v>3</v>
          </cell>
          <cell r="N110" t="str">
            <v>√</v>
          </cell>
          <cell r="O110">
            <v>0</v>
          </cell>
          <cell r="P110">
            <v>0</v>
          </cell>
          <cell r="Q110">
            <v>0</v>
          </cell>
          <cell r="R110">
            <v>0</v>
          </cell>
          <cell r="S110">
            <v>0</v>
          </cell>
          <cell r="T110">
            <v>0</v>
          </cell>
        </row>
        <row r="111">
          <cell r="A111">
            <v>50</v>
          </cell>
          <cell r="B111">
            <v>50</v>
          </cell>
          <cell r="C111" t="str">
            <v>SALIMIN</v>
          </cell>
          <cell r="D111" t="str">
            <v>L</v>
          </cell>
          <cell r="E111" t="str">
            <v>3305143012470005</v>
          </cell>
          <cell r="F111" t="str">
            <v>PENGEMPON RT 02/RW 04</v>
          </cell>
          <cell r="G111" t="str">
            <v>Tidak Layak</v>
          </cell>
          <cell r="H111" t="str">
            <v>Tidak Layak</v>
          </cell>
          <cell r="I111" t="str">
            <v>Tidak Layak</v>
          </cell>
          <cell r="J111">
            <v>0</v>
          </cell>
          <cell r="K111">
            <v>0</v>
          </cell>
          <cell r="L111" t="str">
            <v>√</v>
          </cell>
          <cell r="M111">
            <v>3</v>
          </cell>
          <cell r="N111" t="str">
            <v>√</v>
          </cell>
          <cell r="O111">
            <v>0</v>
          </cell>
          <cell r="P111">
            <v>0</v>
          </cell>
          <cell r="Q111" t="str">
            <v>PK</v>
          </cell>
          <cell r="R111" t="str">
            <v>√</v>
          </cell>
          <cell r="S111">
            <v>0</v>
          </cell>
          <cell r="T111">
            <v>0</v>
          </cell>
        </row>
        <row r="112">
          <cell r="A112">
            <v>0</v>
          </cell>
          <cell r="B112">
            <v>0</v>
          </cell>
          <cell r="C112" t="str">
            <v>OK</v>
          </cell>
          <cell r="D112" t="str">
            <v>OK</v>
          </cell>
          <cell r="E112" t="str">
            <v>OK</v>
          </cell>
          <cell r="F112" t="str">
            <v>OK</v>
          </cell>
          <cell r="G112" t="str">
            <v>OK</v>
          </cell>
          <cell r="H112" t="str">
            <v>OK</v>
          </cell>
          <cell r="I112" t="str">
            <v>OK</v>
          </cell>
          <cell r="J112">
            <v>0</v>
          </cell>
          <cell r="K112">
            <v>0</v>
          </cell>
          <cell r="L112" t="str">
            <v>√</v>
          </cell>
          <cell r="M112">
            <v>3</v>
          </cell>
          <cell r="N112" t="str">
            <v>√</v>
          </cell>
          <cell r="O112">
            <v>0</v>
          </cell>
          <cell r="P112">
            <v>0</v>
          </cell>
          <cell r="Q112">
            <v>0</v>
          </cell>
          <cell r="R112">
            <v>0</v>
          </cell>
          <cell r="S112">
            <v>0</v>
          </cell>
          <cell r="T112">
            <v>0</v>
          </cell>
        </row>
        <row r="113">
          <cell r="A113">
            <v>51</v>
          </cell>
          <cell r="B113">
            <v>51</v>
          </cell>
          <cell r="C113" t="str">
            <v>MU'MININ</v>
          </cell>
          <cell r="D113" t="str">
            <v>L</v>
          </cell>
          <cell r="E113" t="str">
            <v>3305140101630001</v>
          </cell>
          <cell r="F113" t="str">
            <v>PENGEMPON RT 02/RW 04</v>
          </cell>
          <cell r="G113" t="str">
            <v>Tidak Layak</v>
          </cell>
          <cell r="H113" t="str">
            <v>Tidak Layak</v>
          </cell>
          <cell r="I113" t="str">
            <v>Tidak Layak</v>
          </cell>
          <cell r="J113">
            <v>0</v>
          </cell>
          <cell r="K113">
            <v>0</v>
          </cell>
          <cell r="L113" t="str">
            <v>√</v>
          </cell>
          <cell r="M113">
            <v>3</v>
          </cell>
          <cell r="N113" t="str">
            <v>√</v>
          </cell>
          <cell r="O113">
            <v>0</v>
          </cell>
          <cell r="P113">
            <v>0</v>
          </cell>
          <cell r="Q113" t="str">
            <v>PK</v>
          </cell>
          <cell r="R113" t="str">
            <v>√</v>
          </cell>
          <cell r="S113">
            <v>0</v>
          </cell>
          <cell r="T113">
            <v>0</v>
          </cell>
        </row>
        <row r="114">
          <cell r="A114">
            <v>0</v>
          </cell>
          <cell r="B114">
            <v>0</v>
          </cell>
          <cell r="C114" t="str">
            <v>OK</v>
          </cell>
          <cell r="D114" t="str">
            <v>OK</v>
          </cell>
          <cell r="E114" t="str">
            <v>OK</v>
          </cell>
          <cell r="F114" t="str">
            <v>OK</v>
          </cell>
          <cell r="G114" t="str">
            <v>OK</v>
          </cell>
          <cell r="H114" t="str">
            <v>OK</v>
          </cell>
          <cell r="I114" t="str">
            <v>OK</v>
          </cell>
          <cell r="J114">
            <v>0</v>
          </cell>
          <cell r="K114">
            <v>0</v>
          </cell>
          <cell r="L114" t="str">
            <v>√</v>
          </cell>
          <cell r="M114">
            <v>3</v>
          </cell>
          <cell r="N114" t="str">
            <v>√</v>
          </cell>
          <cell r="O114">
            <v>0</v>
          </cell>
          <cell r="P114">
            <v>0</v>
          </cell>
          <cell r="Q114">
            <v>0</v>
          </cell>
          <cell r="R114">
            <v>0</v>
          </cell>
          <cell r="S114">
            <v>0</v>
          </cell>
          <cell r="T114">
            <v>0</v>
          </cell>
        </row>
        <row r="115">
          <cell r="A115">
            <v>52</v>
          </cell>
          <cell r="B115">
            <v>52</v>
          </cell>
          <cell r="C115" t="str">
            <v>ROJIKIN</v>
          </cell>
          <cell r="D115" t="str">
            <v>L</v>
          </cell>
          <cell r="E115" t="str">
            <v>3305141203630001</v>
          </cell>
          <cell r="F115" t="str">
            <v>PENGEMPON RT 02/RW 04</v>
          </cell>
          <cell r="G115" t="str">
            <v>Tidak Layak</v>
          </cell>
          <cell r="H115" t="str">
            <v>Tidak Layak</v>
          </cell>
          <cell r="I115" t="str">
            <v>Tidak Layak</v>
          </cell>
          <cell r="J115">
            <v>0</v>
          </cell>
          <cell r="K115">
            <v>0</v>
          </cell>
          <cell r="L115" t="str">
            <v>√</v>
          </cell>
          <cell r="M115">
            <v>3</v>
          </cell>
          <cell r="N115" t="str">
            <v>√</v>
          </cell>
          <cell r="O115">
            <v>0</v>
          </cell>
          <cell r="P115">
            <v>0</v>
          </cell>
          <cell r="Q115" t="str">
            <v>PK</v>
          </cell>
          <cell r="R115" t="str">
            <v>√</v>
          </cell>
          <cell r="S115">
            <v>0</v>
          </cell>
          <cell r="T115">
            <v>0</v>
          </cell>
        </row>
        <row r="116">
          <cell r="A116">
            <v>0</v>
          </cell>
          <cell r="B116">
            <v>0</v>
          </cell>
          <cell r="C116" t="str">
            <v>OK</v>
          </cell>
          <cell r="D116" t="str">
            <v>OK</v>
          </cell>
          <cell r="E116" t="str">
            <v>OK</v>
          </cell>
          <cell r="F116" t="str">
            <v>OK</v>
          </cell>
          <cell r="G116" t="str">
            <v>OK</v>
          </cell>
          <cell r="H116" t="str">
            <v>OK</v>
          </cell>
          <cell r="I116" t="str">
            <v>OK</v>
          </cell>
          <cell r="J116">
            <v>0</v>
          </cell>
          <cell r="K116">
            <v>0</v>
          </cell>
          <cell r="L116" t="str">
            <v>√</v>
          </cell>
          <cell r="M116">
            <v>3</v>
          </cell>
          <cell r="N116" t="str">
            <v>√</v>
          </cell>
          <cell r="O116">
            <v>0</v>
          </cell>
          <cell r="P116">
            <v>0</v>
          </cell>
          <cell r="Q116">
            <v>0</v>
          </cell>
          <cell r="R116">
            <v>0</v>
          </cell>
          <cell r="S116">
            <v>0</v>
          </cell>
          <cell r="T116">
            <v>0</v>
          </cell>
        </row>
        <row r="117">
          <cell r="A117">
            <v>53</v>
          </cell>
          <cell r="B117">
            <v>53</v>
          </cell>
          <cell r="C117" t="str">
            <v>RIYATI</v>
          </cell>
          <cell r="D117" t="str">
            <v>P</v>
          </cell>
          <cell r="E117" t="str">
            <v>3305147011540001</v>
          </cell>
          <cell r="F117" t="str">
            <v>PENGEMPON RT 02/RW 04</v>
          </cell>
          <cell r="G117" t="str">
            <v>Tidak Layak</v>
          </cell>
          <cell r="H117" t="str">
            <v>Tidak Layak</v>
          </cell>
          <cell r="I117" t="str">
            <v>Tidak Layak</v>
          </cell>
          <cell r="J117">
            <v>0</v>
          </cell>
          <cell r="K117">
            <v>0</v>
          </cell>
          <cell r="L117" t="str">
            <v>√</v>
          </cell>
          <cell r="M117">
            <v>3</v>
          </cell>
          <cell r="N117" t="str">
            <v>√</v>
          </cell>
          <cell r="O117">
            <v>0</v>
          </cell>
          <cell r="P117">
            <v>0</v>
          </cell>
          <cell r="Q117" t="str">
            <v>PK</v>
          </cell>
          <cell r="R117" t="str">
            <v>√</v>
          </cell>
          <cell r="S117">
            <v>0</v>
          </cell>
          <cell r="T117">
            <v>0</v>
          </cell>
        </row>
        <row r="118">
          <cell r="A118">
            <v>0</v>
          </cell>
          <cell r="B118">
            <v>0</v>
          </cell>
          <cell r="C118" t="str">
            <v>OK</v>
          </cell>
          <cell r="D118" t="str">
            <v>OK</v>
          </cell>
          <cell r="E118" t="str">
            <v>OK</v>
          </cell>
          <cell r="F118" t="str">
            <v>OK</v>
          </cell>
          <cell r="G118" t="str">
            <v>OK</v>
          </cell>
          <cell r="H118" t="str">
            <v>OK</v>
          </cell>
          <cell r="I118" t="str">
            <v>OK</v>
          </cell>
          <cell r="J118">
            <v>0</v>
          </cell>
          <cell r="K118">
            <v>0</v>
          </cell>
          <cell r="L118" t="str">
            <v>√</v>
          </cell>
          <cell r="M118">
            <v>3</v>
          </cell>
          <cell r="N118" t="str">
            <v>√</v>
          </cell>
          <cell r="O118">
            <v>0</v>
          </cell>
          <cell r="P118">
            <v>0</v>
          </cell>
          <cell r="Q118">
            <v>0</v>
          </cell>
          <cell r="R118">
            <v>0</v>
          </cell>
          <cell r="S118">
            <v>0</v>
          </cell>
          <cell r="T118">
            <v>0</v>
          </cell>
        </row>
        <row r="119">
          <cell r="A119">
            <v>54</v>
          </cell>
          <cell r="B119">
            <v>54</v>
          </cell>
          <cell r="C119" t="str">
            <v>PAOZANUDIN</v>
          </cell>
          <cell r="D119" t="str">
            <v>L</v>
          </cell>
          <cell r="E119" t="str">
            <v>3305143101770001</v>
          </cell>
          <cell r="F119" t="str">
            <v>PENGEMPON RT 03/RW 04</v>
          </cell>
          <cell r="G119" t="str">
            <v>Tidak Layak</v>
          </cell>
          <cell r="H119" t="str">
            <v>Tidak Layak</v>
          </cell>
          <cell r="I119" t="str">
            <v>Tidak Layak</v>
          </cell>
          <cell r="J119">
            <v>0</v>
          </cell>
          <cell r="K119">
            <v>0</v>
          </cell>
          <cell r="L119" t="str">
            <v>√</v>
          </cell>
          <cell r="M119">
            <v>3</v>
          </cell>
          <cell r="N119" t="str">
            <v>√</v>
          </cell>
          <cell r="O119">
            <v>0</v>
          </cell>
          <cell r="P119">
            <v>0</v>
          </cell>
          <cell r="Q119" t="str">
            <v>PK</v>
          </cell>
          <cell r="R119" t="str">
            <v>√</v>
          </cell>
          <cell r="S119">
            <v>0</v>
          </cell>
          <cell r="T119">
            <v>0</v>
          </cell>
        </row>
        <row r="120">
          <cell r="A120">
            <v>0</v>
          </cell>
          <cell r="B120">
            <v>0</v>
          </cell>
          <cell r="C120" t="str">
            <v>OK</v>
          </cell>
          <cell r="D120" t="str">
            <v>OK</v>
          </cell>
          <cell r="E120" t="str">
            <v>OK</v>
          </cell>
          <cell r="F120" t="str">
            <v>OK</v>
          </cell>
          <cell r="G120" t="str">
            <v>OK</v>
          </cell>
          <cell r="H120" t="str">
            <v>OK</v>
          </cell>
          <cell r="I120" t="str">
            <v>OK</v>
          </cell>
          <cell r="J120">
            <v>0</v>
          </cell>
          <cell r="K120">
            <v>0</v>
          </cell>
          <cell r="L120" t="str">
            <v>√</v>
          </cell>
          <cell r="M120">
            <v>3</v>
          </cell>
          <cell r="N120" t="str">
            <v>√</v>
          </cell>
          <cell r="O120">
            <v>0</v>
          </cell>
          <cell r="P120">
            <v>0</v>
          </cell>
          <cell r="Q120">
            <v>0</v>
          </cell>
          <cell r="R120">
            <v>0</v>
          </cell>
          <cell r="S120">
            <v>0</v>
          </cell>
          <cell r="T120">
            <v>0</v>
          </cell>
        </row>
        <row r="121">
          <cell r="A121">
            <v>55</v>
          </cell>
          <cell r="B121">
            <v>55</v>
          </cell>
          <cell r="C121" t="str">
            <v>SAKUN</v>
          </cell>
          <cell r="D121" t="str">
            <v>L</v>
          </cell>
          <cell r="E121" t="str">
            <v>3305142012600003</v>
          </cell>
          <cell r="F121" t="str">
            <v>PENGEMPON RT 03/RW 04</v>
          </cell>
          <cell r="G121" t="str">
            <v>Tidak Layak</v>
          </cell>
          <cell r="H121" t="str">
            <v>Tidak Layak</v>
          </cell>
          <cell r="I121" t="str">
            <v>Tidak Layak</v>
          </cell>
          <cell r="J121">
            <v>0</v>
          </cell>
          <cell r="K121">
            <v>0</v>
          </cell>
          <cell r="L121" t="str">
            <v>√</v>
          </cell>
          <cell r="M121">
            <v>3</v>
          </cell>
          <cell r="N121" t="str">
            <v>√</v>
          </cell>
          <cell r="O121">
            <v>0</v>
          </cell>
          <cell r="P121">
            <v>0</v>
          </cell>
          <cell r="Q121" t="str">
            <v>PK</v>
          </cell>
          <cell r="R121" t="str">
            <v>√</v>
          </cell>
          <cell r="S121">
            <v>0</v>
          </cell>
          <cell r="T121">
            <v>0</v>
          </cell>
        </row>
        <row r="122">
          <cell r="A122">
            <v>0</v>
          </cell>
          <cell r="B122">
            <v>0</v>
          </cell>
          <cell r="C122" t="str">
            <v>OK</v>
          </cell>
          <cell r="D122" t="str">
            <v>OK</v>
          </cell>
          <cell r="E122" t="str">
            <v>OK</v>
          </cell>
          <cell r="F122" t="str">
            <v>OK</v>
          </cell>
          <cell r="G122" t="str">
            <v>OK</v>
          </cell>
          <cell r="H122" t="str">
            <v>OK</v>
          </cell>
          <cell r="I122" t="str">
            <v>OK</v>
          </cell>
          <cell r="J122">
            <v>0</v>
          </cell>
          <cell r="K122">
            <v>0</v>
          </cell>
          <cell r="L122" t="str">
            <v>√</v>
          </cell>
          <cell r="M122">
            <v>3</v>
          </cell>
          <cell r="N122" t="str">
            <v>√</v>
          </cell>
          <cell r="O122">
            <v>0</v>
          </cell>
          <cell r="P122">
            <v>0</v>
          </cell>
          <cell r="Q122">
            <v>0</v>
          </cell>
          <cell r="R122">
            <v>0</v>
          </cell>
          <cell r="S122">
            <v>0</v>
          </cell>
          <cell r="T122">
            <v>0</v>
          </cell>
        </row>
        <row r="123">
          <cell r="A123">
            <v>56</v>
          </cell>
          <cell r="B123">
            <v>56</v>
          </cell>
          <cell r="C123" t="str">
            <v>KASMAN</v>
          </cell>
          <cell r="D123" t="str">
            <v>L</v>
          </cell>
          <cell r="E123" t="str">
            <v>3305143112320007</v>
          </cell>
          <cell r="F123" t="str">
            <v>PENGEMPON RT 03/RW 04</v>
          </cell>
          <cell r="G123" t="str">
            <v>Tidak Layak</v>
          </cell>
          <cell r="H123" t="str">
            <v>Tidak Layak</v>
          </cell>
          <cell r="I123" t="str">
            <v>Tidak Layak</v>
          </cell>
          <cell r="J123">
            <v>0</v>
          </cell>
          <cell r="K123">
            <v>0</v>
          </cell>
          <cell r="L123" t="str">
            <v>√</v>
          </cell>
          <cell r="M123">
            <v>3</v>
          </cell>
          <cell r="N123" t="str">
            <v>√</v>
          </cell>
          <cell r="O123">
            <v>0</v>
          </cell>
          <cell r="P123">
            <v>0</v>
          </cell>
          <cell r="Q123" t="str">
            <v>PK</v>
          </cell>
          <cell r="R123" t="str">
            <v>√</v>
          </cell>
          <cell r="S123">
            <v>0</v>
          </cell>
          <cell r="T123">
            <v>0</v>
          </cell>
        </row>
        <row r="124">
          <cell r="A124">
            <v>0</v>
          </cell>
          <cell r="B124">
            <v>0</v>
          </cell>
          <cell r="C124" t="str">
            <v>OK</v>
          </cell>
          <cell r="D124" t="str">
            <v>OK</v>
          </cell>
          <cell r="E124" t="str">
            <v>OK</v>
          </cell>
          <cell r="F124" t="str">
            <v>OK</v>
          </cell>
          <cell r="G124" t="str">
            <v>OK</v>
          </cell>
          <cell r="H124" t="str">
            <v>OK</v>
          </cell>
          <cell r="I124" t="str">
            <v>OK</v>
          </cell>
          <cell r="J124">
            <v>0</v>
          </cell>
          <cell r="K124">
            <v>0</v>
          </cell>
          <cell r="L124" t="str">
            <v>√</v>
          </cell>
          <cell r="M124">
            <v>3</v>
          </cell>
          <cell r="N124" t="str">
            <v>√</v>
          </cell>
          <cell r="O124">
            <v>0</v>
          </cell>
          <cell r="P124">
            <v>0</v>
          </cell>
          <cell r="Q124">
            <v>0</v>
          </cell>
          <cell r="R124">
            <v>0</v>
          </cell>
          <cell r="S124">
            <v>0</v>
          </cell>
          <cell r="T124">
            <v>0</v>
          </cell>
        </row>
        <row r="125">
          <cell r="A125">
            <v>57</v>
          </cell>
          <cell r="B125">
            <v>57</v>
          </cell>
          <cell r="C125" t="str">
            <v>KHAMIDI</v>
          </cell>
          <cell r="D125" t="str">
            <v>L</v>
          </cell>
          <cell r="E125" t="str">
            <v>3305142210570001</v>
          </cell>
          <cell r="F125" t="str">
            <v>PENGEMPON RT 03/RW 04</v>
          </cell>
          <cell r="G125" t="str">
            <v>Tidak Layak</v>
          </cell>
          <cell r="H125" t="str">
            <v>Tidak Layak</v>
          </cell>
          <cell r="I125" t="str">
            <v>Tidak Layak</v>
          </cell>
          <cell r="J125">
            <v>0</v>
          </cell>
          <cell r="K125">
            <v>0</v>
          </cell>
          <cell r="L125" t="str">
            <v>√</v>
          </cell>
          <cell r="M125">
            <v>3</v>
          </cell>
          <cell r="N125" t="str">
            <v>√</v>
          </cell>
          <cell r="O125">
            <v>0</v>
          </cell>
          <cell r="P125">
            <v>0</v>
          </cell>
          <cell r="Q125" t="str">
            <v>PK</v>
          </cell>
          <cell r="R125" t="str">
            <v>√</v>
          </cell>
          <cell r="S125">
            <v>0</v>
          </cell>
          <cell r="T125">
            <v>0</v>
          </cell>
        </row>
        <row r="126">
          <cell r="A126">
            <v>0</v>
          </cell>
          <cell r="B126">
            <v>0</v>
          </cell>
          <cell r="C126" t="str">
            <v>OK</v>
          </cell>
          <cell r="D126" t="str">
            <v>OK</v>
          </cell>
          <cell r="E126" t="str">
            <v>OK</v>
          </cell>
          <cell r="F126" t="str">
            <v>OK</v>
          </cell>
          <cell r="G126" t="str">
            <v>OK</v>
          </cell>
          <cell r="H126" t="str">
            <v>OK</v>
          </cell>
          <cell r="I126" t="str">
            <v>OK</v>
          </cell>
          <cell r="J126">
            <v>0</v>
          </cell>
          <cell r="K126">
            <v>0</v>
          </cell>
          <cell r="L126" t="str">
            <v>√</v>
          </cell>
          <cell r="M126">
            <v>3</v>
          </cell>
          <cell r="N126" t="str">
            <v>√</v>
          </cell>
          <cell r="O126">
            <v>0</v>
          </cell>
          <cell r="P126">
            <v>0</v>
          </cell>
          <cell r="Q126">
            <v>0</v>
          </cell>
          <cell r="R126">
            <v>0</v>
          </cell>
          <cell r="S126">
            <v>0</v>
          </cell>
          <cell r="T126">
            <v>0</v>
          </cell>
        </row>
        <row r="127">
          <cell r="A127">
            <v>58</v>
          </cell>
          <cell r="B127">
            <v>58</v>
          </cell>
          <cell r="C127" t="str">
            <v>PARIMI</v>
          </cell>
          <cell r="D127" t="str">
            <v>P</v>
          </cell>
          <cell r="E127" t="str">
            <v>3305144512650002</v>
          </cell>
          <cell r="F127" t="str">
            <v>PENGEMPON RT 03/RW 04</v>
          </cell>
          <cell r="G127" t="str">
            <v>Tidak Layak</v>
          </cell>
          <cell r="H127" t="str">
            <v>Tidak Layak</v>
          </cell>
          <cell r="I127" t="str">
            <v>Tidak Layak</v>
          </cell>
          <cell r="J127">
            <v>0</v>
          </cell>
          <cell r="K127">
            <v>0</v>
          </cell>
          <cell r="L127" t="str">
            <v>√</v>
          </cell>
          <cell r="M127">
            <v>3</v>
          </cell>
          <cell r="N127" t="str">
            <v>√</v>
          </cell>
          <cell r="O127">
            <v>0</v>
          </cell>
          <cell r="P127">
            <v>0</v>
          </cell>
          <cell r="Q127" t="str">
            <v>PK</v>
          </cell>
          <cell r="R127" t="str">
            <v>√</v>
          </cell>
          <cell r="S127">
            <v>0</v>
          </cell>
          <cell r="T127">
            <v>0</v>
          </cell>
        </row>
        <row r="128">
          <cell r="A128">
            <v>0</v>
          </cell>
          <cell r="B128">
            <v>0</v>
          </cell>
          <cell r="C128" t="str">
            <v>OK</v>
          </cell>
          <cell r="D128" t="str">
            <v>OK</v>
          </cell>
          <cell r="E128" t="str">
            <v>OK</v>
          </cell>
          <cell r="F128" t="str">
            <v>OK</v>
          </cell>
          <cell r="G128" t="str">
            <v>OK</v>
          </cell>
          <cell r="H128" t="str">
            <v>OK</v>
          </cell>
          <cell r="I128" t="str">
            <v>OK</v>
          </cell>
          <cell r="J128">
            <v>0</v>
          </cell>
          <cell r="K128">
            <v>0</v>
          </cell>
          <cell r="L128" t="str">
            <v>√</v>
          </cell>
          <cell r="M128">
            <v>3</v>
          </cell>
          <cell r="N128" t="str">
            <v>√</v>
          </cell>
          <cell r="O128">
            <v>0</v>
          </cell>
          <cell r="P128">
            <v>0</v>
          </cell>
          <cell r="Q128">
            <v>0</v>
          </cell>
          <cell r="R128">
            <v>0</v>
          </cell>
          <cell r="S128">
            <v>0</v>
          </cell>
          <cell r="T128">
            <v>0</v>
          </cell>
        </row>
        <row r="129">
          <cell r="A129">
            <v>59</v>
          </cell>
          <cell r="B129">
            <v>59</v>
          </cell>
          <cell r="C129" t="str">
            <v>SARKINAH</v>
          </cell>
          <cell r="D129" t="str">
            <v>P</v>
          </cell>
          <cell r="E129" t="str">
            <v>3305146304420001</v>
          </cell>
          <cell r="F129" t="str">
            <v>PENGEMPON RT 03/RW 04</v>
          </cell>
          <cell r="G129" t="str">
            <v>Tidak Layak</v>
          </cell>
          <cell r="H129" t="str">
            <v>Tidak Layak</v>
          </cell>
          <cell r="I129" t="str">
            <v>Tidak Layak</v>
          </cell>
          <cell r="J129">
            <v>0</v>
          </cell>
          <cell r="K129">
            <v>0</v>
          </cell>
          <cell r="L129" t="str">
            <v>√</v>
          </cell>
          <cell r="M129">
            <v>3</v>
          </cell>
          <cell r="N129" t="str">
            <v>√</v>
          </cell>
          <cell r="O129">
            <v>0</v>
          </cell>
          <cell r="P129">
            <v>0</v>
          </cell>
          <cell r="Q129" t="str">
            <v>PK</v>
          </cell>
          <cell r="R129" t="str">
            <v>√</v>
          </cell>
          <cell r="S129">
            <v>0</v>
          </cell>
          <cell r="T129">
            <v>0</v>
          </cell>
        </row>
        <row r="130">
          <cell r="A130">
            <v>0</v>
          </cell>
          <cell r="B130">
            <v>0</v>
          </cell>
          <cell r="C130" t="str">
            <v>OK</v>
          </cell>
          <cell r="D130" t="str">
            <v>OK</v>
          </cell>
          <cell r="E130" t="str">
            <v>OK</v>
          </cell>
          <cell r="F130" t="str">
            <v>OK</v>
          </cell>
          <cell r="G130" t="str">
            <v>OK</v>
          </cell>
          <cell r="H130" t="str">
            <v>OK</v>
          </cell>
          <cell r="I130" t="str">
            <v>OK</v>
          </cell>
          <cell r="J130">
            <v>0</v>
          </cell>
          <cell r="K130">
            <v>0</v>
          </cell>
          <cell r="L130" t="str">
            <v>√</v>
          </cell>
          <cell r="M130">
            <v>3</v>
          </cell>
          <cell r="N130" t="str">
            <v>√</v>
          </cell>
          <cell r="O130">
            <v>0</v>
          </cell>
          <cell r="P130">
            <v>0</v>
          </cell>
          <cell r="Q130">
            <v>0</v>
          </cell>
          <cell r="R130">
            <v>0</v>
          </cell>
          <cell r="S130">
            <v>0</v>
          </cell>
          <cell r="T130">
            <v>0</v>
          </cell>
        </row>
        <row r="131">
          <cell r="A131">
            <v>60</v>
          </cell>
          <cell r="B131">
            <v>60</v>
          </cell>
          <cell r="C131" t="str">
            <v>TARSAN</v>
          </cell>
          <cell r="D131" t="str">
            <v>L</v>
          </cell>
          <cell r="E131" t="str">
            <v>3305140206440002</v>
          </cell>
          <cell r="F131" t="str">
            <v>PENGEMPON RT 03/RW 04</v>
          </cell>
          <cell r="G131" t="str">
            <v>Tidak Layak</v>
          </cell>
          <cell r="H131" t="str">
            <v>Tidak Layak</v>
          </cell>
          <cell r="I131" t="str">
            <v>Tidak Layak</v>
          </cell>
          <cell r="J131">
            <v>0</v>
          </cell>
          <cell r="K131">
            <v>0</v>
          </cell>
          <cell r="L131" t="str">
            <v>√</v>
          </cell>
          <cell r="M131">
            <v>3</v>
          </cell>
          <cell r="N131" t="str">
            <v>√</v>
          </cell>
          <cell r="O131">
            <v>0</v>
          </cell>
          <cell r="P131">
            <v>0</v>
          </cell>
          <cell r="Q131" t="str">
            <v>PK</v>
          </cell>
          <cell r="R131" t="str">
            <v>√</v>
          </cell>
          <cell r="S131">
            <v>0</v>
          </cell>
          <cell r="T131">
            <v>0</v>
          </cell>
        </row>
        <row r="132">
          <cell r="A132">
            <v>0</v>
          </cell>
          <cell r="B132">
            <v>0</v>
          </cell>
          <cell r="C132" t="str">
            <v>OK</v>
          </cell>
          <cell r="D132" t="str">
            <v>OK</v>
          </cell>
          <cell r="E132" t="str">
            <v>OK</v>
          </cell>
          <cell r="F132" t="str">
            <v>OK</v>
          </cell>
          <cell r="G132" t="str">
            <v>OK</v>
          </cell>
          <cell r="H132" t="str">
            <v>OK</v>
          </cell>
          <cell r="I132" t="str">
            <v>OK</v>
          </cell>
          <cell r="J132">
            <v>0</v>
          </cell>
          <cell r="K132">
            <v>0</v>
          </cell>
          <cell r="L132" t="str">
            <v>√</v>
          </cell>
          <cell r="M132">
            <v>3</v>
          </cell>
          <cell r="N132" t="str">
            <v>√</v>
          </cell>
          <cell r="O132">
            <v>0</v>
          </cell>
          <cell r="P132">
            <v>0</v>
          </cell>
          <cell r="Q132">
            <v>0</v>
          </cell>
          <cell r="R132">
            <v>0</v>
          </cell>
          <cell r="S132">
            <v>0</v>
          </cell>
          <cell r="T132">
            <v>0</v>
          </cell>
        </row>
        <row r="133">
          <cell r="A133">
            <v>61</v>
          </cell>
          <cell r="B133">
            <v>61</v>
          </cell>
          <cell r="C133" t="str">
            <v xml:space="preserve">SAMIRAH </v>
          </cell>
          <cell r="D133" t="str">
            <v>P</v>
          </cell>
          <cell r="E133" t="str">
            <v>3305146705470002</v>
          </cell>
          <cell r="F133" t="str">
            <v>PENGEMPON RT 03/RW 04</v>
          </cell>
          <cell r="G133" t="str">
            <v>Tidak Layak</v>
          </cell>
          <cell r="H133" t="str">
            <v>Tidak Layak</v>
          </cell>
          <cell r="I133" t="str">
            <v>Tidak Layak</v>
          </cell>
          <cell r="J133">
            <v>0</v>
          </cell>
          <cell r="K133">
            <v>0</v>
          </cell>
          <cell r="L133" t="str">
            <v>√</v>
          </cell>
          <cell r="M133">
            <v>3</v>
          </cell>
          <cell r="N133" t="str">
            <v>√</v>
          </cell>
          <cell r="O133">
            <v>0</v>
          </cell>
          <cell r="P133">
            <v>0</v>
          </cell>
          <cell r="Q133" t="str">
            <v>PK</v>
          </cell>
          <cell r="R133" t="str">
            <v>√</v>
          </cell>
          <cell r="S133">
            <v>0</v>
          </cell>
          <cell r="T133">
            <v>0</v>
          </cell>
        </row>
        <row r="134">
          <cell r="A134">
            <v>0</v>
          </cell>
          <cell r="B134">
            <v>0</v>
          </cell>
          <cell r="C134" t="str">
            <v>OK</v>
          </cell>
          <cell r="D134" t="str">
            <v>OK</v>
          </cell>
          <cell r="E134" t="str">
            <v>OK</v>
          </cell>
          <cell r="F134" t="str">
            <v>OK</v>
          </cell>
          <cell r="G134" t="str">
            <v>OK</v>
          </cell>
          <cell r="H134" t="str">
            <v>OK</v>
          </cell>
          <cell r="I134" t="str">
            <v>OK</v>
          </cell>
          <cell r="J134">
            <v>0</v>
          </cell>
          <cell r="K134">
            <v>0</v>
          </cell>
          <cell r="L134" t="str">
            <v>√</v>
          </cell>
          <cell r="M134">
            <v>3</v>
          </cell>
          <cell r="N134" t="str">
            <v>√</v>
          </cell>
          <cell r="O134">
            <v>0</v>
          </cell>
          <cell r="P134">
            <v>0</v>
          </cell>
          <cell r="Q134">
            <v>0</v>
          </cell>
          <cell r="R134">
            <v>0</v>
          </cell>
          <cell r="S134">
            <v>0</v>
          </cell>
          <cell r="T134">
            <v>0</v>
          </cell>
        </row>
        <row r="135">
          <cell r="A135">
            <v>62</v>
          </cell>
          <cell r="B135">
            <v>62</v>
          </cell>
          <cell r="C135" t="str">
            <v>AHMAD IHSAN</v>
          </cell>
          <cell r="D135" t="str">
            <v>L</v>
          </cell>
          <cell r="E135" t="str">
            <v>3305141611840001</v>
          </cell>
          <cell r="F135" t="str">
            <v>PENGEMPON RT 03/RW 04</v>
          </cell>
          <cell r="G135" t="str">
            <v>Tidak Layak</v>
          </cell>
          <cell r="H135" t="str">
            <v>Tidak Layak</v>
          </cell>
          <cell r="I135" t="str">
            <v>Tidak Layak</v>
          </cell>
          <cell r="J135">
            <v>0</v>
          </cell>
          <cell r="K135">
            <v>0</v>
          </cell>
          <cell r="L135" t="str">
            <v>√</v>
          </cell>
          <cell r="M135">
            <v>3</v>
          </cell>
          <cell r="N135" t="str">
            <v>√</v>
          </cell>
          <cell r="O135">
            <v>0</v>
          </cell>
          <cell r="P135">
            <v>0</v>
          </cell>
          <cell r="Q135" t="str">
            <v>PK</v>
          </cell>
          <cell r="R135" t="str">
            <v>√</v>
          </cell>
          <cell r="S135">
            <v>0</v>
          </cell>
          <cell r="T135">
            <v>0</v>
          </cell>
        </row>
        <row r="136">
          <cell r="A136">
            <v>0</v>
          </cell>
          <cell r="B136">
            <v>0</v>
          </cell>
          <cell r="C136" t="str">
            <v>OK</v>
          </cell>
          <cell r="D136" t="str">
            <v>OK</v>
          </cell>
          <cell r="E136" t="str">
            <v>OK</v>
          </cell>
          <cell r="F136" t="str">
            <v>OK</v>
          </cell>
          <cell r="G136" t="str">
            <v>OK</v>
          </cell>
          <cell r="H136" t="str">
            <v>OK</v>
          </cell>
          <cell r="I136" t="str">
            <v>OK</v>
          </cell>
          <cell r="J136">
            <v>0</v>
          </cell>
          <cell r="K136">
            <v>0</v>
          </cell>
          <cell r="L136" t="str">
            <v>√</v>
          </cell>
          <cell r="M136">
            <v>3</v>
          </cell>
          <cell r="N136" t="str">
            <v>√</v>
          </cell>
          <cell r="O136">
            <v>0</v>
          </cell>
          <cell r="P136">
            <v>0</v>
          </cell>
          <cell r="Q136">
            <v>0</v>
          </cell>
          <cell r="R136">
            <v>0</v>
          </cell>
          <cell r="S136">
            <v>0</v>
          </cell>
          <cell r="T136">
            <v>0</v>
          </cell>
        </row>
        <row r="137">
          <cell r="A137">
            <v>63</v>
          </cell>
          <cell r="B137">
            <v>63</v>
          </cell>
          <cell r="C137" t="str">
            <v>MAHMUDIN</v>
          </cell>
          <cell r="D137" t="str">
            <v>L</v>
          </cell>
          <cell r="E137" t="str">
            <v>3305141205750002</v>
          </cell>
          <cell r="F137" t="str">
            <v>PENGEMPON RT 03/RW 04</v>
          </cell>
          <cell r="G137" t="str">
            <v>Tidak Layak</v>
          </cell>
          <cell r="H137" t="str">
            <v>Tidak Layak</v>
          </cell>
          <cell r="I137" t="str">
            <v>Tidak Layak</v>
          </cell>
          <cell r="J137">
            <v>0</v>
          </cell>
          <cell r="K137">
            <v>0</v>
          </cell>
          <cell r="L137" t="str">
            <v>√</v>
          </cell>
          <cell r="M137">
            <v>3</v>
          </cell>
          <cell r="N137" t="str">
            <v>√</v>
          </cell>
          <cell r="O137">
            <v>0</v>
          </cell>
          <cell r="P137">
            <v>0</v>
          </cell>
          <cell r="Q137" t="str">
            <v>PK</v>
          </cell>
          <cell r="R137" t="str">
            <v>√</v>
          </cell>
          <cell r="S137">
            <v>0</v>
          </cell>
          <cell r="T137">
            <v>0</v>
          </cell>
        </row>
        <row r="138">
          <cell r="A138">
            <v>0</v>
          </cell>
          <cell r="B138">
            <v>0</v>
          </cell>
          <cell r="C138" t="str">
            <v>OK</v>
          </cell>
          <cell r="D138" t="str">
            <v>OK</v>
          </cell>
          <cell r="E138" t="str">
            <v>OK</v>
          </cell>
          <cell r="F138" t="str">
            <v>OK</v>
          </cell>
          <cell r="G138" t="str">
            <v>OK</v>
          </cell>
          <cell r="H138" t="str">
            <v>OK</v>
          </cell>
          <cell r="I138" t="str">
            <v>OK</v>
          </cell>
          <cell r="J138">
            <v>0</v>
          </cell>
          <cell r="K138">
            <v>0</v>
          </cell>
          <cell r="L138" t="str">
            <v>√</v>
          </cell>
          <cell r="M138">
            <v>3</v>
          </cell>
          <cell r="N138" t="str">
            <v>√</v>
          </cell>
          <cell r="O138">
            <v>0</v>
          </cell>
          <cell r="P138">
            <v>0</v>
          </cell>
          <cell r="Q138">
            <v>0</v>
          </cell>
          <cell r="R138">
            <v>0</v>
          </cell>
          <cell r="S138">
            <v>0</v>
          </cell>
          <cell r="T138">
            <v>0</v>
          </cell>
        </row>
        <row r="139">
          <cell r="A139">
            <v>64</v>
          </cell>
          <cell r="B139">
            <v>64</v>
          </cell>
          <cell r="C139" t="str">
            <v>SALIMIN</v>
          </cell>
          <cell r="D139" t="str">
            <v>L</v>
          </cell>
          <cell r="E139" t="str">
            <v>3305143112600002</v>
          </cell>
          <cell r="F139" t="str">
            <v>PENGEMPON RT 03/RW 04</v>
          </cell>
          <cell r="G139" t="str">
            <v>Tidak Layak</v>
          </cell>
          <cell r="H139" t="str">
            <v>Tidak Layak</v>
          </cell>
          <cell r="I139" t="str">
            <v>Tidak Layak</v>
          </cell>
          <cell r="J139">
            <v>0</v>
          </cell>
          <cell r="K139">
            <v>0</v>
          </cell>
          <cell r="L139" t="str">
            <v>√</v>
          </cell>
          <cell r="M139">
            <v>3</v>
          </cell>
          <cell r="N139" t="str">
            <v>√</v>
          </cell>
          <cell r="O139">
            <v>0</v>
          </cell>
          <cell r="P139">
            <v>0</v>
          </cell>
          <cell r="Q139" t="str">
            <v>PK</v>
          </cell>
          <cell r="R139" t="str">
            <v>√</v>
          </cell>
          <cell r="S139">
            <v>0</v>
          </cell>
          <cell r="T139">
            <v>0</v>
          </cell>
        </row>
        <row r="140">
          <cell r="A140">
            <v>0</v>
          </cell>
          <cell r="B140">
            <v>0</v>
          </cell>
          <cell r="C140" t="str">
            <v>OK</v>
          </cell>
          <cell r="D140" t="str">
            <v>OK</v>
          </cell>
          <cell r="E140" t="str">
            <v>OK</v>
          </cell>
          <cell r="F140" t="str">
            <v>OK</v>
          </cell>
          <cell r="G140" t="str">
            <v>OK</v>
          </cell>
          <cell r="H140" t="str">
            <v>OK</v>
          </cell>
          <cell r="I140" t="str">
            <v>OK</v>
          </cell>
          <cell r="J140">
            <v>0</v>
          </cell>
          <cell r="K140">
            <v>0</v>
          </cell>
          <cell r="L140" t="str">
            <v>√</v>
          </cell>
          <cell r="M140">
            <v>3</v>
          </cell>
          <cell r="N140" t="str">
            <v>√</v>
          </cell>
          <cell r="O140">
            <v>0</v>
          </cell>
          <cell r="P140">
            <v>0</v>
          </cell>
          <cell r="Q140">
            <v>0</v>
          </cell>
          <cell r="R140">
            <v>0</v>
          </cell>
          <cell r="S140">
            <v>0</v>
          </cell>
          <cell r="T140">
            <v>0</v>
          </cell>
        </row>
        <row r="141">
          <cell r="A141">
            <v>65</v>
          </cell>
          <cell r="B141">
            <v>65</v>
          </cell>
          <cell r="C141" t="str">
            <v>NUR FATIMAH AZAHRA</v>
          </cell>
          <cell r="D141" t="str">
            <v>P</v>
          </cell>
          <cell r="E141" t="str">
            <v>3305145302880004</v>
          </cell>
          <cell r="F141" t="str">
            <v>PENGEMPON RT 03/RW 04</v>
          </cell>
          <cell r="G141" t="str">
            <v>Tidak Layak</v>
          </cell>
          <cell r="H141" t="str">
            <v>Tidak Layak</v>
          </cell>
          <cell r="I141" t="str">
            <v>Tidak Layak</v>
          </cell>
          <cell r="J141">
            <v>0</v>
          </cell>
          <cell r="K141">
            <v>0</v>
          </cell>
          <cell r="L141" t="str">
            <v>√</v>
          </cell>
          <cell r="M141">
            <v>3</v>
          </cell>
          <cell r="N141" t="str">
            <v>√</v>
          </cell>
          <cell r="O141">
            <v>0</v>
          </cell>
          <cell r="P141">
            <v>0</v>
          </cell>
          <cell r="Q141" t="str">
            <v>PK</v>
          </cell>
          <cell r="R141" t="str">
            <v>√</v>
          </cell>
          <cell r="S141">
            <v>0</v>
          </cell>
          <cell r="T141">
            <v>0</v>
          </cell>
        </row>
        <row r="142">
          <cell r="A142">
            <v>0</v>
          </cell>
          <cell r="B142">
            <v>0</v>
          </cell>
          <cell r="C142" t="str">
            <v>OK</v>
          </cell>
          <cell r="D142" t="str">
            <v>OK</v>
          </cell>
          <cell r="E142" t="str">
            <v>OK</v>
          </cell>
          <cell r="F142" t="str">
            <v>OK</v>
          </cell>
          <cell r="G142" t="str">
            <v>OK</v>
          </cell>
          <cell r="H142" t="str">
            <v>OK</v>
          </cell>
          <cell r="I142" t="str">
            <v>OK</v>
          </cell>
          <cell r="J142">
            <v>0</v>
          </cell>
          <cell r="K142">
            <v>0</v>
          </cell>
          <cell r="L142" t="str">
            <v>√</v>
          </cell>
          <cell r="M142">
            <v>3</v>
          </cell>
          <cell r="N142" t="str">
            <v>√</v>
          </cell>
          <cell r="O142">
            <v>0</v>
          </cell>
          <cell r="P142">
            <v>0</v>
          </cell>
          <cell r="Q142">
            <v>0</v>
          </cell>
          <cell r="R142">
            <v>0</v>
          </cell>
          <cell r="S142">
            <v>0</v>
          </cell>
          <cell r="T142">
            <v>0</v>
          </cell>
        </row>
        <row r="143">
          <cell r="A143">
            <v>66</v>
          </cell>
          <cell r="B143">
            <v>66</v>
          </cell>
          <cell r="C143" t="str">
            <v>SUNARTO</v>
          </cell>
          <cell r="D143" t="str">
            <v>L</v>
          </cell>
          <cell r="E143" t="str">
            <v>3305143112650016</v>
          </cell>
          <cell r="F143" t="str">
            <v>PENGEMPON RT 03/RW 04</v>
          </cell>
          <cell r="G143" t="str">
            <v>Tidak Layak</v>
          </cell>
          <cell r="H143" t="str">
            <v>Tidak Layak</v>
          </cell>
          <cell r="I143" t="str">
            <v>Tidak Layak</v>
          </cell>
          <cell r="J143">
            <v>0</v>
          </cell>
          <cell r="K143">
            <v>0</v>
          </cell>
          <cell r="L143" t="str">
            <v>√</v>
          </cell>
          <cell r="M143">
            <v>3</v>
          </cell>
          <cell r="N143" t="str">
            <v>√</v>
          </cell>
          <cell r="O143">
            <v>0</v>
          </cell>
          <cell r="P143">
            <v>0</v>
          </cell>
          <cell r="Q143" t="str">
            <v>PK</v>
          </cell>
          <cell r="R143" t="str">
            <v>√</v>
          </cell>
          <cell r="S143">
            <v>0</v>
          </cell>
          <cell r="T143">
            <v>0</v>
          </cell>
        </row>
        <row r="144">
          <cell r="A144">
            <v>0</v>
          </cell>
          <cell r="B144">
            <v>0</v>
          </cell>
          <cell r="C144" t="str">
            <v>OK</v>
          </cell>
          <cell r="D144" t="str">
            <v>OK</v>
          </cell>
          <cell r="E144" t="str">
            <v>OK</v>
          </cell>
          <cell r="F144" t="str">
            <v>OK</v>
          </cell>
          <cell r="G144" t="str">
            <v>OK</v>
          </cell>
          <cell r="H144" t="str">
            <v>OK</v>
          </cell>
          <cell r="I144" t="str">
            <v>OK</v>
          </cell>
          <cell r="J144">
            <v>0</v>
          </cell>
          <cell r="K144">
            <v>0</v>
          </cell>
          <cell r="L144" t="str">
            <v>√</v>
          </cell>
          <cell r="M144">
            <v>3</v>
          </cell>
          <cell r="N144" t="str">
            <v>√</v>
          </cell>
          <cell r="O144">
            <v>0</v>
          </cell>
          <cell r="P144">
            <v>0</v>
          </cell>
          <cell r="Q144">
            <v>0</v>
          </cell>
          <cell r="R144">
            <v>0</v>
          </cell>
          <cell r="S144">
            <v>0</v>
          </cell>
          <cell r="T144">
            <v>0</v>
          </cell>
        </row>
        <row r="145">
          <cell r="A145">
            <v>67</v>
          </cell>
          <cell r="B145">
            <v>67</v>
          </cell>
          <cell r="C145" t="str">
            <v>DULSALAM</v>
          </cell>
          <cell r="D145" t="str">
            <v>L</v>
          </cell>
          <cell r="E145" t="str">
            <v>3305143011270002</v>
          </cell>
          <cell r="F145" t="str">
            <v>PENGEMPON RT 03/RW 04</v>
          </cell>
          <cell r="G145" t="str">
            <v>Tidak Layak</v>
          </cell>
          <cell r="H145" t="str">
            <v>Tidak Layak</v>
          </cell>
          <cell r="I145" t="str">
            <v>Tidak Layak</v>
          </cell>
          <cell r="J145">
            <v>0</v>
          </cell>
          <cell r="K145">
            <v>0</v>
          </cell>
          <cell r="L145" t="str">
            <v>√</v>
          </cell>
          <cell r="M145">
            <v>3</v>
          </cell>
          <cell r="N145" t="str">
            <v>√</v>
          </cell>
          <cell r="O145">
            <v>0</v>
          </cell>
          <cell r="P145">
            <v>0</v>
          </cell>
          <cell r="Q145" t="str">
            <v>PK</v>
          </cell>
          <cell r="R145" t="str">
            <v>√</v>
          </cell>
          <cell r="S145">
            <v>0</v>
          </cell>
          <cell r="T145">
            <v>0</v>
          </cell>
        </row>
        <row r="146">
          <cell r="A146">
            <v>0</v>
          </cell>
          <cell r="B146">
            <v>0</v>
          </cell>
          <cell r="C146" t="str">
            <v>OK</v>
          </cell>
          <cell r="D146" t="str">
            <v>OK</v>
          </cell>
          <cell r="E146" t="str">
            <v>OK</v>
          </cell>
          <cell r="F146" t="str">
            <v>OK</v>
          </cell>
          <cell r="G146" t="str">
            <v>OK</v>
          </cell>
          <cell r="H146" t="str">
            <v>OK</v>
          </cell>
          <cell r="I146" t="str">
            <v>OK</v>
          </cell>
          <cell r="J146">
            <v>0</v>
          </cell>
          <cell r="K146">
            <v>0</v>
          </cell>
          <cell r="L146" t="str">
            <v>√</v>
          </cell>
          <cell r="M146">
            <v>3</v>
          </cell>
          <cell r="N146" t="str">
            <v>√</v>
          </cell>
          <cell r="O146">
            <v>0</v>
          </cell>
          <cell r="P146">
            <v>0</v>
          </cell>
          <cell r="Q146">
            <v>0</v>
          </cell>
          <cell r="R146">
            <v>0</v>
          </cell>
          <cell r="S146">
            <v>0</v>
          </cell>
          <cell r="T146">
            <v>0</v>
          </cell>
        </row>
        <row r="147">
          <cell r="A147">
            <v>68</v>
          </cell>
          <cell r="B147">
            <v>68</v>
          </cell>
          <cell r="C147" t="str">
            <v xml:space="preserve">S0DIKIN </v>
          </cell>
          <cell r="D147" t="str">
            <v>L</v>
          </cell>
          <cell r="E147" t="str">
            <v>3305142105840003</v>
          </cell>
          <cell r="F147" t="str">
            <v>PENGEMPON RT 03/RW 04</v>
          </cell>
          <cell r="G147" t="str">
            <v>Tidak Layak</v>
          </cell>
          <cell r="H147" t="str">
            <v>Tidak Layak</v>
          </cell>
          <cell r="I147" t="str">
            <v>Tidak Layak</v>
          </cell>
          <cell r="J147">
            <v>0</v>
          </cell>
          <cell r="K147">
            <v>0</v>
          </cell>
          <cell r="L147" t="str">
            <v>√</v>
          </cell>
          <cell r="M147">
            <v>3</v>
          </cell>
          <cell r="N147" t="str">
            <v>√</v>
          </cell>
          <cell r="O147">
            <v>0</v>
          </cell>
          <cell r="P147">
            <v>0</v>
          </cell>
          <cell r="Q147" t="str">
            <v>PK</v>
          </cell>
          <cell r="R147" t="str">
            <v>√</v>
          </cell>
          <cell r="S147">
            <v>0</v>
          </cell>
          <cell r="T147">
            <v>0</v>
          </cell>
        </row>
        <row r="148">
          <cell r="A148">
            <v>0</v>
          </cell>
          <cell r="B148">
            <v>0</v>
          </cell>
          <cell r="C148" t="str">
            <v>OK</v>
          </cell>
          <cell r="D148" t="str">
            <v>OK</v>
          </cell>
          <cell r="E148" t="str">
            <v>OK</v>
          </cell>
          <cell r="F148" t="str">
            <v>OK</v>
          </cell>
          <cell r="G148" t="str">
            <v>OK</v>
          </cell>
          <cell r="H148" t="str">
            <v>OK</v>
          </cell>
          <cell r="I148" t="str">
            <v>OK</v>
          </cell>
          <cell r="J148">
            <v>0</v>
          </cell>
          <cell r="K148">
            <v>0</v>
          </cell>
          <cell r="L148" t="str">
            <v>√</v>
          </cell>
          <cell r="M148">
            <v>3</v>
          </cell>
          <cell r="N148" t="str">
            <v>√</v>
          </cell>
          <cell r="O148">
            <v>0</v>
          </cell>
          <cell r="P148">
            <v>0</v>
          </cell>
          <cell r="Q148">
            <v>0</v>
          </cell>
          <cell r="R148">
            <v>0</v>
          </cell>
          <cell r="S148">
            <v>0</v>
          </cell>
          <cell r="T148">
            <v>0</v>
          </cell>
        </row>
        <row r="149">
          <cell r="A149">
            <v>69</v>
          </cell>
          <cell r="B149">
            <v>69</v>
          </cell>
          <cell r="C149" t="str">
            <v>KHALIMI</v>
          </cell>
          <cell r="D149" t="str">
            <v>L</v>
          </cell>
          <cell r="E149" t="str">
            <v>3305141406440001</v>
          </cell>
          <cell r="F149" t="str">
            <v>PENGEMPON RT 03/RW 04</v>
          </cell>
          <cell r="G149" t="str">
            <v>Tidak Layak</v>
          </cell>
          <cell r="H149" t="str">
            <v>Tidak Layak</v>
          </cell>
          <cell r="I149" t="str">
            <v>Tidak Layak</v>
          </cell>
          <cell r="J149">
            <v>0</v>
          </cell>
          <cell r="K149">
            <v>0</v>
          </cell>
          <cell r="L149" t="str">
            <v>√</v>
          </cell>
          <cell r="M149">
            <v>3</v>
          </cell>
          <cell r="N149" t="str">
            <v>√</v>
          </cell>
          <cell r="O149">
            <v>0</v>
          </cell>
          <cell r="P149">
            <v>0</v>
          </cell>
          <cell r="Q149" t="str">
            <v>PK</v>
          </cell>
          <cell r="R149" t="str">
            <v>√</v>
          </cell>
          <cell r="S149">
            <v>0</v>
          </cell>
          <cell r="T149">
            <v>0</v>
          </cell>
        </row>
        <row r="150">
          <cell r="A150">
            <v>0</v>
          </cell>
          <cell r="B150">
            <v>0</v>
          </cell>
          <cell r="C150" t="str">
            <v>OK</v>
          </cell>
          <cell r="D150" t="str">
            <v>OK</v>
          </cell>
          <cell r="E150" t="str">
            <v>OK</v>
          </cell>
          <cell r="F150" t="str">
            <v>OK</v>
          </cell>
          <cell r="G150" t="str">
            <v>OK</v>
          </cell>
          <cell r="H150" t="str">
            <v>OK</v>
          </cell>
          <cell r="I150" t="str">
            <v>OK</v>
          </cell>
          <cell r="J150">
            <v>0</v>
          </cell>
          <cell r="K150">
            <v>0</v>
          </cell>
          <cell r="L150" t="str">
            <v>√</v>
          </cell>
          <cell r="M150">
            <v>3</v>
          </cell>
          <cell r="N150" t="str">
            <v>√</v>
          </cell>
          <cell r="O150">
            <v>0</v>
          </cell>
          <cell r="P150">
            <v>0</v>
          </cell>
          <cell r="Q150">
            <v>0</v>
          </cell>
          <cell r="R150">
            <v>0</v>
          </cell>
          <cell r="S150">
            <v>0</v>
          </cell>
          <cell r="T150">
            <v>0</v>
          </cell>
        </row>
        <row r="151">
          <cell r="A151">
            <v>70</v>
          </cell>
          <cell r="B151">
            <v>70</v>
          </cell>
          <cell r="C151" t="str">
            <v>IMIN HARYANTO</v>
          </cell>
          <cell r="D151" t="str">
            <v>L</v>
          </cell>
          <cell r="E151" t="str">
            <v>3305143112670028</v>
          </cell>
          <cell r="F151" t="str">
            <v>PENGEMPON RT 04/RW 04</v>
          </cell>
          <cell r="G151" t="str">
            <v>Tidak Layak</v>
          </cell>
          <cell r="H151" t="str">
            <v>Tidak Layak</v>
          </cell>
          <cell r="I151" t="str">
            <v>Tidak Layak</v>
          </cell>
          <cell r="J151">
            <v>0</v>
          </cell>
          <cell r="K151">
            <v>0</v>
          </cell>
          <cell r="L151" t="str">
            <v>√</v>
          </cell>
          <cell r="M151">
            <v>3</v>
          </cell>
          <cell r="N151" t="str">
            <v>√</v>
          </cell>
          <cell r="O151">
            <v>0</v>
          </cell>
          <cell r="P151">
            <v>0</v>
          </cell>
          <cell r="Q151" t="str">
            <v>PK</v>
          </cell>
          <cell r="R151" t="str">
            <v>√</v>
          </cell>
          <cell r="S151">
            <v>0</v>
          </cell>
          <cell r="T151">
            <v>0</v>
          </cell>
        </row>
        <row r="152">
          <cell r="A152">
            <v>0</v>
          </cell>
          <cell r="B152">
            <v>0</v>
          </cell>
          <cell r="C152" t="str">
            <v>OK</v>
          </cell>
          <cell r="D152" t="str">
            <v>OK</v>
          </cell>
          <cell r="E152" t="str">
            <v>OK</v>
          </cell>
          <cell r="F152" t="str">
            <v>OK</v>
          </cell>
          <cell r="G152" t="str">
            <v>OK</v>
          </cell>
          <cell r="H152" t="str">
            <v>OK</v>
          </cell>
          <cell r="I152" t="str">
            <v>OK</v>
          </cell>
          <cell r="J152">
            <v>0</v>
          </cell>
          <cell r="K152">
            <v>0</v>
          </cell>
          <cell r="L152" t="str">
            <v>√</v>
          </cell>
          <cell r="M152">
            <v>3</v>
          </cell>
          <cell r="N152" t="str">
            <v>√</v>
          </cell>
          <cell r="O152">
            <v>0</v>
          </cell>
          <cell r="P152">
            <v>0</v>
          </cell>
          <cell r="Q152">
            <v>0</v>
          </cell>
          <cell r="R152">
            <v>0</v>
          </cell>
          <cell r="S152">
            <v>0</v>
          </cell>
          <cell r="T152">
            <v>0</v>
          </cell>
        </row>
        <row r="153">
          <cell r="A153">
            <v>71</v>
          </cell>
          <cell r="B153">
            <v>71</v>
          </cell>
          <cell r="C153" t="str">
            <v>MARYAM</v>
          </cell>
          <cell r="D153" t="str">
            <v>P</v>
          </cell>
          <cell r="E153" t="str">
            <v>3305145103430001</v>
          </cell>
          <cell r="F153" t="str">
            <v>PENGEMPON RT 03/RW 04</v>
          </cell>
          <cell r="G153" t="str">
            <v>Tidak Layak</v>
          </cell>
          <cell r="H153" t="str">
            <v>Tidak Layak</v>
          </cell>
          <cell r="I153" t="str">
            <v>Tidak Layak</v>
          </cell>
          <cell r="J153">
            <v>0</v>
          </cell>
          <cell r="K153">
            <v>0</v>
          </cell>
          <cell r="L153" t="str">
            <v>√</v>
          </cell>
          <cell r="M153">
            <v>3</v>
          </cell>
          <cell r="N153" t="str">
            <v>√</v>
          </cell>
          <cell r="O153">
            <v>0</v>
          </cell>
          <cell r="P153">
            <v>0</v>
          </cell>
          <cell r="Q153" t="str">
            <v>PK</v>
          </cell>
          <cell r="R153" t="str">
            <v>√</v>
          </cell>
          <cell r="S153">
            <v>0</v>
          </cell>
          <cell r="T153">
            <v>0</v>
          </cell>
        </row>
        <row r="154">
          <cell r="A154">
            <v>0</v>
          </cell>
          <cell r="B154">
            <v>0</v>
          </cell>
          <cell r="C154" t="str">
            <v>OK</v>
          </cell>
          <cell r="D154" t="str">
            <v>OK</v>
          </cell>
          <cell r="E154" t="str">
            <v>OK</v>
          </cell>
          <cell r="F154" t="str">
            <v>OK</v>
          </cell>
          <cell r="G154" t="str">
            <v>OK</v>
          </cell>
          <cell r="H154" t="str">
            <v>OK</v>
          </cell>
          <cell r="I154" t="str">
            <v>OK</v>
          </cell>
          <cell r="J154">
            <v>0</v>
          </cell>
          <cell r="K154">
            <v>0</v>
          </cell>
          <cell r="L154" t="str">
            <v>√</v>
          </cell>
          <cell r="M154">
            <v>3</v>
          </cell>
          <cell r="N154" t="str">
            <v>√</v>
          </cell>
          <cell r="O154">
            <v>0</v>
          </cell>
          <cell r="P154">
            <v>0</v>
          </cell>
          <cell r="Q154">
            <v>0</v>
          </cell>
          <cell r="R154">
            <v>0</v>
          </cell>
          <cell r="S154">
            <v>0</v>
          </cell>
          <cell r="T154">
            <v>0</v>
          </cell>
        </row>
        <row r="155">
          <cell r="A155">
            <v>72</v>
          </cell>
          <cell r="B155">
            <v>72</v>
          </cell>
          <cell r="C155" t="str">
            <v>SITI ROKHMAH</v>
          </cell>
          <cell r="D155" t="str">
            <v>L</v>
          </cell>
          <cell r="E155" t="str">
            <v>3305145505850006</v>
          </cell>
          <cell r="F155" t="str">
            <v>PENGEMPON RT 03/RW 04</v>
          </cell>
          <cell r="G155" t="str">
            <v>Tidak Layak</v>
          </cell>
          <cell r="H155" t="str">
            <v>Tidak Layak</v>
          </cell>
          <cell r="I155" t="str">
            <v>Tidak Layak</v>
          </cell>
          <cell r="J155">
            <v>0</v>
          </cell>
          <cell r="K155">
            <v>0</v>
          </cell>
          <cell r="L155" t="str">
            <v>√</v>
          </cell>
          <cell r="M155">
            <v>3</v>
          </cell>
          <cell r="N155" t="str">
            <v>√</v>
          </cell>
          <cell r="O155">
            <v>0</v>
          </cell>
          <cell r="P155">
            <v>0</v>
          </cell>
          <cell r="Q155" t="str">
            <v>PK</v>
          </cell>
          <cell r="R155" t="str">
            <v>√</v>
          </cell>
          <cell r="S155">
            <v>0</v>
          </cell>
          <cell r="T155">
            <v>0</v>
          </cell>
        </row>
        <row r="156">
          <cell r="A156">
            <v>0</v>
          </cell>
          <cell r="B156">
            <v>0</v>
          </cell>
          <cell r="C156" t="str">
            <v>OK</v>
          </cell>
          <cell r="D156" t="str">
            <v>OK</v>
          </cell>
          <cell r="E156" t="str">
            <v>OK</v>
          </cell>
          <cell r="F156" t="str">
            <v>OK</v>
          </cell>
          <cell r="G156" t="str">
            <v>OK</v>
          </cell>
          <cell r="H156" t="str">
            <v>OK</v>
          </cell>
          <cell r="I156" t="str">
            <v>OK</v>
          </cell>
          <cell r="J156">
            <v>0</v>
          </cell>
          <cell r="K156">
            <v>0</v>
          </cell>
          <cell r="L156" t="str">
            <v>√</v>
          </cell>
          <cell r="M156">
            <v>3</v>
          </cell>
          <cell r="N156" t="str">
            <v>√</v>
          </cell>
          <cell r="O156">
            <v>0</v>
          </cell>
          <cell r="P156">
            <v>0</v>
          </cell>
          <cell r="Q156">
            <v>0</v>
          </cell>
          <cell r="R156">
            <v>0</v>
          </cell>
          <cell r="S156">
            <v>0</v>
          </cell>
          <cell r="T156">
            <v>0</v>
          </cell>
        </row>
        <row r="157">
          <cell r="A157">
            <v>73</v>
          </cell>
          <cell r="B157">
            <v>73</v>
          </cell>
          <cell r="C157" t="str">
            <v>MUHRONI</v>
          </cell>
          <cell r="D157" t="str">
            <v>L</v>
          </cell>
          <cell r="E157" t="str">
            <v>3305142809400001</v>
          </cell>
          <cell r="F157" t="str">
            <v>PENGEMPON RT 03/RW 04</v>
          </cell>
          <cell r="G157" t="str">
            <v>Tidak Layak</v>
          </cell>
          <cell r="H157" t="str">
            <v>Tidak Layak</v>
          </cell>
          <cell r="I157" t="str">
            <v>Tidak Layak</v>
          </cell>
          <cell r="J157">
            <v>0</v>
          </cell>
          <cell r="K157">
            <v>0</v>
          </cell>
          <cell r="L157" t="str">
            <v>√</v>
          </cell>
          <cell r="M157">
            <v>3</v>
          </cell>
          <cell r="N157" t="str">
            <v>√</v>
          </cell>
          <cell r="O157">
            <v>0</v>
          </cell>
          <cell r="P157">
            <v>0</v>
          </cell>
          <cell r="Q157" t="str">
            <v>PK</v>
          </cell>
          <cell r="R157" t="str">
            <v>√</v>
          </cell>
          <cell r="S157">
            <v>0</v>
          </cell>
          <cell r="T157">
            <v>0</v>
          </cell>
        </row>
        <row r="158">
          <cell r="A158">
            <v>0</v>
          </cell>
          <cell r="B158">
            <v>0</v>
          </cell>
          <cell r="C158" t="str">
            <v>OK</v>
          </cell>
          <cell r="D158" t="str">
            <v>OK</v>
          </cell>
          <cell r="E158" t="str">
            <v>OK</v>
          </cell>
          <cell r="F158" t="str">
            <v>OK</v>
          </cell>
          <cell r="G158" t="str">
            <v>OK</v>
          </cell>
          <cell r="H158" t="str">
            <v>OK</v>
          </cell>
          <cell r="I158" t="str">
            <v>OK</v>
          </cell>
          <cell r="J158">
            <v>0</v>
          </cell>
          <cell r="K158">
            <v>0</v>
          </cell>
          <cell r="L158" t="str">
            <v>√</v>
          </cell>
          <cell r="M158">
            <v>3</v>
          </cell>
          <cell r="N158" t="str">
            <v>√</v>
          </cell>
          <cell r="O158">
            <v>0</v>
          </cell>
          <cell r="P158">
            <v>0</v>
          </cell>
          <cell r="Q158">
            <v>0</v>
          </cell>
          <cell r="R158">
            <v>0</v>
          </cell>
          <cell r="S158">
            <v>0</v>
          </cell>
          <cell r="T158">
            <v>0</v>
          </cell>
        </row>
        <row r="159">
          <cell r="A159">
            <v>74</v>
          </cell>
          <cell r="B159">
            <v>74</v>
          </cell>
          <cell r="C159" t="str">
            <v>TASIYEM</v>
          </cell>
          <cell r="D159" t="str">
            <v>P</v>
          </cell>
          <cell r="E159" t="str">
            <v>3305145505750002</v>
          </cell>
          <cell r="F159" t="str">
            <v>PENGEMPON RT 03/RW 04</v>
          </cell>
          <cell r="G159" t="str">
            <v>Tidak Layak</v>
          </cell>
          <cell r="H159" t="str">
            <v>Tidak Layak</v>
          </cell>
          <cell r="I159" t="str">
            <v>Tidak Layak</v>
          </cell>
          <cell r="J159">
            <v>0</v>
          </cell>
          <cell r="K159">
            <v>0</v>
          </cell>
          <cell r="L159" t="str">
            <v>√</v>
          </cell>
          <cell r="M159">
            <v>3</v>
          </cell>
          <cell r="N159" t="str">
            <v>√</v>
          </cell>
          <cell r="O159">
            <v>0</v>
          </cell>
          <cell r="P159">
            <v>0</v>
          </cell>
          <cell r="Q159" t="str">
            <v>PK</v>
          </cell>
          <cell r="R159" t="str">
            <v>√</v>
          </cell>
          <cell r="S159">
            <v>0</v>
          </cell>
          <cell r="T159">
            <v>0</v>
          </cell>
        </row>
        <row r="160">
          <cell r="A160">
            <v>0</v>
          </cell>
          <cell r="B160">
            <v>0</v>
          </cell>
          <cell r="C160" t="str">
            <v>OK</v>
          </cell>
          <cell r="D160" t="str">
            <v>OK</v>
          </cell>
          <cell r="E160" t="str">
            <v>OK</v>
          </cell>
          <cell r="F160" t="str">
            <v>OK</v>
          </cell>
          <cell r="G160" t="str">
            <v>OK</v>
          </cell>
          <cell r="H160" t="str">
            <v>OK</v>
          </cell>
          <cell r="I160" t="str">
            <v>OK</v>
          </cell>
          <cell r="J160">
            <v>0</v>
          </cell>
          <cell r="K160">
            <v>0</v>
          </cell>
          <cell r="L160" t="str">
            <v>√</v>
          </cell>
          <cell r="M160">
            <v>3</v>
          </cell>
          <cell r="N160" t="str">
            <v>√</v>
          </cell>
          <cell r="O160">
            <v>0</v>
          </cell>
          <cell r="P160">
            <v>0</v>
          </cell>
          <cell r="Q160">
            <v>0</v>
          </cell>
          <cell r="R160">
            <v>0</v>
          </cell>
          <cell r="S160">
            <v>0</v>
          </cell>
          <cell r="T160">
            <v>0</v>
          </cell>
        </row>
        <row r="161">
          <cell r="A161">
            <v>75</v>
          </cell>
          <cell r="B161">
            <v>75</v>
          </cell>
          <cell r="C161" t="str">
            <v>PARIMIN</v>
          </cell>
          <cell r="D161" t="str">
            <v>L</v>
          </cell>
          <cell r="E161" t="str">
            <v>3305141804490002</v>
          </cell>
          <cell r="F161" t="str">
            <v>PENGEMPON RT 03/RW 04</v>
          </cell>
          <cell r="G161" t="str">
            <v>Tidak Layak</v>
          </cell>
          <cell r="H161" t="str">
            <v>Tidak Layak</v>
          </cell>
          <cell r="I161" t="str">
            <v>Tidak Layak</v>
          </cell>
          <cell r="J161">
            <v>0</v>
          </cell>
          <cell r="K161">
            <v>0</v>
          </cell>
          <cell r="L161" t="str">
            <v>√</v>
          </cell>
          <cell r="M161">
            <v>3</v>
          </cell>
          <cell r="N161" t="str">
            <v>√</v>
          </cell>
          <cell r="O161">
            <v>0</v>
          </cell>
          <cell r="P161">
            <v>0</v>
          </cell>
          <cell r="Q161" t="str">
            <v>PK</v>
          </cell>
          <cell r="R161" t="str">
            <v>√</v>
          </cell>
          <cell r="S161">
            <v>0</v>
          </cell>
          <cell r="T161">
            <v>0</v>
          </cell>
        </row>
        <row r="162">
          <cell r="A162">
            <v>0</v>
          </cell>
          <cell r="B162">
            <v>0</v>
          </cell>
          <cell r="C162" t="str">
            <v>OK</v>
          </cell>
          <cell r="D162" t="str">
            <v>OK</v>
          </cell>
          <cell r="E162" t="str">
            <v>OK</v>
          </cell>
          <cell r="F162" t="str">
            <v>OK</v>
          </cell>
          <cell r="G162" t="str">
            <v>OK</v>
          </cell>
          <cell r="H162" t="str">
            <v>OK</v>
          </cell>
          <cell r="I162" t="str">
            <v>OK</v>
          </cell>
          <cell r="J162">
            <v>0</v>
          </cell>
          <cell r="K162">
            <v>0</v>
          </cell>
          <cell r="L162" t="str">
            <v>√</v>
          </cell>
          <cell r="M162">
            <v>3</v>
          </cell>
          <cell r="N162" t="str">
            <v>√</v>
          </cell>
          <cell r="O162">
            <v>0</v>
          </cell>
          <cell r="P162">
            <v>0</v>
          </cell>
          <cell r="Q162">
            <v>0</v>
          </cell>
          <cell r="R162">
            <v>0</v>
          </cell>
          <cell r="S162">
            <v>0</v>
          </cell>
          <cell r="T162">
            <v>0</v>
          </cell>
        </row>
        <row r="163">
          <cell r="A163">
            <v>76</v>
          </cell>
          <cell r="B163">
            <v>76</v>
          </cell>
          <cell r="C163" t="str">
            <v>WATINEM</v>
          </cell>
          <cell r="D163" t="str">
            <v>P</v>
          </cell>
          <cell r="E163" t="str">
            <v>3305145303630005</v>
          </cell>
          <cell r="F163" t="str">
            <v>PENGEMPON RT 03/RW 04</v>
          </cell>
          <cell r="G163" t="str">
            <v>Tidak Layak</v>
          </cell>
          <cell r="H163" t="str">
            <v>Tidak Layak</v>
          </cell>
          <cell r="I163" t="str">
            <v>Tidak Layak</v>
          </cell>
          <cell r="J163">
            <v>0</v>
          </cell>
          <cell r="K163">
            <v>0</v>
          </cell>
          <cell r="L163" t="str">
            <v>√</v>
          </cell>
          <cell r="M163">
            <v>3</v>
          </cell>
          <cell r="N163" t="str">
            <v>√</v>
          </cell>
          <cell r="O163">
            <v>0</v>
          </cell>
          <cell r="P163">
            <v>0</v>
          </cell>
          <cell r="Q163" t="str">
            <v>PK</v>
          </cell>
          <cell r="R163" t="str">
            <v>√</v>
          </cell>
          <cell r="S163">
            <v>0</v>
          </cell>
          <cell r="T163">
            <v>0</v>
          </cell>
        </row>
        <row r="164">
          <cell r="A164">
            <v>0</v>
          </cell>
          <cell r="B164">
            <v>0</v>
          </cell>
          <cell r="C164" t="str">
            <v>OK</v>
          </cell>
          <cell r="D164" t="str">
            <v>OK</v>
          </cell>
          <cell r="E164" t="str">
            <v>OK</v>
          </cell>
          <cell r="F164" t="str">
            <v>OK</v>
          </cell>
          <cell r="G164" t="str">
            <v>OK</v>
          </cell>
          <cell r="H164" t="str">
            <v>OK</v>
          </cell>
          <cell r="I164" t="str">
            <v>OK</v>
          </cell>
          <cell r="J164">
            <v>0</v>
          </cell>
          <cell r="K164">
            <v>0</v>
          </cell>
          <cell r="L164" t="str">
            <v>√</v>
          </cell>
          <cell r="M164">
            <v>3</v>
          </cell>
          <cell r="N164" t="str">
            <v>√</v>
          </cell>
          <cell r="O164">
            <v>0</v>
          </cell>
          <cell r="P164">
            <v>0</v>
          </cell>
          <cell r="Q164">
            <v>0</v>
          </cell>
          <cell r="R164">
            <v>0</v>
          </cell>
          <cell r="S164">
            <v>0</v>
          </cell>
          <cell r="T164">
            <v>0</v>
          </cell>
        </row>
        <row r="165">
          <cell r="A165">
            <v>77</v>
          </cell>
          <cell r="B165">
            <v>77</v>
          </cell>
          <cell r="C165" t="str">
            <v>ROKHIMAN</v>
          </cell>
          <cell r="D165" t="str">
            <v>L</v>
          </cell>
          <cell r="E165" t="str">
            <v>3305141506820003</v>
          </cell>
          <cell r="F165" t="str">
            <v>PENGEMPON RT 04/RW 04</v>
          </cell>
          <cell r="G165" t="str">
            <v>Tidak Layak</v>
          </cell>
          <cell r="H165" t="str">
            <v>Tidak Layak</v>
          </cell>
          <cell r="I165" t="str">
            <v>Tidak Layak</v>
          </cell>
          <cell r="J165">
            <v>0</v>
          </cell>
          <cell r="K165">
            <v>0</v>
          </cell>
          <cell r="L165" t="str">
            <v>√</v>
          </cell>
          <cell r="M165">
            <v>3</v>
          </cell>
          <cell r="N165" t="str">
            <v>√</v>
          </cell>
          <cell r="O165">
            <v>0</v>
          </cell>
          <cell r="P165">
            <v>0</v>
          </cell>
          <cell r="Q165" t="str">
            <v>PK</v>
          </cell>
          <cell r="R165" t="str">
            <v>√</v>
          </cell>
          <cell r="S165">
            <v>0</v>
          </cell>
          <cell r="T165">
            <v>0</v>
          </cell>
        </row>
        <row r="166">
          <cell r="A166">
            <v>0</v>
          </cell>
          <cell r="B166">
            <v>0</v>
          </cell>
          <cell r="C166" t="str">
            <v>OK</v>
          </cell>
          <cell r="D166" t="str">
            <v>OK</v>
          </cell>
          <cell r="E166" t="str">
            <v>OK</v>
          </cell>
          <cell r="F166" t="str">
            <v>OK</v>
          </cell>
          <cell r="G166" t="str">
            <v>OK</v>
          </cell>
          <cell r="H166" t="str">
            <v>OK</v>
          </cell>
          <cell r="I166" t="str">
            <v>OK</v>
          </cell>
          <cell r="J166">
            <v>0</v>
          </cell>
          <cell r="K166">
            <v>0</v>
          </cell>
          <cell r="L166" t="str">
            <v>√</v>
          </cell>
          <cell r="M166">
            <v>3</v>
          </cell>
          <cell r="N166" t="str">
            <v>√</v>
          </cell>
          <cell r="O166">
            <v>0</v>
          </cell>
          <cell r="P166">
            <v>0</v>
          </cell>
          <cell r="Q166">
            <v>0</v>
          </cell>
          <cell r="R166">
            <v>0</v>
          </cell>
          <cell r="S166">
            <v>0</v>
          </cell>
          <cell r="T166">
            <v>0</v>
          </cell>
        </row>
        <row r="167">
          <cell r="A167">
            <v>78</v>
          </cell>
          <cell r="B167">
            <v>78</v>
          </cell>
          <cell r="C167" t="str">
            <v>KASMINI</v>
          </cell>
          <cell r="D167" t="str">
            <v>P</v>
          </cell>
          <cell r="E167" t="str">
            <v>3305144602680002</v>
          </cell>
          <cell r="F167" t="str">
            <v>PENGEMPON RT 03/RW 04</v>
          </cell>
          <cell r="G167" t="str">
            <v>Tidak Layak</v>
          </cell>
          <cell r="H167" t="str">
            <v>Tidak Layak</v>
          </cell>
          <cell r="I167" t="str">
            <v>Tidak Layak</v>
          </cell>
          <cell r="J167">
            <v>0</v>
          </cell>
          <cell r="K167">
            <v>0</v>
          </cell>
          <cell r="L167" t="str">
            <v>√</v>
          </cell>
          <cell r="M167">
            <v>3</v>
          </cell>
          <cell r="N167" t="str">
            <v>√</v>
          </cell>
          <cell r="O167">
            <v>0</v>
          </cell>
          <cell r="P167">
            <v>0</v>
          </cell>
          <cell r="Q167" t="str">
            <v>PK</v>
          </cell>
          <cell r="R167" t="str">
            <v>√</v>
          </cell>
          <cell r="S167">
            <v>0</v>
          </cell>
          <cell r="T167">
            <v>0</v>
          </cell>
        </row>
        <row r="168">
          <cell r="A168">
            <v>0</v>
          </cell>
          <cell r="B168">
            <v>0</v>
          </cell>
          <cell r="C168" t="str">
            <v>OK</v>
          </cell>
          <cell r="D168" t="str">
            <v>OK</v>
          </cell>
          <cell r="E168" t="str">
            <v>OK</v>
          </cell>
          <cell r="F168" t="str">
            <v>OK</v>
          </cell>
          <cell r="G168" t="str">
            <v>OK</v>
          </cell>
          <cell r="H168" t="str">
            <v>OK</v>
          </cell>
          <cell r="I168" t="str">
            <v>OK</v>
          </cell>
          <cell r="J168">
            <v>0</v>
          </cell>
          <cell r="K168">
            <v>0</v>
          </cell>
          <cell r="L168" t="str">
            <v>√</v>
          </cell>
          <cell r="M168">
            <v>3</v>
          </cell>
          <cell r="N168" t="str">
            <v>√</v>
          </cell>
          <cell r="O168">
            <v>0</v>
          </cell>
          <cell r="P168">
            <v>0</v>
          </cell>
          <cell r="Q168">
            <v>0</v>
          </cell>
          <cell r="R168">
            <v>0</v>
          </cell>
          <cell r="S168">
            <v>0</v>
          </cell>
          <cell r="T168">
            <v>0</v>
          </cell>
        </row>
        <row r="169">
          <cell r="A169">
            <v>79</v>
          </cell>
          <cell r="B169">
            <v>79</v>
          </cell>
          <cell r="C169" t="str">
            <v>PARTINI</v>
          </cell>
          <cell r="D169" t="str">
            <v>P</v>
          </cell>
          <cell r="E169" t="str">
            <v>3305145407850004</v>
          </cell>
          <cell r="F169" t="str">
            <v>PENGEMPON RT 04/RW 04</v>
          </cell>
          <cell r="G169" t="str">
            <v>Tidak Layak</v>
          </cell>
          <cell r="H169" t="str">
            <v>Tidak Layak</v>
          </cell>
          <cell r="I169" t="str">
            <v>Tidak Layak</v>
          </cell>
          <cell r="J169">
            <v>0</v>
          </cell>
          <cell r="K169">
            <v>0</v>
          </cell>
          <cell r="L169">
            <v>0</v>
          </cell>
          <cell r="M169">
            <v>0</v>
          </cell>
          <cell r="N169">
            <v>0</v>
          </cell>
          <cell r="O169">
            <v>0</v>
          </cell>
          <cell r="P169" t="str">
            <v>SUDAH DIBANGUN PERMANEN</v>
          </cell>
          <cell r="Q169" t="str">
            <v>PK</v>
          </cell>
          <cell r="R169" t="str">
            <v>-</v>
          </cell>
          <cell r="S169" t="str">
            <v>√</v>
          </cell>
          <cell r="T169">
            <v>0</v>
          </cell>
        </row>
        <row r="170">
          <cell r="A170">
            <v>0</v>
          </cell>
          <cell r="B170">
            <v>0</v>
          </cell>
          <cell r="C170" t="str">
            <v>OK</v>
          </cell>
          <cell r="D170" t="str">
            <v>OK</v>
          </cell>
          <cell r="E170" t="str">
            <v>OK</v>
          </cell>
          <cell r="F170" t="str">
            <v>OK</v>
          </cell>
          <cell r="G170" t="str">
            <v>LAYAK</v>
          </cell>
          <cell r="H170" t="str">
            <v>LAYAK</v>
          </cell>
          <cell r="I170" t="str">
            <v>LAYAK</v>
          </cell>
          <cell r="J170">
            <v>0</v>
          </cell>
          <cell r="K170">
            <v>0</v>
          </cell>
          <cell r="L170">
            <v>0</v>
          </cell>
          <cell r="M170">
            <v>0</v>
          </cell>
          <cell r="N170">
            <v>0</v>
          </cell>
          <cell r="O170">
            <v>0</v>
          </cell>
          <cell r="P170">
            <v>0</v>
          </cell>
          <cell r="Q170">
            <v>0</v>
          </cell>
          <cell r="R170">
            <v>0</v>
          </cell>
          <cell r="S170">
            <v>0</v>
          </cell>
          <cell r="T170">
            <v>0</v>
          </cell>
        </row>
        <row r="171">
          <cell r="A171">
            <v>80</v>
          </cell>
          <cell r="B171">
            <v>80</v>
          </cell>
          <cell r="C171" t="str">
            <v>SOLIHUDIN</v>
          </cell>
          <cell r="D171" t="str">
            <v>L</v>
          </cell>
          <cell r="E171" t="str">
            <v>3305141510790005</v>
          </cell>
          <cell r="F171" t="str">
            <v>PENGEMPON RT 04/RW 04</v>
          </cell>
          <cell r="G171" t="str">
            <v>Tidak Layak</v>
          </cell>
          <cell r="H171" t="str">
            <v>Tidak Layak</v>
          </cell>
          <cell r="I171" t="str">
            <v>Tidak Layak</v>
          </cell>
          <cell r="J171">
            <v>0</v>
          </cell>
          <cell r="K171">
            <v>0</v>
          </cell>
          <cell r="L171" t="str">
            <v>√</v>
          </cell>
          <cell r="M171">
            <v>3</v>
          </cell>
          <cell r="N171" t="str">
            <v>√</v>
          </cell>
          <cell r="O171">
            <v>0</v>
          </cell>
          <cell r="P171">
            <v>0</v>
          </cell>
          <cell r="Q171" t="str">
            <v>PK</v>
          </cell>
          <cell r="R171" t="str">
            <v>√</v>
          </cell>
          <cell r="S171">
            <v>0</v>
          </cell>
          <cell r="T171">
            <v>0</v>
          </cell>
        </row>
        <row r="172">
          <cell r="A172">
            <v>0</v>
          </cell>
          <cell r="B172">
            <v>0</v>
          </cell>
          <cell r="C172" t="str">
            <v>OK</v>
          </cell>
          <cell r="D172" t="str">
            <v>OK</v>
          </cell>
          <cell r="E172" t="str">
            <v>OK</v>
          </cell>
          <cell r="F172" t="str">
            <v>OK</v>
          </cell>
          <cell r="G172" t="str">
            <v>OK</v>
          </cell>
          <cell r="H172" t="str">
            <v>OK</v>
          </cell>
          <cell r="I172" t="str">
            <v>OK</v>
          </cell>
          <cell r="J172">
            <v>0</v>
          </cell>
          <cell r="K172">
            <v>0</v>
          </cell>
          <cell r="L172" t="str">
            <v>√</v>
          </cell>
          <cell r="M172">
            <v>3</v>
          </cell>
          <cell r="N172" t="str">
            <v>√</v>
          </cell>
          <cell r="O172">
            <v>0</v>
          </cell>
          <cell r="P172">
            <v>0</v>
          </cell>
          <cell r="Q172">
            <v>0</v>
          </cell>
          <cell r="R172">
            <v>0</v>
          </cell>
          <cell r="S172">
            <v>0</v>
          </cell>
          <cell r="T172">
            <v>0</v>
          </cell>
        </row>
        <row r="173">
          <cell r="A173">
            <v>81</v>
          </cell>
          <cell r="B173">
            <v>81</v>
          </cell>
          <cell r="C173" t="str">
            <v>MUSRINGAH</v>
          </cell>
          <cell r="D173" t="str">
            <v>P</v>
          </cell>
          <cell r="E173" t="str">
            <v>3305146105460002</v>
          </cell>
          <cell r="F173" t="str">
            <v>PENGEMPON RT 04/RW 04</v>
          </cell>
          <cell r="G173" t="str">
            <v>Tidak Layak</v>
          </cell>
          <cell r="H173" t="str">
            <v>Tidak Layak</v>
          </cell>
          <cell r="I173" t="str">
            <v>Tidak Layak</v>
          </cell>
          <cell r="J173">
            <v>0</v>
          </cell>
          <cell r="K173">
            <v>0</v>
          </cell>
          <cell r="L173" t="str">
            <v>√</v>
          </cell>
          <cell r="M173">
            <v>3</v>
          </cell>
          <cell r="N173" t="str">
            <v>√</v>
          </cell>
          <cell r="O173">
            <v>0</v>
          </cell>
          <cell r="P173">
            <v>0</v>
          </cell>
          <cell r="Q173" t="str">
            <v>PK</v>
          </cell>
          <cell r="R173" t="str">
            <v>√</v>
          </cell>
          <cell r="S173">
            <v>0</v>
          </cell>
          <cell r="T173">
            <v>0</v>
          </cell>
        </row>
        <row r="174">
          <cell r="A174">
            <v>0</v>
          </cell>
          <cell r="B174">
            <v>0</v>
          </cell>
          <cell r="C174" t="str">
            <v>OK</v>
          </cell>
          <cell r="D174" t="str">
            <v>OK</v>
          </cell>
          <cell r="E174" t="str">
            <v>OK</v>
          </cell>
          <cell r="F174" t="str">
            <v>OK</v>
          </cell>
          <cell r="G174" t="str">
            <v>OK</v>
          </cell>
          <cell r="H174" t="str">
            <v>OK</v>
          </cell>
          <cell r="I174" t="str">
            <v>OK</v>
          </cell>
          <cell r="J174">
            <v>0</v>
          </cell>
          <cell r="K174">
            <v>0</v>
          </cell>
          <cell r="L174" t="str">
            <v>√</v>
          </cell>
          <cell r="M174">
            <v>3</v>
          </cell>
          <cell r="N174" t="str">
            <v>√</v>
          </cell>
          <cell r="O174">
            <v>0</v>
          </cell>
          <cell r="P174">
            <v>0</v>
          </cell>
          <cell r="Q174">
            <v>0</v>
          </cell>
          <cell r="R174">
            <v>0</v>
          </cell>
          <cell r="S174">
            <v>0</v>
          </cell>
          <cell r="T174">
            <v>0</v>
          </cell>
        </row>
        <row r="175">
          <cell r="A175">
            <v>82</v>
          </cell>
          <cell r="B175">
            <v>82</v>
          </cell>
          <cell r="C175" t="str">
            <v>NUR FAIKUN</v>
          </cell>
          <cell r="D175" t="str">
            <v>L</v>
          </cell>
          <cell r="E175" t="str">
            <v>3305141203720002</v>
          </cell>
          <cell r="F175" t="str">
            <v>PENGEMPON RT 04/RW 04</v>
          </cell>
          <cell r="G175" t="str">
            <v>Tidak Layak</v>
          </cell>
          <cell r="H175" t="str">
            <v>Tidak Layak</v>
          </cell>
          <cell r="I175" t="str">
            <v>Tidak Layak</v>
          </cell>
          <cell r="J175">
            <v>0</v>
          </cell>
          <cell r="K175">
            <v>0</v>
          </cell>
          <cell r="L175" t="str">
            <v>√</v>
          </cell>
          <cell r="M175">
            <v>3</v>
          </cell>
          <cell r="N175" t="str">
            <v>√</v>
          </cell>
          <cell r="O175">
            <v>0</v>
          </cell>
          <cell r="P175">
            <v>0</v>
          </cell>
          <cell r="Q175" t="str">
            <v>PK</v>
          </cell>
          <cell r="R175" t="str">
            <v>√</v>
          </cell>
          <cell r="S175">
            <v>0</v>
          </cell>
          <cell r="T175">
            <v>0</v>
          </cell>
        </row>
        <row r="176">
          <cell r="A176">
            <v>0</v>
          </cell>
          <cell r="B176">
            <v>0</v>
          </cell>
          <cell r="C176" t="str">
            <v>OK</v>
          </cell>
          <cell r="D176" t="str">
            <v>OK</v>
          </cell>
          <cell r="E176" t="str">
            <v>OK</v>
          </cell>
          <cell r="F176" t="str">
            <v>OK</v>
          </cell>
          <cell r="G176" t="str">
            <v>OK</v>
          </cell>
          <cell r="H176" t="str">
            <v>OK</v>
          </cell>
          <cell r="I176" t="str">
            <v>OK</v>
          </cell>
          <cell r="J176">
            <v>0</v>
          </cell>
          <cell r="K176">
            <v>0</v>
          </cell>
          <cell r="L176" t="str">
            <v>√</v>
          </cell>
          <cell r="M176">
            <v>3</v>
          </cell>
          <cell r="N176" t="str">
            <v>√</v>
          </cell>
          <cell r="O176">
            <v>0</v>
          </cell>
          <cell r="P176">
            <v>0</v>
          </cell>
          <cell r="Q176">
            <v>0</v>
          </cell>
          <cell r="R176">
            <v>0</v>
          </cell>
          <cell r="S176">
            <v>0</v>
          </cell>
          <cell r="T176">
            <v>0</v>
          </cell>
        </row>
        <row r="177">
          <cell r="A177">
            <v>83</v>
          </cell>
          <cell r="B177">
            <v>83</v>
          </cell>
          <cell r="C177" t="str">
            <v>NASIHUDIN</v>
          </cell>
          <cell r="D177" t="str">
            <v>L</v>
          </cell>
          <cell r="E177" t="str">
            <v>3305142103680001</v>
          </cell>
          <cell r="F177" t="str">
            <v>PENGEMPON RT 04/RW 04</v>
          </cell>
          <cell r="G177" t="str">
            <v>Tidak Layak</v>
          </cell>
          <cell r="H177" t="str">
            <v>Tidak Layak</v>
          </cell>
          <cell r="I177" t="str">
            <v>Tidak Layak</v>
          </cell>
          <cell r="J177">
            <v>0</v>
          </cell>
          <cell r="K177">
            <v>0</v>
          </cell>
          <cell r="L177" t="str">
            <v>√</v>
          </cell>
          <cell r="M177">
            <v>3</v>
          </cell>
          <cell r="N177" t="str">
            <v>√</v>
          </cell>
          <cell r="O177">
            <v>0</v>
          </cell>
          <cell r="P177">
            <v>0</v>
          </cell>
          <cell r="Q177" t="str">
            <v>PK</v>
          </cell>
          <cell r="R177" t="str">
            <v>√</v>
          </cell>
          <cell r="S177">
            <v>0</v>
          </cell>
          <cell r="T177">
            <v>0</v>
          </cell>
        </row>
        <row r="178">
          <cell r="A178">
            <v>0</v>
          </cell>
          <cell r="B178">
            <v>0</v>
          </cell>
          <cell r="C178" t="str">
            <v>OK</v>
          </cell>
          <cell r="D178" t="str">
            <v>OK</v>
          </cell>
          <cell r="E178" t="str">
            <v>OK</v>
          </cell>
          <cell r="F178" t="str">
            <v>OK</v>
          </cell>
          <cell r="G178" t="str">
            <v>OK</v>
          </cell>
          <cell r="H178" t="str">
            <v>OK</v>
          </cell>
          <cell r="I178" t="str">
            <v>OK</v>
          </cell>
          <cell r="J178">
            <v>0</v>
          </cell>
          <cell r="K178">
            <v>0</v>
          </cell>
          <cell r="L178" t="str">
            <v>√</v>
          </cell>
          <cell r="M178">
            <v>3</v>
          </cell>
          <cell r="N178" t="str">
            <v>√</v>
          </cell>
          <cell r="O178">
            <v>0</v>
          </cell>
          <cell r="P178">
            <v>0</v>
          </cell>
          <cell r="Q178">
            <v>0</v>
          </cell>
          <cell r="R178">
            <v>0</v>
          </cell>
          <cell r="S178">
            <v>0</v>
          </cell>
          <cell r="T178">
            <v>0</v>
          </cell>
        </row>
        <row r="179">
          <cell r="A179">
            <v>84</v>
          </cell>
          <cell r="B179">
            <v>84</v>
          </cell>
          <cell r="C179" t="str">
            <v>SOLIHUN</v>
          </cell>
          <cell r="D179" t="str">
            <v>L</v>
          </cell>
          <cell r="E179" t="str">
            <v>3305141102820003</v>
          </cell>
          <cell r="F179" t="str">
            <v>PENGEMPON RT 04/RW 04</v>
          </cell>
          <cell r="G179" t="str">
            <v>Tidak Layak</v>
          </cell>
          <cell r="H179" t="str">
            <v>Tidak Layak</v>
          </cell>
          <cell r="I179" t="str">
            <v>Tidak Layak</v>
          </cell>
          <cell r="J179">
            <v>0</v>
          </cell>
          <cell r="K179">
            <v>0</v>
          </cell>
          <cell r="L179" t="str">
            <v>√</v>
          </cell>
          <cell r="M179">
            <v>3</v>
          </cell>
          <cell r="N179" t="str">
            <v>√</v>
          </cell>
          <cell r="O179">
            <v>0</v>
          </cell>
          <cell r="P179">
            <v>0</v>
          </cell>
          <cell r="Q179" t="str">
            <v>PK</v>
          </cell>
          <cell r="R179" t="str">
            <v>√</v>
          </cell>
          <cell r="S179">
            <v>0</v>
          </cell>
          <cell r="T179">
            <v>0</v>
          </cell>
        </row>
        <row r="180">
          <cell r="A180">
            <v>0</v>
          </cell>
          <cell r="B180">
            <v>0</v>
          </cell>
          <cell r="C180" t="str">
            <v>OK</v>
          </cell>
          <cell r="D180" t="str">
            <v>OK</v>
          </cell>
          <cell r="E180" t="str">
            <v>OK</v>
          </cell>
          <cell r="F180" t="str">
            <v>OK</v>
          </cell>
          <cell r="G180" t="str">
            <v>OK</v>
          </cell>
          <cell r="H180" t="str">
            <v>OK</v>
          </cell>
          <cell r="I180" t="str">
            <v>OK</v>
          </cell>
          <cell r="J180">
            <v>0</v>
          </cell>
          <cell r="K180">
            <v>0</v>
          </cell>
          <cell r="L180" t="str">
            <v>√</v>
          </cell>
          <cell r="M180">
            <v>3</v>
          </cell>
          <cell r="N180" t="str">
            <v>√</v>
          </cell>
          <cell r="O180">
            <v>0</v>
          </cell>
          <cell r="P180">
            <v>0</v>
          </cell>
          <cell r="Q180">
            <v>0</v>
          </cell>
          <cell r="R180">
            <v>0</v>
          </cell>
          <cell r="S180">
            <v>0</v>
          </cell>
          <cell r="T180">
            <v>0</v>
          </cell>
        </row>
        <row r="181">
          <cell r="A181">
            <v>85</v>
          </cell>
          <cell r="B181">
            <v>85</v>
          </cell>
          <cell r="C181" t="str">
            <v>SATIMAN</v>
          </cell>
          <cell r="D181" t="str">
            <v>L</v>
          </cell>
          <cell r="E181" t="str">
            <v>3305143112390014</v>
          </cell>
          <cell r="F181" t="str">
            <v>PENGEMPON RT 04/RW 04</v>
          </cell>
          <cell r="G181" t="str">
            <v>Tidak Layak</v>
          </cell>
          <cell r="H181" t="str">
            <v>Tidak Layak</v>
          </cell>
          <cell r="I181" t="str">
            <v>Tidak Layak</v>
          </cell>
          <cell r="J181">
            <v>0</v>
          </cell>
          <cell r="K181">
            <v>0</v>
          </cell>
          <cell r="L181" t="str">
            <v>√</v>
          </cell>
          <cell r="M181">
            <v>3</v>
          </cell>
          <cell r="N181" t="str">
            <v>√</v>
          </cell>
          <cell r="O181">
            <v>0</v>
          </cell>
          <cell r="P181">
            <v>0</v>
          </cell>
          <cell r="Q181" t="str">
            <v>PK</v>
          </cell>
          <cell r="R181" t="str">
            <v>√</v>
          </cell>
          <cell r="S181">
            <v>0</v>
          </cell>
          <cell r="T181">
            <v>0</v>
          </cell>
        </row>
        <row r="182">
          <cell r="A182">
            <v>0</v>
          </cell>
          <cell r="B182">
            <v>0</v>
          </cell>
          <cell r="C182" t="str">
            <v>OK</v>
          </cell>
          <cell r="D182" t="str">
            <v>OK</v>
          </cell>
          <cell r="E182" t="str">
            <v>OK</v>
          </cell>
          <cell r="F182" t="str">
            <v>OK</v>
          </cell>
          <cell r="G182" t="str">
            <v>OK</v>
          </cell>
          <cell r="H182" t="str">
            <v>OK</v>
          </cell>
          <cell r="I182" t="str">
            <v>OK</v>
          </cell>
          <cell r="J182">
            <v>0</v>
          </cell>
          <cell r="K182">
            <v>0</v>
          </cell>
          <cell r="L182" t="str">
            <v>√</v>
          </cell>
          <cell r="M182">
            <v>3</v>
          </cell>
          <cell r="N182" t="str">
            <v>√</v>
          </cell>
          <cell r="O182">
            <v>0</v>
          </cell>
          <cell r="P182">
            <v>0</v>
          </cell>
          <cell r="Q182">
            <v>0</v>
          </cell>
          <cell r="R182">
            <v>0</v>
          </cell>
          <cell r="S182">
            <v>0</v>
          </cell>
          <cell r="T182">
            <v>0</v>
          </cell>
        </row>
        <row r="183">
          <cell r="A183">
            <v>86</v>
          </cell>
          <cell r="B183">
            <v>86</v>
          </cell>
          <cell r="C183" t="str">
            <v>SODIKIN</v>
          </cell>
          <cell r="D183" t="str">
            <v>L</v>
          </cell>
          <cell r="E183" t="str">
            <v>3305140810670002</v>
          </cell>
          <cell r="F183" t="str">
            <v>PENGEMPON RT 01/RW 05</v>
          </cell>
          <cell r="G183" t="str">
            <v>Tidak Layak</v>
          </cell>
          <cell r="H183" t="str">
            <v>Tidak Layak</v>
          </cell>
          <cell r="I183" t="str">
            <v>Tidak Layak</v>
          </cell>
          <cell r="J183">
            <v>0</v>
          </cell>
          <cell r="K183">
            <v>0</v>
          </cell>
          <cell r="L183" t="str">
            <v>√</v>
          </cell>
          <cell r="M183">
            <v>3</v>
          </cell>
          <cell r="N183" t="str">
            <v>√</v>
          </cell>
          <cell r="O183">
            <v>0</v>
          </cell>
          <cell r="P183">
            <v>0</v>
          </cell>
          <cell r="Q183" t="str">
            <v>PK</v>
          </cell>
          <cell r="R183" t="str">
            <v>√</v>
          </cell>
          <cell r="S183">
            <v>0</v>
          </cell>
          <cell r="T183">
            <v>0</v>
          </cell>
        </row>
        <row r="184">
          <cell r="A184">
            <v>0</v>
          </cell>
          <cell r="B184">
            <v>0</v>
          </cell>
          <cell r="C184" t="str">
            <v>OK</v>
          </cell>
          <cell r="D184" t="str">
            <v>OK</v>
          </cell>
          <cell r="E184" t="str">
            <v>OK</v>
          </cell>
          <cell r="F184" t="str">
            <v>OK</v>
          </cell>
          <cell r="G184" t="str">
            <v>OK</v>
          </cell>
          <cell r="H184" t="str">
            <v>OK</v>
          </cell>
          <cell r="I184" t="str">
            <v>OK</v>
          </cell>
          <cell r="J184">
            <v>0</v>
          </cell>
          <cell r="K184">
            <v>0</v>
          </cell>
          <cell r="L184" t="str">
            <v>√</v>
          </cell>
          <cell r="M184">
            <v>3</v>
          </cell>
          <cell r="N184" t="str">
            <v>√</v>
          </cell>
          <cell r="O184">
            <v>0</v>
          </cell>
          <cell r="P184">
            <v>0</v>
          </cell>
          <cell r="Q184">
            <v>0</v>
          </cell>
          <cell r="R184">
            <v>0</v>
          </cell>
          <cell r="S184">
            <v>0</v>
          </cell>
          <cell r="T184">
            <v>0</v>
          </cell>
        </row>
        <row r="185">
          <cell r="A185">
            <v>87</v>
          </cell>
          <cell r="B185">
            <v>87</v>
          </cell>
          <cell r="C185" t="str">
            <v>SOLIHUDIN</v>
          </cell>
          <cell r="D185" t="str">
            <v>L</v>
          </cell>
          <cell r="E185" t="str">
            <v>3305142604850003</v>
          </cell>
          <cell r="F185" t="str">
            <v>PENGEMPON RT 01/RW 05</v>
          </cell>
          <cell r="G185" t="str">
            <v>Tidak Layak</v>
          </cell>
          <cell r="H185" t="str">
            <v>Tidak Layak</v>
          </cell>
          <cell r="I185" t="str">
            <v>Tidak Layak</v>
          </cell>
          <cell r="J185">
            <v>0</v>
          </cell>
          <cell r="K185">
            <v>0</v>
          </cell>
          <cell r="L185" t="str">
            <v>√</v>
          </cell>
          <cell r="M185">
            <v>3</v>
          </cell>
          <cell r="N185" t="str">
            <v>√</v>
          </cell>
          <cell r="O185">
            <v>0</v>
          </cell>
          <cell r="P185">
            <v>0</v>
          </cell>
          <cell r="Q185" t="str">
            <v>PK</v>
          </cell>
          <cell r="R185" t="str">
            <v>√</v>
          </cell>
          <cell r="S185">
            <v>0</v>
          </cell>
          <cell r="T185">
            <v>0</v>
          </cell>
        </row>
        <row r="186">
          <cell r="A186">
            <v>0</v>
          </cell>
          <cell r="B186">
            <v>0</v>
          </cell>
          <cell r="C186" t="str">
            <v>OK</v>
          </cell>
          <cell r="D186" t="str">
            <v>OK</v>
          </cell>
          <cell r="E186" t="str">
            <v>OK</v>
          </cell>
          <cell r="F186" t="str">
            <v>OK</v>
          </cell>
          <cell r="G186" t="str">
            <v>OK</v>
          </cell>
          <cell r="H186" t="str">
            <v>OK</v>
          </cell>
          <cell r="I186" t="str">
            <v>OK</v>
          </cell>
          <cell r="J186">
            <v>0</v>
          </cell>
          <cell r="K186">
            <v>0</v>
          </cell>
          <cell r="L186" t="str">
            <v>√</v>
          </cell>
          <cell r="M186">
            <v>3</v>
          </cell>
          <cell r="N186" t="str">
            <v>√</v>
          </cell>
          <cell r="O186">
            <v>0</v>
          </cell>
          <cell r="P186">
            <v>0</v>
          </cell>
          <cell r="Q186">
            <v>0</v>
          </cell>
          <cell r="R186">
            <v>0</v>
          </cell>
          <cell r="S186">
            <v>0</v>
          </cell>
          <cell r="T186">
            <v>0</v>
          </cell>
        </row>
        <row r="187">
          <cell r="A187">
            <v>88</v>
          </cell>
          <cell r="B187">
            <v>88</v>
          </cell>
          <cell r="C187" t="str">
            <v>SITI BAENGATUN</v>
          </cell>
          <cell r="D187" t="str">
            <v>P</v>
          </cell>
          <cell r="E187" t="str">
            <v>3305145606770001</v>
          </cell>
          <cell r="F187" t="str">
            <v>PEMGEMPON RT 01/RW 05</v>
          </cell>
          <cell r="G187" t="str">
            <v>Tidak Layak</v>
          </cell>
          <cell r="H187" t="str">
            <v>Tidak Layak</v>
          </cell>
          <cell r="I187" t="str">
            <v>Tidak Layak</v>
          </cell>
          <cell r="J187">
            <v>0</v>
          </cell>
          <cell r="K187">
            <v>0</v>
          </cell>
          <cell r="L187" t="str">
            <v>√</v>
          </cell>
          <cell r="M187">
            <v>3</v>
          </cell>
          <cell r="N187" t="str">
            <v>√</v>
          </cell>
          <cell r="O187">
            <v>0</v>
          </cell>
          <cell r="P187">
            <v>0</v>
          </cell>
          <cell r="Q187" t="str">
            <v>PK</v>
          </cell>
          <cell r="R187" t="str">
            <v>√</v>
          </cell>
          <cell r="S187">
            <v>0</v>
          </cell>
          <cell r="T187">
            <v>0</v>
          </cell>
        </row>
        <row r="188">
          <cell r="A188">
            <v>0</v>
          </cell>
          <cell r="B188">
            <v>0</v>
          </cell>
          <cell r="C188" t="str">
            <v>OK</v>
          </cell>
          <cell r="D188" t="str">
            <v>OK</v>
          </cell>
          <cell r="E188" t="str">
            <v>OK</v>
          </cell>
          <cell r="F188" t="str">
            <v>OK</v>
          </cell>
          <cell r="G188" t="str">
            <v>OK</v>
          </cell>
          <cell r="H188" t="str">
            <v>OK</v>
          </cell>
          <cell r="I188" t="str">
            <v>OK</v>
          </cell>
          <cell r="J188">
            <v>0</v>
          </cell>
          <cell r="K188">
            <v>0</v>
          </cell>
          <cell r="L188" t="str">
            <v>√</v>
          </cell>
          <cell r="M188">
            <v>3</v>
          </cell>
          <cell r="N188" t="str">
            <v>√</v>
          </cell>
          <cell r="O188">
            <v>0</v>
          </cell>
          <cell r="P188">
            <v>0</v>
          </cell>
          <cell r="Q188">
            <v>0</v>
          </cell>
          <cell r="R188">
            <v>0</v>
          </cell>
          <cell r="S188">
            <v>0</v>
          </cell>
          <cell r="T188">
            <v>0</v>
          </cell>
        </row>
        <row r="189">
          <cell r="A189">
            <v>89</v>
          </cell>
          <cell r="B189">
            <v>89</v>
          </cell>
          <cell r="C189" t="str">
            <v>SOMADI</v>
          </cell>
          <cell r="D189" t="str">
            <v>L</v>
          </cell>
          <cell r="E189" t="str">
            <v>3305140201260001</v>
          </cell>
          <cell r="F189" t="str">
            <v>PENGEMPON RT 02/RW 05</v>
          </cell>
          <cell r="G189" t="str">
            <v>Tidak Layak</v>
          </cell>
          <cell r="H189" t="str">
            <v>Tidak Layak</v>
          </cell>
          <cell r="I189" t="str">
            <v>Tidak Layak</v>
          </cell>
          <cell r="J189">
            <v>0</v>
          </cell>
          <cell r="K189">
            <v>0</v>
          </cell>
          <cell r="L189" t="str">
            <v>√</v>
          </cell>
          <cell r="M189">
            <v>3</v>
          </cell>
          <cell r="N189" t="str">
            <v>√</v>
          </cell>
          <cell r="O189">
            <v>0</v>
          </cell>
          <cell r="P189">
            <v>0</v>
          </cell>
          <cell r="Q189" t="str">
            <v>PK</v>
          </cell>
          <cell r="R189" t="str">
            <v>√</v>
          </cell>
          <cell r="S189">
            <v>0</v>
          </cell>
          <cell r="T189">
            <v>0</v>
          </cell>
        </row>
        <row r="190">
          <cell r="A190">
            <v>0</v>
          </cell>
          <cell r="B190">
            <v>0</v>
          </cell>
          <cell r="C190" t="str">
            <v>OK</v>
          </cell>
          <cell r="D190" t="str">
            <v>OK</v>
          </cell>
          <cell r="E190" t="str">
            <v>OK</v>
          </cell>
          <cell r="F190" t="str">
            <v>OK</v>
          </cell>
          <cell r="G190" t="str">
            <v>OK</v>
          </cell>
          <cell r="H190" t="str">
            <v>OK</v>
          </cell>
          <cell r="I190" t="str">
            <v>OK</v>
          </cell>
          <cell r="J190">
            <v>0</v>
          </cell>
          <cell r="K190">
            <v>0</v>
          </cell>
          <cell r="L190" t="str">
            <v>√</v>
          </cell>
          <cell r="M190">
            <v>3</v>
          </cell>
          <cell r="N190" t="str">
            <v>√</v>
          </cell>
          <cell r="O190">
            <v>0</v>
          </cell>
          <cell r="P190">
            <v>0</v>
          </cell>
          <cell r="Q190">
            <v>0</v>
          </cell>
          <cell r="R190">
            <v>0</v>
          </cell>
          <cell r="S190">
            <v>0</v>
          </cell>
          <cell r="T190">
            <v>0</v>
          </cell>
        </row>
        <row r="191">
          <cell r="A191">
            <v>90</v>
          </cell>
          <cell r="B191">
            <v>90</v>
          </cell>
          <cell r="C191" t="str">
            <v>MUFIDUN</v>
          </cell>
          <cell r="D191" t="str">
            <v>L</v>
          </cell>
          <cell r="E191" t="str">
            <v>3305141508850001</v>
          </cell>
          <cell r="F191" t="str">
            <v>PENGEMPON RT 02/RW 05</v>
          </cell>
          <cell r="G191" t="str">
            <v>Tidak Layak</v>
          </cell>
          <cell r="H191" t="str">
            <v>Tidak Layak</v>
          </cell>
          <cell r="I191" t="str">
            <v>Tidak Layak</v>
          </cell>
          <cell r="J191">
            <v>0</v>
          </cell>
          <cell r="K191">
            <v>0</v>
          </cell>
          <cell r="L191" t="str">
            <v>√</v>
          </cell>
          <cell r="M191">
            <v>3</v>
          </cell>
          <cell r="N191" t="str">
            <v>√</v>
          </cell>
          <cell r="O191">
            <v>0</v>
          </cell>
          <cell r="P191">
            <v>0</v>
          </cell>
          <cell r="Q191" t="str">
            <v>PK</v>
          </cell>
          <cell r="R191" t="str">
            <v>√</v>
          </cell>
          <cell r="S191">
            <v>0</v>
          </cell>
          <cell r="T191">
            <v>0</v>
          </cell>
        </row>
        <row r="192">
          <cell r="A192">
            <v>0</v>
          </cell>
          <cell r="B192">
            <v>0</v>
          </cell>
          <cell r="C192" t="str">
            <v>OK</v>
          </cell>
          <cell r="D192" t="str">
            <v>OK</v>
          </cell>
          <cell r="E192" t="str">
            <v>OK</v>
          </cell>
          <cell r="F192" t="str">
            <v>OK</v>
          </cell>
          <cell r="G192" t="str">
            <v>OK</v>
          </cell>
          <cell r="H192" t="str">
            <v>OK</v>
          </cell>
          <cell r="I192" t="str">
            <v>OK</v>
          </cell>
          <cell r="J192">
            <v>0</v>
          </cell>
          <cell r="K192">
            <v>0</v>
          </cell>
          <cell r="L192" t="str">
            <v>√</v>
          </cell>
          <cell r="M192">
            <v>3</v>
          </cell>
          <cell r="N192" t="str">
            <v>√</v>
          </cell>
          <cell r="O192">
            <v>0</v>
          </cell>
          <cell r="P192">
            <v>0</v>
          </cell>
          <cell r="Q192">
            <v>0</v>
          </cell>
          <cell r="R192">
            <v>0</v>
          </cell>
          <cell r="S192">
            <v>0</v>
          </cell>
          <cell r="T192">
            <v>0</v>
          </cell>
        </row>
        <row r="193">
          <cell r="A193">
            <v>91</v>
          </cell>
          <cell r="B193">
            <v>91</v>
          </cell>
          <cell r="C193" t="str">
            <v>RATIMIN</v>
          </cell>
          <cell r="D193" t="str">
            <v>L</v>
          </cell>
          <cell r="E193" t="str">
            <v>3305140707550002</v>
          </cell>
          <cell r="F193" t="str">
            <v>PENGEMPON RT 02/RW 05</v>
          </cell>
          <cell r="G193" t="str">
            <v>Tidak Layak</v>
          </cell>
          <cell r="H193" t="str">
            <v>Tidak Layak</v>
          </cell>
          <cell r="I193" t="str">
            <v>Tidak Layak</v>
          </cell>
          <cell r="J193">
            <v>0</v>
          </cell>
          <cell r="K193">
            <v>0</v>
          </cell>
          <cell r="L193" t="str">
            <v>√</v>
          </cell>
          <cell r="M193">
            <v>3</v>
          </cell>
          <cell r="N193" t="str">
            <v>√</v>
          </cell>
          <cell r="O193">
            <v>0</v>
          </cell>
          <cell r="P193">
            <v>0</v>
          </cell>
          <cell r="Q193" t="str">
            <v>PK</v>
          </cell>
          <cell r="R193" t="str">
            <v>√</v>
          </cell>
          <cell r="S193">
            <v>0</v>
          </cell>
          <cell r="T193">
            <v>0</v>
          </cell>
        </row>
        <row r="194">
          <cell r="A194">
            <v>0</v>
          </cell>
          <cell r="B194">
            <v>0</v>
          </cell>
          <cell r="C194" t="str">
            <v>OK</v>
          </cell>
          <cell r="D194" t="str">
            <v>OK</v>
          </cell>
          <cell r="E194" t="str">
            <v>OK</v>
          </cell>
          <cell r="F194" t="str">
            <v>OK</v>
          </cell>
          <cell r="G194" t="str">
            <v>OK</v>
          </cell>
          <cell r="H194" t="str">
            <v>OK</v>
          </cell>
          <cell r="I194" t="str">
            <v>OK</v>
          </cell>
          <cell r="J194">
            <v>0</v>
          </cell>
          <cell r="K194">
            <v>0</v>
          </cell>
          <cell r="L194" t="str">
            <v>√</v>
          </cell>
          <cell r="M194">
            <v>3</v>
          </cell>
          <cell r="N194" t="str">
            <v>√</v>
          </cell>
          <cell r="O194">
            <v>0</v>
          </cell>
          <cell r="P194">
            <v>0</v>
          </cell>
          <cell r="Q194">
            <v>0</v>
          </cell>
          <cell r="R194">
            <v>0</v>
          </cell>
          <cell r="S194">
            <v>0</v>
          </cell>
          <cell r="T194">
            <v>0</v>
          </cell>
        </row>
        <row r="195">
          <cell r="A195">
            <v>92</v>
          </cell>
          <cell r="B195">
            <v>92</v>
          </cell>
          <cell r="C195" t="str">
            <v>UDINANTO</v>
          </cell>
          <cell r="D195" t="str">
            <v>L</v>
          </cell>
          <cell r="E195" t="str">
            <v>3305141709690001</v>
          </cell>
          <cell r="F195" t="str">
            <v>PENGEMPON RT 02/RW 05</v>
          </cell>
          <cell r="G195" t="str">
            <v>Tidak Layak</v>
          </cell>
          <cell r="H195" t="str">
            <v>Tidak Layak</v>
          </cell>
          <cell r="I195" t="str">
            <v>Tidak Layak</v>
          </cell>
          <cell r="J195">
            <v>0</v>
          </cell>
          <cell r="K195">
            <v>0</v>
          </cell>
          <cell r="L195" t="str">
            <v>√</v>
          </cell>
          <cell r="M195">
            <v>3</v>
          </cell>
          <cell r="N195" t="str">
            <v>√</v>
          </cell>
          <cell r="O195">
            <v>0</v>
          </cell>
          <cell r="P195">
            <v>0</v>
          </cell>
          <cell r="Q195" t="str">
            <v>PK</v>
          </cell>
          <cell r="R195" t="str">
            <v>√</v>
          </cell>
          <cell r="S195">
            <v>0</v>
          </cell>
          <cell r="T195">
            <v>0</v>
          </cell>
        </row>
        <row r="196">
          <cell r="A196">
            <v>0</v>
          </cell>
          <cell r="B196">
            <v>0</v>
          </cell>
          <cell r="C196" t="str">
            <v>OK</v>
          </cell>
          <cell r="D196" t="str">
            <v>OK</v>
          </cell>
          <cell r="E196" t="str">
            <v>OK</v>
          </cell>
          <cell r="F196" t="str">
            <v>OK</v>
          </cell>
          <cell r="G196" t="str">
            <v>OK</v>
          </cell>
          <cell r="H196" t="str">
            <v>OK</v>
          </cell>
          <cell r="I196" t="str">
            <v>OK</v>
          </cell>
          <cell r="J196">
            <v>0</v>
          </cell>
          <cell r="K196">
            <v>0</v>
          </cell>
          <cell r="L196" t="str">
            <v>√</v>
          </cell>
          <cell r="M196">
            <v>3</v>
          </cell>
          <cell r="N196" t="str">
            <v>√</v>
          </cell>
          <cell r="O196">
            <v>0</v>
          </cell>
          <cell r="P196">
            <v>0</v>
          </cell>
          <cell r="Q196">
            <v>0</v>
          </cell>
          <cell r="R196">
            <v>0</v>
          </cell>
          <cell r="S196">
            <v>0</v>
          </cell>
          <cell r="T196">
            <v>0</v>
          </cell>
        </row>
        <row r="197">
          <cell r="A197">
            <v>93</v>
          </cell>
          <cell r="B197">
            <v>93</v>
          </cell>
          <cell r="C197" t="str">
            <v>SARIMUN</v>
          </cell>
          <cell r="D197" t="str">
            <v>L</v>
          </cell>
          <cell r="E197" t="str">
            <v>3305143112690020</v>
          </cell>
          <cell r="F197" t="str">
            <v>PENGEMPON RT 02/RW 05</v>
          </cell>
          <cell r="G197" t="str">
            <v>Tidak Layak</v>
          </cell>
          <cell r="H197" t="str">
            <v>Tidak Layak</v>
          </cell>
          <cell r="I197" t="str">
            <v>Tidak Layak</v>
          </cell>
          <cell r="J197">
            <v>0</v>
          </cell>
          <cell r="K197">
            <v>0</v>
          </cell>
          <cell r="L197" t="str">
            <v>√</v>
          </cell>
          <cell r="M197">
            <v>3</v>
          </cell>
          <cell r="N197" t="str">
            <v>√</v>
          </cell>
          <cell r="O197">
            <v>0</v>
          </cell>
          <cell r="P197">
            <v>0</v>
          </cell>
          <cell r="Q197" t="str">
            <v>PK</v>
          </cell>
          <cell r="R197" t="str">
            <v>√</v>
          </cell>
          <cell r="S197">
            <v>0</v>
          </cell>
          <cell r="T197">
            <v>0</v>
          </cell>
        </row>
        <row r="198">
          <cell r="A198">
            <v>0</v>
          </cell>
          <cell r="B198">
            <v>0</v>
          </cell>
          <cell r="C198" t="str">
            <v>OK</v>
          </cell>
          <cell r="D198" t="str">
            <v>OK</v>
          </cell>
          <cell r="E198" t="str">
            <v>OK</v>
          </cell>
          <cell r="F198" t="str">
            <v>OK</v>
          </cell>
          <cell r="G198" t="str">
            <v>OK</v>
          </cell>
          <cell r="H198" t="str">
            <v>OK</v>
          </cell>
          <cell r="I198" t="str">
            <v>OK</v>
          </cell>
          <cell r="J198">
            <v>0</v>
          </cell>
          <cell r="K198">
            <v>0</v>
          </cell>
          <cell r="L198" t="str">
            <v>√</v>
          </cell>
          <cell r="M198">
            <v>3</v>
          </cell>
          <cell r="N198" t="str">
            <v>√</v>
          </cell>
          <cell r="O198">
            <v>0</v>
          </cell>
          <cell r="P198">
            <v>0</v>
          </cell>
          <cell r="Q198">
            <v>0</v>
          </cell>
          <cell r="R198">
            <v>0</v>
          </cell>
          <cell r="S198">
            <v>0</v>
          </cell>
          <cell r="T198">
            <v>0</v>
          </cell>
        </row>
        <row r="199">
          <cell r="A199">
            <v>94</v>
          </cell>
          <cell r="B199">
            <v>94</v>
          </cell>
          <cell r="C199" t="str">
            <v>NUR KHOLIS</v>
          </cell>
          <cell r="D199" t="str">
            <v>L</v>
          </cell>
          <cell r="E199" t="str">
            <v>3305140910810004</v>
          </cell>
          <cell r="F199" t="str">
            <v>PENGEMPON RT 02/RW 05</v>
          </cell>
          <cell r="G199" t="str">
            <v>Tidak Layak</v>
          </cell>
          <cell r="H199" t="str">
            <v>Tidak Layak</v>
          </cell>
          <cell r="I199" t="str">
            <v>Tidak Layak</v>
          </cell>
          <cell r="J199">
            <v>0</v>
          </cell>
          <cell r="K199">
            <v>0</v>
          </cell>
          <cell r="L199" t="str">
            <v>√</v>
          </cell>
          <cell r="M199">
            <v>3</v>
          </cell>
          <cell r="N199" t="str">
            <v>√</v>
          </cell>
          <cell r="O199">
            <v>0</v>
          </cell>
          <cell r="P199">
            <v>0</v>
          </cell>
          <cell r="Q199" t="str">
            <v>PK</v>
          </cell>
          <cell r="R199" t="str">
            <v>√</v>
          </cell>
          <cell r="S199">
            <v>0</v>
          </cell>
          <cell r="T199">
            <v>0</v>
          </cell>
        </row>
        <row r="200">
          <cell r="A200">
            <v>0</v>
          </cell>
          <cell r="B200">
            <v>0</v>
          </cell>
          <cell r="C200" t="str">
            <v>OK</v>
          </cell>
          <cell r="D200" t="str">
            <v>OK</v>
          </cell>
          <cell r="E200" t="str">
            <v>OK</v>
          </cell>
          <cell r="F200" t="str">
            <v>OK</v>
          </cell>
          <cell r="G200" t="str">
            <v>OK</v>
          </cell>
          <cell r="H200" t="str">
            <v>OK</v>
          </cell>
          <cell r="I200" t="str">
            <v>OK</v>
          </cell>
          <cell r="J200">
            <v>0</v>
          </cell>
          <cell r="K200">
            <v>0</v>
          </cell>
          <cell r="L200" t="str">
            <v>√</v>
          </cell>
          <cell r="M200">
            <v>3</v>
          </cell>
          <cell r="N200" t="str">
            <v>√</v>
          </cell>
          <cell r="O200">
            <v>0</v>
          </cell>
          <cell r="P200">
            <v>0</v>
          </cell>
          <cell r="Q200">
            <v>0</v>
          </cell>
          <cell r="R200">
            <v>0</v>
          </cell>
          <cell r="S200">
            <v>0</v>
          </cell>
          <cell r="T200">
            <v>0</v>
          </cell>
        </row>
        <row r="201">
          <cell r="A201">
            <v>95</v>
          </cell>
          <cell r="B201">
            <v>95</v>
          </cell>
          <cell r="C201" t="str">
            <v>SAKIMIN</v>
          </cell>
          <cell r="D201" t="str">
            <v>L</v>
          </cell>
          <cell r="E201" t="str">
            <v>3305141210490001</v>
          </cell>
          <cell r="F201" t="str">
            <v>PENGEMPON RT 03/RW 05</v>
          </cell>
          <cell r="G201" t="str">
            <v>Tidak Layak</v>
          </cell>
          <cell r="H201" t="str">
            <v>Tidak Layak</v>
          </cell>
          <cell r="I201" t="str">
            <v>Tidak Layak</v>
          </cell>
          <cell r="J201">
            <v>0</v>
          </cell>
          <cell r="K201">
            <v>0</v>
          </cell>
          <cell r="L201" t="str">
            <v>√</v>
          </cell>
          <cell r="M201">
            <v>3</v>
          </cell>
          <cell r="N201" t="str">
            <v>√</v>
          </cell>
          <cell r="O201">
            <v>0</v>
          </cell>
          <cell r="P201">
            <v>0</v>
          </cell>
          <cell r="Q201" t="str">
            <v>PK</v>
          </cell>
          <cell r="R201" t="str">
            <v>√</v>
          </cell>
          <cell r="S201">
            <v>0</v>
          </cell>
          <cell r="T201">
            <v>0</v>
          </cell>
        </row>
        <row r="202">
          <cell r="A202">
            <v>0</v>
          </cell>
          <cell r="B202">
            <v>0</v>
          </cell>
          <cell r="C202" t="str">
            <v>OK</v>
          </cell>
          <cell r="D202" t="str">
            <v>OK</v>
          </cell>
          <cell r="E202" t="str">
            <v>OK</v>
          </cell>
          <cell r="F202" t="str">
            <v>OK</v>
          </cell>
          <cell r="G202" t="str">
            <v>OK</v>
          </cell>
          <cell r="H202" t="str">
            <v>OK</v>
          </cell>
          <cell r="I202" t="str">
            <v>OK</v>
          </cell>
          <cell r="J202">
            <v>0</v>
          </cell>
          <cell r="K202">
            <v>0</v>
          </cell>
          <cell r="L202" t="str">
            <v>√</v>
          </cell>
          <cell r="M202">
            <v>3</v>
          </cell>
          <cell r="N202" t="str">
            <v>√</v>
          </cell>
          <cell r="O202">
            <v>0</v>
          </cell>
          <cell r="P202">
            <v>0</v>
          </cell>
          <cell r="Q202">
            <v>0</v>
          </cell>
          <cell r="R202">
            <v>0</v>
          </cell>
          <cell r="S202">
            <v>0</v>
          </cell>
          <cell r="T202">
            <v>0</v>
          </cell>
        </row>
        <row r="203">
          <cell r="A203">
            <v>96</v>
          </cell>
          <cell r="B203">
            <v>96</v>
          </cell>
          <cell r="C203" t="str">
            <v>SURYATI</v>
          </cell>
          <cell r="D203" t="str">
            <v>P</v>
          </cell>
          <cell r="E203" t="str">
            <v>3305144505590006</v>
          </cell>
          <cell r="F203" t="str">
            <v>PENGEMPON RT 03/RW 05</v>
          </cell>
          <cell r="G203" t="str">
            <v>Tidak Layak</v>
          </cell>
          <cell r="H203" t="str">
            <v>Tidak Layak</v>
          </cell>
          <cell r="I203" t="str">
            <v>Tidak Layak</v>
          </cell>
          <cell r="J203">
            <v>0</v>
          </cell>
          <cell r="K203">
            <v>0</v>
          </cell>
          <cell r="L203" t="str">
            <v>√</v>
          </cell>
          <cell r="M203">
            <v>3</v>
          </cell>
          <cell r="N203" t="str">
            <v>√</v>
          </cell>
          <cell r="O203">
            <v>0</v>
          </cell>
          <cell r="P203">
            <v>0</v>
          </cell>
          <cell r="Q203" t="str">
            <v>PK</v>
          </cell>
          <cell r="R203" t="str">
            <v>√</v>
          </cell>
          <cell r="S203">
            <v>0</v>
          </cell>
          <cell r="T203">
            <v>0</v>
          </cell>
        </row>
        <row r="204">
          <cell r="A204">
            <v>0</v>
          </cell>
          <cell r="B204">
            <v>0</v>
          </cell>
          <cell r="C204" t="str">
            <v>OK</v>
          </cell>
          <cell r="D204" t="str">
            <v>OK</v>
          </cell>
          <cell r="E204" t="str">
            <v>OK</v>
          </cell>
          <cell r="F204" t="str">
            <v>OK</v>
          </cell>
          <cell r="G204" t="str">
            <v>OK</v>
          </cell>
          <cell r="H204" t="str">
            <v>OK</v>
          </cell>
          <cell r="I204" t="str">
            <v>OK</v>
          </cell>
          <cell r="J204">
            <v>0</v>
          </cell>
          <cell r="K204">
            <v>0</v>
          </cell>
          <cell r="L204" t="str">
            <v>√</v>
          </cell>
          <cell r="M204">
            <v>3</v>
          </cell>
          <cell r="N204" t="str">
            <v>√</v>
          </cell>
          <cell r="O204">
            <v>0</v>
          </cell>
          <cell r="P204">
            <v>0</v>
          </cell>
          <cell r="Q204">
            <v>0</v>
          </cell>
          <cell r="R204">
            <v>0</v>
          </cell>
          <cell r="S204">
            <v>0</v>
          </cell>
          <cell r="T204">
            <v>0</v>
          </cell>
        </row>
        <row r="205">
          <cell r="A205">
            <v>97</v>
          </cell>
          <cell r="B205">
            <v>97</v>
          </cell>
          <cell r="C205" t="str">
            <v>KASAN</v>
          </cell>
          <cell r="D205" t="str">
            <v>L</v>
          </cell>
          <cell r="E205" t="str">
            <v>3305141608660003</v>
          </cell>
          <cell r="F205" t="str">
            <v>PENGEMPON RT 03/RW 05</v>
          </cell>
          <cell r="G205" t="str">
            <v>Tidak Layak</v>
          </cell>
          <cell r="H205" t="str">
            <v>Tidak Layak</v>
          </cell>
          <cell r="I205" t="str">
            <v>Tidak Layak</v>
          </cell>
          <cell r="J205">
            <v>0</v>
          </cell>
          <cell r="K205">
            <v>0</v>
          </cell>
          <cell r="L205" t="str">
            <v>√</v>
          </cell>
          <cell r="M205">
            <v>3</v>
          </cell>
          <cell r="N205" t="str">
            <v>√</v>
          </cell>
          <cell r="O205">
            <v>0</v>
          </cell>
          <cell r="P205">
            <v>0</v>
          </cell>
          <cell r="Q205" t="str">
            <v>PK</v>
          </cell>
          <cell r="R205" t="str">
            <v>√</v>
          </cell>
          <cell r="S205">
            <v>0</v>
          </cell>
          <cell r="T205">
            <v>0</v>
          </cell>
        </row>
        <row r="206">
          <cell r="A206">
            <v>0</v>
          </cell>
          <cell r="B206">
            <v>0</v>
          </cell>
          <cell r="C206" t="str">
            <v>OK</v>
          </cell>
          <cell r="D206" t="str">
            <v>OK</v>
          </cell>
          <cell r="E206" t="str">
            <v>OK</v>
          </cell>
          <cell r="F206" t="str">
            <v>OK</v>
          </cell>
          <cell r="G206" t="str">
            <v>OK</v>
          </cell>
          <cell r="H206" t="str">
            <v>OK</v>
          </cell>
          <cell r="I206" t="str">
            <v>OK</v>
          </cell>
          <cell r="J206">
            <v>0</v>
          </cell>
          <cell r="K206">
            <v>0</v>
          </cell>
          <cell r="L206" t="str">
            <v>√</v>
          </cell>
          <cell r="M206">
            <v>3</v>
          </cell>
          <cell r="N206" t="str">
            <v>√</v>
          </cell>
          <cell r="O206">
            <v>0</v>
          </cell>
          <cell r="P206">
            <v>0</v>
          </cell>
          <cell r="Q206">
            <v>0</v>
          </cell>
          <cell r="R206">
            <v>0</v>
          </cell>
          <cell r="S206">
            <v>0</v>
          </cell>
          <cell r="T206">
            <v>0</v>
          </cell>
        </row>
        <row r="207">
          <cell r="A207">
            <v>98</v>
          </cell>
          <cell r="B207">
            <v>98</v>
          </cell>
          <cell r="C207" t="str">
            <v>SUPARJO</v>
          </cell>
          <cell r="D207" t="str">
            <v>L</v>
          </cell>
          <cell r="E207" t="str">
            <v>3305141108860005</v>
          </cell>
          <cell r="F207" t="str">
            <v>PENGEMPON RT 03/RW 05</v>
          </cell>
          <cell r="G207" t="str">
            <v>Tidak Layak</v>
          </cell>
          <cell r="H207" t="str">
            <v>Tidak Layak</v>
          </cell>
          <cell r="I207" t="str">
            <v>Tidak Layak</v>
          </cell>
          <cell r="J207">
            <v>0</v>
          </cell>
          <cell r="K207">
            <v>0</v>
          </cell>
          <cell r="L207" t="str">
            <v>√</v>
          </cell>
          <cell r="M207">
            <v>3</v>
          </cell>
          <cell r="N207" t="str">
            <v>√</v>
          </cell>
          <cell r="O207">
            <v>0</v>
          </cell>
          <cell r="P207">
            <v>0</v>
          </cell>
          <cell r="Q207" t="str">
            <v>PK</v>
          </cell>
          <cell r="R207" t="str">
            <v>√</v>
          </cell>
          <cell r="S207">
            <v>0</v>
          </cell>
          <cell r="T207">
            <v>0</v>
          </cell>
        </row>
        <row r="208">
          <cell r="A208">
            <v>0</v>
          </cell>
          <cell r="B208">
            <v>0</v>
          </cell>
          <cell r="C208" t="str">
            <v>OK</v>
          </cell>
          <cell r="D208" t="str">
            <v>OK</v>
          </cell>
          <cell r="E208" t="str">
            <v>OK</v>
          </cell>
          <cell r="F208" t="str">
            <v>OK</v>
          </cell>
          <cell r="G208" t="str">
            <v>OK</v>
          </cell>
          <cell r="H208" t="str">
            <v>OK</v>
          </cell>
          <cell r="I208" t="str">
            <v>OK</v>
          </cell>
          <cell r="J208">
            <v>0</v>
          </cell>
          <cell r="K208">
            <v>0</v>
          </cell>
          <cell r="L208" t="str">
            <v>√</v>
          </cell>
          <cell r="M208">
            <v>3</v>
          </cell>
          <cell r="N208" t="str">
            <v>√</v>
          </cell>
          <cell r="O208">
            <v>0</v>
          </cell>
          <cell r="P208">
            <v>0</v>
          </cell>
          <cell r="Q208">
            <v>0</v>
          </cell>
          <cell r="R208">
            <v>0</v>
          </cell>
          <cell r="S208">
            <v>0</v>
          </cell>
          <cell r="T208">
            <v>0</v>
          </cell>
        </row>
        <row r="209">
          <cell r="A209">
            <v>99</v>
          </cell>
          <cell r="B209">
            <v>99</v>
          </cell>
          <cell r="C209" t="str">
            <v>TRIYONO</v>
          </cell>
          <cell r="D209" t="str">
            <v>L</v>
          </cell>
          <cell r="E209" t="str">
            <v>3305142301810002</v>
          </cell>
          <cell r="F209" t="str">
            <v>PENGEMPON RT 04/RW 05</v>
          </cell>
          <cell r="G209" t="str">
            <v>Tidak Layak</v>
          </cell>
          <cell r="H209" t="str">
            <v>Tidak Layak</v>
          </cell>
          <cell r="I209" t="str">
            <v>Tidak Layak</v>
          </cell>
          <cell r="J209">
            <v>0</v>
          </cell>
          <cell r="K209">
            <v>0</v>
          </cell>
          <cell r="L209" t="str">
            <v>√</v>
          </cell>
          <cell r="M209">
            <v>3</v>
          </cell>
          <cell r="N209" t="str">
            <v>√</v>
          </cell>
          <cell r="O209">
            <v>0</v>
          </cell>
          <cell r="P209">
            <v>0</v>
          </cell>
          <cell r="Q209" t="str">
            <v>PK</v>
          </cell>
          <cell r="R209" t="str">
            <v>√</v>
          </cell>
          <cell r="S209">
            <v>0</v>
          </cell>
          <cell r="T209">
            <v>0</v>
          </cell>
        </row>
        <row r="210">
          <cell r="A210">
            <v>0</v>
          </cell>
          <cell r="B210">
            <v>0</v>
          </cell>
          <cell r="C210" t="str">
            <v>OK</v>
          </cell>
          <cell r="D210" t="str">
            <v>OK</v>
          </cell>
          <cell r="E210" t="str">
            <v>OK</v>
          </cell>
          <cell r="F210" t="str">
            <v>OK</v>
          </cell>
          <cell r="G210" t="str">
            <v>OK</v>
          </cell>
          <cell r="H210" t="str">
            <v>OK</v>
          </cell>
          <cell r="I210" t="str">
            <v>OK</v>
          </cell>
          <cell r="J210">
            <v>0</v>
          </cell>
          <cell r="K210">
            <v>0</v>
          </cell>
          <cell r="L210" t="str">
            <v>√</v>
          </cell>
          <cell r="M210">
            <v>3</v>
          </cell>
          <cell r="N210" t="str">
            <v>√</v>
          </cell>
          <cell r="O210">
            <v>0</v>
          </cell>
          <cell r="P210">
            <v>0</v>
          </cell>
          <cell r="Q210">
            <v>0</v>
          </cell>
          <cell r="R210">
            <v>0</v>
          </cell>
          <cell r="S210">
            <v>0</v>
          </cell>
          <cell r="T210">
            <v>0</v>
          </cell>
        </row>
        <row r="211">
          <cell r="A211">
            <v>100</v>
          </cell>
          <cell r="B211">
            <v>100</v>
          </cell>
          <cell r="C211" t="str">
            <v>RUKIYAH</v>
          </cell>
          <cell r="D211" t="str">
            <v>P</v>
          </cell>
          <cell r="E211" t="str">
            <v>3305145108760001</v>
          </cell>
          <cell r="F211" t="str">
            <v>PENGEMPON RT 04/RW 05</v>
          </cell>
          <cell r="G211" t="str">
            <v>Tidak Layak</v>
          </cell>
          <cell r="H211" t="str">
            <v>Tidak Layak</v>
          </cell>
          <cell r="I211" t="str">
            <v>Tidak Layak</v>
          </cell>
          <cell r="J211">
            <v>0</v>
          </cell>
          <cell r="K211">
            <v>0</v>
          </cell>
          <cell r="L211" t="str">
            <v>√</v>
          </cell>
          <cell r="M211">
            <v>3</v>
          </cell>
          <cell r="N211" t="str">
            <v>√</v>
          </cell>
          <cell r="O211">
            <v>0</v>
          </cell>
          <cell r="P211">
            <v>0</v>
          </cell>
          <cell r="Q211" t="str">
            <v>PK</v>
          </cell>
          <cell r="R211" t="str">
            <v>√</v>
          </cell>
          <cell r="S211">
            <v>0</v>
          </cell>
          <cell r="T211">
            <v>0</v>
          </cell>
        </row>
        <row r="212">
          <cell r="A212">
            <v>0</v>
          </cell>
          <cell r="B212">
            <v>0</v>
          </cell>
          <cell r="C212" t="str">
            <v>OK</v>
          </cell>
          <cell r="D212" t="str">
            <v>OK</v>
          </cell>
          <cell r="E212" t="str">
            <v>OK</v>
          </cell>
          <cell r="F212" t="str">
            <v>OK</v>
          </cell>
          <cell r="G212" t="str">
            <v>OK</v>
          </cell>
          <cell r="H212" t="str">
            <v>OK</v>
          </cell>
          <cell r="I212" t="str">
            <v>OK</v>
          </cell>
          <cell r="J212">
            <v>0</v>
          </cell>
          <cell r="K212">
            <v>0</v>
          </cell>
          <cell r="L212" t="str">
            <v>√</v>
          </cell>
          <cell r="M212">
            <v>3</v>
          </cell>
          <cell r="N212" t="str">
            <v>√</v>
          </cell>
          <cell r="O212">
            <v>0</v>
          </cell>
          <cell r="P212">
            <v>0</v>
          </cell>
          <cell r="Q212">
            <v>0</v>
          </cell>
          <cell r="R212">
            <v>0</v>
          </cell>
          <cell r="S212">
            <v>0</v>
          </cell>
          <cell r="T212">
            <v>0</v>
          </cell>
        </row>
        <row r="213">
          <cell r="A213">
            <v>101</v>
          </cell>
          <cell r="B213">
            <v>101</v>
          </cell>
          <cell r="C213" t="str">
            <v>NGALIMIN</v>
          </cell>
          <cell r="D213" t="str">
            <v>L</v>
          </cell>
          <cell r="E213" t="str">
            <v>3305140902470001</v>
          </cell>
          <cell r="F213" t="str">
            <v>PENGEMPON RT 04/RW 05</v>
          </cell>
          <cell r="G213" t="str">
            <v>Tidak Layak</v>
          </cell>
          <cell r="H213" t="str">
            <v>Tidak Layak</v>
          </cell>
          <cell r="I213" t="str">
            <v>Tidak Layak</v>
          </cell>
          <cell r="J213">
            <v>0</v>
          </cell>
          <cell r="K213">
            <v>0</v>
          </cell>
          <cell r="L213" t="str">
            <v>√</v>
          </cell>
          <cell r="M213">
            <v>3</v>
          </cell>
          <cell r="N213" t="str">
            <v>√</v>
          </cell>
          <cell r="O213">
            <v>0</v>
          </cell>
          <cell r="P213">
            <v>0</v>
          </cell>
          <cell r="Q213" t="str">
            <v>PK</v>
          </cell>
          <cell r="R213" t="str">
            <v>√</v>
          </cell>
          <cell r="S213">
            <v>0</v>
          </cell>
          <cell r="T213">
            <v>0</v>
          </cell>
        </row>
        <row r="214">
          <cell r="A214">
            <v>0</v>
          </cell>
          <cell r="B214">
            <v>0</v>
          </cell>
          <cell r="C214" t="str">
            <v>OK</v>
          </cell>
          <cell r="D214" t="str">
            <v>OK</v>
          </cell>
          <cell r="E214" t="str">
            <v>OK</v>
          </cell>
          <cell r="F214" t="str">
            <v>OK</v>
          </cell>
          <cell r="G214" t="str">
            <v>OK</v>
          </cell>
          <cell r="H214" t="str">
            <v>OK</v>
          </cell>
          <cell r="I214" t="str">
            <v>OK</v>
          </cell>
          <cell r="J214">
            <v>0</v>
          </cell>
          <cell r="K214">
            <v>0</v>
          </cell>
          <cell r="L214" t="str">
            <v>√</v>
          </cell>
          <cell r="M214">
            <v>3</v>
          </cell>
          <cell r="N214" t="str">
            <v>√</v>
          </cell>
          <cell r="O214">
            <v>0</v>
          </cell>
          <cell r="P214">
            <v>0</v>
          </cell>
          <cell r="Q214">
            <v>0</v>
          </cell>
          <cell r="R214">
            <v>0</v>
          </cell>
          <cell r="S214">
            <v>0</v>
          </cell>
          <cell r="T214">
            <v>0</v>
          </cell>
        </row>
        <row r="215">
          <cell r="A215">
            <v>102</v>
          </cell>
          <cell r="B215">
            <v>102</v>
          </cell>
          <cell r="C215" t="str">
            <v>BASORI</v>
          </cell>
          <cell r="D215" t="str">
            <v>L</v>
          </cell>
          <cell r="E215" t="str">
            <v>3305143112520008</v>
          </cell>
          <cell r="F215" t="str">
            <v>PENGEMPON RT 04/RW 05</v>
          </cell>
          <cell r="G215" t="str">
            <v>Tidak Layak</v>
          </cell>
          <cell r="H215" t="str">
            <v>Tidak Layak</v>
          </cell>
          <cell r="I215" t="str">
            <v>Tidak Layak</v>
          </cell>
          <cell r="J215">
            <v>0</v>
          </cell>
          <cell r="K215">
            <v>0</v>
          </cell>
          <cell r="L215">
            <v>0</v>
          </cell>
          <cell r="M215">
            <v>0</v>
          </cell>
          <cell r="N215">
            <v>0</v>
          </cell>
          <cell r="O215">
            <v>0</v>
          </cell>
          <cell r="P215" t="str">
            <v>SUDAH DIBANGUN PERMANEN</v>
          </cell>
          <cell r="Q215" t="str">
            <v>PK</v>
          </cell>
          <cell r="R215" t="str">
            <v>-</v>
          </cell>
          <cell r="S215" t="str">
            <v>√</v>
          </cell>
          <cell r="T215">
            <v>0</v>
          </cell>
        </row>
        <row r="216">
          <cell r="A216">
            <v>0</v>
          </cell>
          <cell r="B216">
            <v>0</v>
          </cell>
          <cell r="C216" t="str">
            <v>OK</v>
          </cell>
          <cell r="D216" t="str">
            <v>OK</v>
          </cell>
          <cell r="E216" t="str">
            <v>OK</v>
          </cell>
          <cell r="F216" t="str">
            <v>OK</v>
          </cell>
          <cell r="G216" t="str">
            <v>LAYAK</v>
          </cell>
          <cell r="H216" t="str">
            <v>LAYAK</v>
          </cell>
          <cell r="I216" t="str">
            <v>LAYAK</v>
          </cell>
          <cell r="J216">
            <v>0</v>
          </cell>
          <cell r="K216">
            <v>0</v>
          </cell>
          <cell r="L216">
            <v>0</v>
          </cell>
          <cell r="M216">
            <v>0</v>
          </cell>
          <cell r="N216">
            <v>0</v>
          </cell>
          <cell r="O216">
            <v>0</v>
          </cell>
          <cell r="P216">
            <v>0</v>
          </cell>
          <cell r="Q216">
            <v>0</v>
          </cell>
          <cell r="R216">
            <v>0</v>
          </cell>
          <cell r="S216">
            <v>0</v>
          </cell>
          <cell r="T216">
            <v>0</v>
          </cell>
        </row>
        <row r="217">
          <cell r="A217">
            <v>103</v>
          </cell>
          <cell r="B217">
            <v>103</v>
          </cell>
          <cell r="C217" t="str">
            <v>SODIRAN</v>
          </cell>
          <cell r="D217" t="str">
            <v>L</v>
          </cell>
          <cell r="E217" t="str">
            <v>3305140711570002</v>
          </cell>
          <cell r="F217" t="str">
            <v>PENGEMPON RT 04/RW 05</v>
          </cell>
          <cell r="G217" t="str">
            <v>Tidak Layak</v>
          </cell>
          <cell r="H217" t="str">
            <v>Tidak Layak</v>
          </cell>
          <cell r="I217" t="str">
            <v>Tidak Layak</v>
          </cell>
          <cell r="J217">
            <v>0</v>
          </cell>
          <cell r="K217">
            <v>0</v>
          </cell>
          <cell r="L217" t="str">
            <v>√</v>
          </cell>
          <cell r="M217">
            <v>3</v>
          </cell>
          <cell r="N217" t="str">
            <v>√</v>
          </cell>
          <cell r="O217">
            <v>0</v>
          </cell>
          <cell r="P217">
            <v>0</v>
          </cell>
          <cell r="Q217" t="str">
            <v>PK</v>
          </cell>
          <cell r="R217" t="str">
            <v>√</v>
          </cell>
          <cell r="S217">
            <v>0</v>
          </cell>
          <cell r="T217">
            <v>0</v>
          </cell>
        </row>
        <row r="218">
          <cell r="A218">
            <v>0</v>
          </cell>
          <cell r="B218">
            <v>0</v>
          </cell>
          <cell r="C218" t="str">
            <v>OK</v>
          </cell>
          <cell r="D218" t="str">
            <v>OK</v>
          </cell>
          <cell r="E218" t="str">
            <v>OK</v>
          </cell>
          <cell r="F218" t="str">
            <v>OK</v>
          </cell>
          <cell r="G218" t="str">
            <v>OK</v>
          </cell>
          <cell r="H218" t="str">
            <v>OK</v>
          </cell>
          <cell r="I218" t="str">
            <v>OK</v>
          </cell>
          <cell r="J218">
            <v>0</v>
          </cell>
          <cell r="K218">
            <v>0</v>
          </cell>
          <cell r="L218" t="str">
            <v>√</v>
          </cell>
          <cell r="M218">
            <v>3</v>
          </cell>
          <cell r="N218" t="str">
            <v>√</v>
          </cell>
          <cell r="O218">
            <v>0</v>
          </cell>
          <cell r="P218">
            <v>0</v>
          </cell>
          <cell r="Q218">
            <v>0</v>
          </cell>
          <cell r="R218">
            <v>0</v>
          </cell>
          <cell r="S218">
            <v>0</v>
          </cell>
          <cell r="T218">
            <v>0</v>
          </cell>
        </row>
        <row r="219">
          <cell r="A219">
            <v>104</v>
          </cell>
          <cell r="B219">
            <v>104</v>
          </cell>
          <cell r="C219" t="str">
            <v>UMUL LATIFAH</v>
          </cell>
          <cell r="D219" t="str">
            <v>P</v>
          </cell>
          <cell r="E219" t="str">
            <v>3305145603830002</v>
          </cell>
          <cell r="F219" t="str">
            <v>PENGEMPON RT 04/RW 05</v>
          </cell>
          <cell r="G219" t="str">
            <v>Tidak Layak</v>
          </cell>
          <cell r="H219" t="str">
            <v>Tidak Layak</v>
          </cell>
          <cell r="I219" t="str">
            <v>Tidak Layak</v>
          </cell>
          <cell r="J219">
            <v>0</v>
          </cell>
          <cell r="K219">
            <v>0</v>
          </cell>
          <cell r="L219" t="str">
            <v>√</v>
          </cell>
          <cell r="M219">
            <v>3</v>
          </cell>
          <cell r="N219" t="str">
            <v>√</v>
          </cell>
          <cell r="O219">
            <v>0</v>
          </cell>
          <cell r="P219">
            <v>0</v>
          </cell>
          <cell r="Q219" t="str">
            <v>PK</v>
          </cell>
          <cell r="R219" t="str">
            <v>√</v>
          </cell>
          <cell r="S219">
            <v>0</v>
          </cell>
          <cell r="T219">
            <v>0</v>
          </cell>
        </row>
        <row r="220">
          <cell r="A220">
            <v>0</v>
          </cell>
          <cell r="B220">
            <v>0</v>
          </cell>
          <cell r="C220" t="str">
            <v>OK</v>
          </cell>
          <cell r="D220" t="str">
            <v>OK</v>
          </cell>
          <cell r="E220" t="str">
            <v>OK</v>
          </cell>
          <cell r="F220" t="str">
            <v>OK</v>
          </cell>
          <cell r="G220" t="str">
            <v>OK</v>
          </cell>
          <cell r="H220" t="str">
            <v>OK</v>
          </cell>
          <cell r="I220" t="str">
            <v>OK</v>
          </cell>
          <cell r="J220">
            <v>0</v>
          </cell>
          <cell r="K220">
            <v>0</v>
          </cell>
          <cell r="L220" t="str">
            <v>√</v>
          </cell>
          <cell r="M220">
            <v>3</v>
          </cell>
          <cell r="N220" t="str">
            <v>√</v>
          </cell>
          <cell r="O220">
            <v>0</v>
          </cell>
          <cell r="P220">
            <v>0</v>
          </cell>
          <cell r="Q220">
            <v>0</v>
          </cell>
          <cell r="R220">
            <v>0</v>
          </cell>
          <cell r="S220">
            <v>0</v>
          </cell>
          <cell r="T220">
            <v>0</v>
          </cell>
        </row>
        <row r="221">
          <cell r="A221">
            <v>105</v>
          </cell>
          <cell r="B221">
            <v>105</v>
          </cell>
          <cell r="C221" t="str">
            <v>RUWIYATUN</v>
          </cell>
          <cell r="D221" t="str">
            <v>P</v>
          </cell>
          <cell r="E221" t="str">
            <v>3305144906740003</v>
          </cell>
          <cell r="F221" t="str">
            <v>PENGEMPON RT 04/RW 05</v>
          </cell>
          <cell r="G221" t="str">
            <v>Tidak Layak</v>
          </cell>
          <cell r="H221" t="str">
            <v>Tidak Layak</v>
          </cell>
          <cell r="I221" t="str">
            <v>Tidak Layak</v>
          </cell>
          <cell r="J221">
            <v>0</v>
          </cell>
          <cell r="K221">
            <v>0</v>
          </cell>
          <cell r="L221" t="str">
            <v>√</v>
          </cell>
          <cell r="M221">
            <v>3</v>
          </cell>
          <cell r="N221" t="str">
            <v>√</v>
          </cell>
          <cell r="O221">
            <v>0</v>
          </cell>
          <cell r="P221" t="str">
            <v>RUMAH ROBOH SEBELUM VERIFIKASI</v>
          </cell>
          <cell r="Q221" t="str">
            <v>PB</v>
          </cell>
          <cell r="R221" t="str">
            <v>√</v>
          </cell>
          <cell r="S221">
            <v>0</v>
          </cell>
          <cell r="T221">
            <v>0</v>
          </cell>
        </row>
        <row r="222">
          <cell r="A222">
            <v>0</v>
          </cell>
          <cell r="B222">
            <v>0</v>
          </cell>
          <cell r="C222" t="str">
            <v>OK</v>
          </cell>
          <cell r="D222" t="str">
            <v>OK</v>
          </cell>
          <cell r="E222" t="str">
            <v>OK</v>
          </cell>
          <cell r="F222" t="str">
            <v>OK</v>
          </cell>
          <cell r="G222" t="str">
            <v>OK</v>
          </cell>
          <cell r="H222" t="str">
            <v>OK</v>
          </cell>
          <cell r="I222" t="str">
            <v>OK</v>
          </cell>
          <cell r="J222">
            <v>0</v>
          </cell>
          <cell r="K222">
            <v>0</v>
          </cell>
          <cell r="L222" t="str">
            <v>√</v>
          </cell>
          <cell r="M222">
            <v>3</v>
          </cell>
          <cell r="N222" t="str">
            <v>√</v>
          </cell>
          <cell r="O222">
            <v>0</v>
          </cell>
          <cell r="P222">
            <v>0</v>
          </cell>
          <cell r="Q222">
            <v>0</v>
          </cell>
          <cell r="R222">
            <v>0</v>
          </cell>
          <cell r="S222">
            <v>0</v>
          </cell>
          <cell r="T222">
            <v>0</v>
          </cell>
        </row>
        <row r="223">
          <cell r="A223">
            <v>106</v>
          </cell>
          <cell r="B223">
            <v>106</v>
          </cell>
          <cell r="C223" t="str">
            <v>DARIMUN</v>
          </cell>
          <cell r="D223" t="str">
            <v>L</v>
          </cell>
          <cell r="E223" t="str">
            <v>3305140905730003</v>
          </cell>
          <cell r="F223" t="str">
            <v>PENGEMPON RT 04/RW 05</v>
          </cell>
          <cell r="G223" t="str">
            <v>Tidak Layak</v>
          </cell>
          <cell r="H223" t="str">
            <v>Tidak Layak</v>
          </cell>
          <cell r="I223" t="str">
            <v>Tidak Layak</v>
          </cell>
          <cell r="J223">
            <v>0</v>
          </cell>
          <cell r="K223">
            <v>0</v>
          </cell>
          <cell r="L223" t="str">
            <v>√</v>
          </cell>
          <cell r="M223">
            <v>3</v>
          </cell>
          <cell r="N223" t="str">
            <v>√</v>
          </cell>
          <cell r="O223">
            <v>0</v>
          </cell>
          <cell r="P223">
            <v>0</v>
          </cell>
          <cell r="Q223" t="str">
            <v>PK</v>
          </cell>
          <cell r="R223" t="str">
            <v>√</v>
          </cell>
          <cell r="S223">
            <v>0</v>
          </cell>
          <cell r="T223">
            <v>0</v>
          </cell>
        </row>
        <row r="224">
          <cell r="A224">
            <v>0</v>
          </cell>
          <cell r="B224">
            <v>0</v>
          </cell>
          <cell r="C224" t="str">
            <v>OK</v>
          </cell>
          <cell r="D224" t="str">
            <v>OK</v>
          </cell>
          <cell r="E224" t="str">
            <v>OK</v>
          </cell>
          <cell r="F224" t="str">
            <v>OK</v>
          </cell>
          <cell r="G224" t="str">
            <v>OK</v>
          </cell>
          <cell r="H224" t="str">
            <v>OK</v>
          </cell>
          <cell r="I224" t="str">
            <v>OK</v>
          </cell>
          <cell r="J224">
            <v>0</v>
          </cell>
          <cell r="K224">
            <v>0</v>
          </cell>
          <cell r="L224" t="str">
            <v>√</v>
          </cell>
          <cell r="M224">
            <v>3</v>
          </cell>
          <cell r="N224" t="str">
            <v>√</v>
          </cell>
          <cell r="O224">
            <v>0</v>
          </cell>
          <cell r="P224">
            <v>0</v>
          </cell>
          <cell r="Q224">
            <v>0</v>
          </cell>
          <cell r="R224">
            <v>0</v>
          </cell>
          <cell r="S224">
            <v>0</v>
          </cell>
          <cell r="T224">
            <v>0</v>
          </cell>
        </row>
        <row r="225">
          <cell r="A225">
            <v>107</v>
          </cell>
          <cell r="B225">
            <v>107</v>
          </cell>
          <cell r="C225" t="str">
            <v>ADMAN</v>
          </cell>
          <cell r="D225" t="str">
            <v>L</v>
          </cell>
          <cell r="E225" t="str">
            <v>3305143112370011</v>
          </cell>
          <cell r="F225" t="str">
            <v>PENGEMPON RT 04/RW 05</v>
          </cell>
          <cell r="G225" t="str">
            <v>Tidak Layak</v>
          </cell>
          <cell r="H225" t="str">
            <v>Tidak Layak</v>
          </cell>
          <cell r="I225" t="str">
            <v>Tidak Layak</v>
          </cell>
          <cell r="J225">
            <v>0</v>
          </cell>
          <cell r="K225">
            <v>0</v>
          </cell>
          <cell r="L225" t="str">
            <v>√</v>
          </cell>
          <cell r="M225">
            <v>3</v>
          </cell>
          <cell r="N225" t="str">
            <v>√</v>
          </cell>
          <cell r="O225">
            <v>0</v>
          </cell>
          <cell r="P225">
            <v>0</v>
          </cell>
          <cell r="Q225" t="str">
            <v>PK</v>
          </cell>
          <cell r="R225" t="str">
            <v>√</v>
          </cell>
          <cell r="S225">
            <v>0</v>
          </cell>
          <cell r="T225">
            <v>0</v>
          </cell>
        </row>
        <row r="226">
          <cell r="A226">
            <v>0</v>
          </cell>
          <cell r="B226">
            <v>0</v>
          </cell>
          <cell r="C226" t="str">
            <v>OK</v>
          </cell>
          <cell r="D226" t="str">
            <v>OK</v>
          </cell>
          <cell r="E226" t="str">
            <v>OK</v>
          </cell>
          <cell r="F226" t="str">
            <v>OK</v>
          </cell>
          <cell r="G226" t="str">
            <v>OK</v>
          </cell>
          <cell r="H226" t="str">
            <v>OK</v>
          </cell>
          <cell r="I226" t="str">
            <v>OK</v>
          </cell>
          <cell r="J226">
            <v>0</v>
          </cell>
          <cell r="K226">
            <v>0</v>
          </cell>
          <cell r="L226" t="str">
            <v>√</v>
          </cell>
          <cell r="M226">
            <v>3</v>
          </cell>
          <cell r="N226" t="str">
            <v>√</v>
          </cell>
          <cell r="O226">
            <v>0</v>
          </cell>
          <cell r="P226">
            <v>0</v>
          </cell>
          <cell r="Q226">
            <v>0</v>
          </cell>
          <cell r="R226">
            <v>0</v>
          </cell>
          <cell r="S226">
            <v>0</v>
          </cell>
          <cell r="T226">
            <v>0</v>
          </cell>
        </row>
        <row r="227">
          <cell r="A227">
            <v>108</v>
          </cell>
          <cell r="B227">
            <v>108</v>
          </cell>
          <cell r="C227" t="str">
            <v>SATIMIN</v>
          </cell>
          <cell r="D227" t="str">
            <v>L</v>
          </cell>
          <cell r="E227" t="str">
            <v>3305143112390006</v>
          </cell>
          <cell r="F227" t="str">
            <v>PENGEMPON RT 04/RW 05</v>
          </cell>
          <cell r="G227" t="str">
            <v>Tidak Layak</v>
          </cell>
          <cell r="H227" t="str">
            <v>Tidak Layak</v>
          </cell>
          <cell r="I227" t="str">
            <v>Tidak Layak</v>
          </cell>
          <cell r="J227">
            <v>0</v>
          </cell>
          <cell r="K227">
            <v>0</v>
          </cell>
          <cell r="L227" t="str">
            <v>√</v>
          </cell>
          <cell r="M227">
            <v>3</v>
          </cell>
          <cell r="N227" t="str">
            <v>√</v>
          </cell>
          <cell r="O227">
            <v>0</v>
          </cell>
          <cell r="P227">
            <v>0</v>
          </cell>
          <cell r="Q227" t="str">
            <v>PK</v>
          </cell>
          <cell r="R227" t="str">
            <v>√</v>
          </cell>
          <cell r="S227">
            <v>0</v>
          </cell>
          <cell r="T227">
            <v>0</v>
          </cell>
        </row>
        <row r="228">
          <cell r="A228">
            <v>0</v>
          </cell>
          <cell r="B228">
            <v>0</v>
          </cell>
          <cell r="C228" t="str">
            <v>OK</v>
          </cell>
          <cell r="D228" t="str">
            <v>OK</v>
          </cell>
          <cell r="E228" t="str">
            <v>OK</v>
          </cell>
          <cell r="F228" t="str">
            <v>OK</v>
          </cell>
          <cell r="G228" t="str">
            <v>OK</v>
          </cell>
          <cell r="H228" t="str">
            <v>OK</v>
          </cell>
          <cell r="I228" t="str">
            <v>OK</v>
          </cell>
          <cell r="J228">
            <v>0</v>
          </cell>
          <cell r="K228">
            <v>0</v>
          </cell>
          <cell r="L228" t="str">
            <v>√</v>
          </cell>
          <cell r="M228">
            <v>3</v>
          </cell>
          <cell r="N228" t="str">
            <v>√</v>
          </cell>
          <cell r="O228">
            <v>0</v>
          </cell>
          <cell r="P228">
            <v>0</v>
          </cell>
          <cell r="Q228">
            <v>0</v>
          </cell>
          <cell r="R228">
            <v>0</v>
          </cell>
          <cell r="S228">
            <v>0</v>
          </cell>
          <cell r="T228">
            <v>0</v>
          </cell>
        </row>
        <row r="229">
          <cell r="A229">
            <v>109</v>
          </cell>
          <cell r="B229">
            <v>109</v>
          </cell>
          <cell r="C229" t="str">
            <v>SURATMIN</v>
          </cell>
          <cell r="D229" t="str">
            <v>L</v>
          </cell>
          <cell r="E229" t="str">
            <v>3305143112420047</v>
          </cell>
          <cell r="F229" t="str">
            <v>PENGEMPON RT 04/RW 05</v>
          </cell>
          <cell r="G229" t="str">
            <v>Tidak Layak</v>
          </cell>
          <cell r="H229" t="str">
            <v>Tidak Layak</v>
          </cell>
          <cell r="I229" t="str">
            <v>Tidak Layak</v>
          </cell>
          <cell r="J229">
            <v>0</v>
          </cell>
          <cell r="K229">
            <v>0</v>
          </cell>
          <cell r="L229" t="str">
            <v>√</v>
          </cell>
          <cell r="M229">
            <v>3</v>
          </cell>
          <cell r="N229" t="str">
            <v>√</v>
          </cell>
          <cell r="O229">
            <v>0</v>
          </cell>
          <cell r="P229">
            <v>0</v>
          </cell>
          <cell r="Q229" t="str">
            <v>PK</v>
          </cell>
          <cell r="R229" t="str">
            <v>√</v>
          </cell>
          <cell r="S229">
            <v>0</v>
          </cell>
          <cell r="T229">
            <v>0</v>
          </cell>
        </row>
        <row r="230">
          <cell r="A230">
            <v>0</v>
          </cell>
          <cell r="B230">
            <v>0</v>
          </cell>
          <cell r="C230" t="str">
            <v>OK</v>
          </cell>
          <cell r="D230" t="str">
            <v>OK</v>
          </cell>
          <cell r="E230" t="str">
            <v>OK</v>
          </cell>
          <cell r="F230" t="str">
            <v>OK</v>
          </cell>
          <cell r="G230" t="str">
            <v>OK</v>
          </cell>
          <cell r="H230" t="str">
            <v>OK</v>
          </cell>
          <cell r="I230" t="str">
            <v>OK</v>
          </cell>
          <cell r="J230">
            <v>0</v>
          </cell>
          <cell r="K230">
            <v>0</v>
          </cell>
          <cell r="L230" t="str">
            <v>√</v>
          </cell>
          <cell r="M230">
            <v>3</v>
          </cell>
          <cell r="N230" t="str">
            <v>√</v>
          </cell>
          <cell r="O230">
            <v>0</v>
          </cell>
          <cell r="P230">
            <v>0</v>
          </cell>
          <cell r="Q230">
            <v>0</v>
          </cell>
          <cell r="R230">
            <v>0</v>
          </cell>
          <cell r="S230">
            <v>0</v>
          </cell>
          <cell r="T230">
            <v>0</v>
          </cell>
        </row>
        <row r="231">
          <cell r="A231">
            <v>110</v>
          </cell>
          <cell r="B231">
            <v>110</v>
          </cell>
          <cell r="C231" t="str">
            <v>SADIMIN</v>
          </cell>
          <cell r="D231" t="str">
            <v>L</v>
          </cell>
          <cell r="E231" t="str">
            <v>3305141405780004</v>
          </cell>
          <cell r="F231" t="str">
            <v>PENGEMPON RT 04/RW 06</v>
          </cell>
          <cell r="G231" t="str">
            <v>Tidak Layak</v>
          </cell>
          <cell r="H231" t="str">
            <v>Tidak Layak</v>
          </cell>
          <cell r="I231" t="str">
            <v>Tidak Layak</v>
          </cell>
          <cell r="J231">
            <v>0</v>
          </cell>
          <cell r="K231">
            <v>0</v>
          </cell>
          <cell r="L231" t="str">
            <v>√</v>
          </cell>
          <cell r="M231">
            <v>3</v>
          </cell>
          <cell r="N231" t="str">
            <v>√</v>
          </cell>
          <cell r="O231">
            <v>0</v>
          </cell>
          <cell r="P231">
            <v>0</v>
          </cell>
          <cell r="Q231" t="str">
            <v>PK</v>
          </cell>
          <cell r="R231" t="str">
            <v>√</v>
          </cell>
          <cell r="S231">
            <v>0</v>
          </cell>
          <cell r="T231">
            <v>0</v>
          </cell>
        </row>
        <row r="232">
          <cell r="A232">
            <v>0</v>
          </cell>
          <cell r="B232">
            <v>0</v>
          </cell>
          <cell r="C232" t="str">
            <v>SAMIDIN</v>
          </cell>
          <cell r="D232" t="str">
            <v>OK</v>
          </cell>
          <cell r="E232" t="str">
            <v>OK</v>
          </cell>
          <cell r="F232" t="str">
            <v>OK</v>
          </cell>
          <cell r="G232" t="str">
            <v>OK</v>
          </cell>
          <cell r="H232" t="str">
            <v>OK</v>
          </cell>
          <cell r="I232" t="str">
            <v>OK</v>
          </cell>
          <cell r="J232">
            <v>0</v>
          </cell>
          <cell r="K232">
            <v>0</v>
          </cell>
          <cell r="L232" t="str">
            <v>√</v>
          </cell>
          <cell r="M232">
            <v>3</v>
          </cell>
          <cell r="N232" t="str">
            <v>√</v>
          </cell>
          <cell r="O232">
            <v>0</v>
          </cell>
          <cell r="P232">
            <v>0</v>
          </cell>
          <cell r="Q232">
            <v>0</v>
          </cell>
          <cell r="R232" t="str">
            <v>√</v>
          </cell>
          <cell r="S232">
            <v>0</v>
          </cell>
          <cell r="T232">
            <v>0</v>
          </cell>
        </row>
        <row r="235">
          <cell r="C235" t="str">
            <v>KEBUMEN, 14 AGUSTUS 2015</v>
          </cell>
          <cell r="D235">
            <v>0</v>
          </cell>
          <cell r="E235">
            <v>0</v>
          </cell>
          <cell r="F235">
            <v>0</v>
          </cell>
          <cell r="G235">
            <v>0</v>
          </cell>
          <cell r="H235">
            <v>0</v>
          </cell>
        </row>
        <row r="236">
          <cell r="C236" t="str">
            <v>HASIL REMBUG PENETAPAN DAN REKOMENDASI</v>
          </cell>
          <cell r="D236">
            <v>0</v>
          </cell>
          <cell r="E236">
            <v>0</v>
          </cell>
          <cell r="F236">
            <v>0</v>
          </cell>
          <cell r="G236">
            <v>0</v>
          </cell>
          <cell r="H236">
            <v>0</v>
          </cell>
          <cell r="P236" t="str">
            <v>YANG MELAKUKAN KLARIFIKASI</v>
          </cell>
          <cell r="Q236">
            <v>0</v>
          </cell>
          <cell r="R236">
            <v>0</v>
          </cell>
          <cell r="S236">
            <v>0</v>
          </cell>
          <cell r="T236">
            <v>0</v>
          </cell>
        </row>
        <row r="237">
          <cell r="C237" t="str">
            <v>WAKIL DARI PESERTA REMBUG</v>
          </cell>
          <cell r="D237">
            <v>0</v>
          </cell>
          <cell r="E237">
            <v>0</v>
          </cell>
          <cell r="F237">
            <v>0</v>
          </cell>
          <cell r="G237">
            <v>0</v>
          </cell>
          <cell r="H237">
            <v>0</v>
          </cell>
          <cell r="P237" t="str">
            <v>FASILITATOR</v>
          </cell>
          <cell r="Q237">
            <v>0</v>
          </cell>
          <cell r="R237">
            <v>0</v>
          </cell>
          <cell r="S237">
            <v>0</v>
          </cell>
          <cell r="T237">
            <v>0</v>
          </cell>
        </row>
        <row r="243">
          <cell r="C243" t="str">
            <v>( ___________________ )</v>
          </cell>
          <cell r="E243" t="str">
            <v>( ___________________ )</v>
          </cell>
          <cell r="F243">
            <v>0</v>
          </cell>
          <cell r="G243" t="str">
            <v>( ___________________ )</v>
          </cell>
          <cell r="P243" t="str">
            <v>(YUDO SUDOMO)</v>
          </cell>
          <cell r="Q243">
            <v>0</v>
          </cell>
          <cell r="R243">
            <v>0</v>
          </cell>
          <cell r="S243" t="str">
            <v>( SIGIT KARSENO)</v>
          </cell>
          <cell r="T243">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Biaya AKAM "/>
      <sheetName val="Jl. manggis"/>
      <sheetName val="RKP Jl.manggis"/>
      <sheetName val="Jl. Bubara"/>
      <sheetName val="RKP Jl. Bubara"/>
      <sheetName val="Dpn SMA 1"/>
      <sheetName val="RKP SMA1"/>
      <sheetName val="Jl. teratai"/>
      <sheetName val="RKP Jl. Teratai"/>
      <sheetName val="Jl  REMU Ka.Li"/>
      <sheetName val="RK Jl  REMU Kal.i OK"/>
      <sheetName val="Jl Smp 5 0k"/>
      <sheetName val="RK Jl Smp 5 0k"/>
      <sheetName val="Jl Matoa 0k"/>
      <sheetName val="RK Matoa 0k"/>
      <sheetName val="RK Jl Lrnng matamalgi 0k"/>
      <sheetName val="Jl Lrnng matamalgi 0k"/>
      <sheetName val="Jl Wartel Mario"/>
      <sheetName val="RK Wartel Mario"/>
      <sheetName val="Jl KOKODA 0k"/>
      <sheetName val="RK Jl KOKODA 0k"/>
      <sheetName val="TDAK ADA"/>
      <sheetName val="RK ....TDK"/>
      <sheetName val="Jl d. Yamur OK"/>
      <sheetName val="RK d. Yamur Ok"/>
      <sheetName val=" Biaya "/>
      <sheetName val="Jl PPI"/>
      <sheetName val="RK PPI"/>
      <sheetName val="JL.h. Citra"/>
      <sheetName val="RKPh Citra"/>
      <sheetName val="Jl  Trikora KM 8 Rev"/>
      <sheetName val="RK Trikora KM 8 REv"/>
      <sheetName val="Jl Kopi Senang Lrng Mulia 0K"/>
      <sheetName val="RK Jl Kopi Senang Lrng Mulia 0K"/>
      <sheetName val="JL.Kembang Patriot 0k"/>
      <sheetName val="RKPKembang Patriot 0k"/>
      <sheetName val="Jl Olan Fago"/>
      <sheetName val="RK JJl Olan Fago"/>
      <sheetName val="Jl Sam LRH Matamalagi 0k"/>
      <sheetName val="RK S Matamlagi 0k"/>
      <sheetName val="Jl K. Kei 0k"/>
      <sheetName val="RK Jl K. Kei 0k"/>
      <sheetName val="JL..."/>
      <sheetName val="RKP ..."/>
      <sheetName val="Jl Mawar BTN 0k"/>
      <sheetName val="RK JlMawar BTN. 0k"/>
      <sheetName val="Jl Lorong 3-4"/>
      <sheetName val="RK Jl Lorong 3-4"/>
      <sheetName val="Jl P. Pisang"/>
      <sheetName val="RKP.  Jl P. Pisang 0K"/>
      <sheetName val="Jl Fayas Ok"/>
      <sheetName val="RK Jl Fayas 0k"/>
      <sheetName val="Jl mesjid rufey 0K"/>
      <sheetName val="RK Jlmesjid rufey 0k"/>
      <sheetName val="RK Jl Madukura Ok"/>
      <sheetName val="Jl Madukura Ok"/>
      <sheetName val="Jl Lorong 1&amp;2"/>
      <sheetName val="RK Jl Lorong 1&amp;2"/>
      <sheetName val="Jl S. Maruni"/>
      <sheetName val="RK S maruni"/>
      <sheetName val="Jl komp. Exim BETON"/>
      <sheetName val="RK komp. Exim BETON"/>
      <sheetName val="Jl komp. PepabriOk"/>
      <sheetName val="RK komp. Pepabri0k"/>
      <sheetName val="RK Jl Poncowati Rv"/>
      <sheetName val="Jl  Poncowati REV"/>
      <sheetName val="Jl  WIKU OK REv"/>
      <sheetName val="RK JL WIKU OK REv"/>
      <sheetName val="Basic Price CV. NKP"/>
      <sheetName val="Peralatan CV. NKP"/>
      <sheetName val="Agregat  CV. NKP "/>
      <sheetName val="Mobilisasi"/>
      <sheetName val="DEI.2"/>
      <sheetName val="DEV III"/>
      <sheetName val="DEV.3"/>
      <sheetName val="DEV.3 (2)"/>
      <sheetName val="DEV.5 "/>
      <sheetName val="DEV.6"/>
      <sheetName val="DEV.7"/>
      <sheetName val="DEV.7.(6) Pasir Urug"/>
      <sheetName val="DEVI 7"/>
      <sheetName val="DEVI 7 (2)"/>
      <sheetName val="DEV 6 T'FORD"/>
      <sheetName val="Girder-30"/>
    </sheetNames>
    <sheetDataSet>
      <sheetData sheetId="0"/>
      <sheetData sheetId="1" refreshError="1"/>
      <sheetData sheetId="2"/>
      <sheetData sheetId="3"/>
      <sheetData sheetId="4"/>
      <sheetData sheetId="5" refreshError="1"/>
      <sheetData sheetId="6"/>
      <sheetData sheetId="7" refreshError="1"/>
      <sheetData sheetId="8"/>
      <sheetData sheetId="9" refreshError="1"/>
      <sheetData sheetId="10" refreshError="1"/>
      <sheetData sheetId="11"/>
      <sheetData sheetId="12" refreshError="1"/>
      <sheetData sheetId="13" refreshError="1"/>
      <sheetData sheetId="14" refreshError="1"/>
      <sheetData sheetId="15" refreshError="1"/>
      <sheetData sheetId="16" refreshError="1"/>
      <sheetData sheetId="17"/>
      <sheetData sheetId="18"/>
      <sheetData sheetId="19" refreshError="1"/>
      <sheetData sheetId="20" refreshError="1"/>
      <sheetData sheetId="21"/>
      <sheetData sheetId="22"/>
      <sheetData sheetId="23" refreshError="1"/>
      <sheetData sheetId="24" refreshError="1"/>
      <sheetData sheetId="25"/>
      <sheetData sheetId="26"/>
      <sheetData sheetId="27" refreshError="1"/>
      <sheetData sheetId="28" refreshError="1"/>
      <sheetData sheetId="29" refreshError="1"/>
      <sheetData sheetId="30"/>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refreshError="1"/>
      <sheetData sheetId="46"/>
      <sheetData sheetId="47"/>
      <sheetData sheetId="48" refreshError="1"/>
      <sheetData sheetId="49" refreshError="1"/>
      <sheetData sheetId="50"/>
      <sheetData sheetId="51"/>
      <sheetData sheetId="52" refreshError="1"/>
      <sheetData sheetId="53" refreshError="1"/>
      <sheetData sheetId="54"/>
      <sheetData sheetId="55"/>
      <sheetData sheetId="56" refreshError="1"/>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efreshError="1">
        <row r="158">
          <cell r="W158">
            <v>37834.119568489812</v>
          </cell>
        </row>
        <row r="247">
          <cell r="W247">
            <v>934475.5555555555</v>
          </cell>
        </row>
      </sheetData>
      <sheetData sheetId="73"/>
      <sheetData sheetId="74" refreshError="1">
        <row r="154">
          <cell r="W154">
            <v>38325.538160469674</v>
          </cell>
        </row>
        <row r="453">
          <cell r="W453">
            <v>4508.5260677967744</v>
          </cell>
        </row>
      </sheetData>
      <sheetData sheetId="75"/>
      <sheetData sheetId="76"/>
      <sheetData sheetId="77" refreshError="1">
        <row r="1107">
          <cell r="W1107">
            <v>1741387.2435636593</v>
          </cell>
        </row>
      </sheetData>
      <sheetData sheetId="78"/>
      <sheetData sheetId="79"/>
      <sheetData sheetId="80" refreshError="1">
        <row r="537">
          <cell r="X537">
            <v>848377.1086398632</v>
          </cell>
        </row>
      </sheetData>
      <sheetData sheetId="81" refreshError="1"/>
      <sheetData sheetId="82" refreshError="1">
        <row r="69">
          <cell r="I69">
            <v>553645.2852026521</v>
          </cell>
        </row>
      </sheetData>
      <sheetData sheetId="83"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 DKH"/>
      <sheetName val="DKH"/>
      <sheetName val="DKH (2)"/>
      <sheetName val="DIV 1"/>
      <sheetName val="DIV 1 (2)"/>
      <sheetName val="gal sel"/>
      <sheetName val="kupasan"/>
      <sheetName val="gal tnh"/>
      <sheetName val="timb tnh"/>
      <sheetName val="timb pil"/>
      <sheetName val="lap res peng"/>
      <sheetName val="lap per"/>
      <sheetName val="lapen"/>
      <sheetName val="beton K175"/>
      <sheetName val="bj tlg"/>
      <sheetName val="pas bt"/>
      <sheetName val="telford"/>
      <sheetName val="DIV 5 6"/>
      <sheetName val="DHS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at"/>
      <sheetName val="Rekap BOQ"/>
      <sheetName val="BOQ"/>
      <sheetName val="Div1"/>
      <sheetName val="Div2"/>
      <sheetName val="Div3"/>
      <sheetName val="Div4"/>
      <sheetName val="Div5"/>
      <sheetName val="Div6"/>
      <sheetName val="Div7a"/>
      <sheetName val="Div7b"/>
      <sheetName val="Div7c"/>
      <sheetName val="Div8a"/>
      <sheetName val="Div8b"/>
      <sheetName val="HS"/>
      <sheetName val="Jadwal"/>
      <sheetName val="Utama"/>
      <sheetName val="Lamp8"/>
      <sheetName val="Lamp"/>
      <sheetName val="SKon"/>
      <sheetName val="Kapasitas"/>
      <sheetName val="Staf"/>
      <sheetName val="Alat"/>
    </sheetNames>
    <sheetDataSet>
      <sheetData sheetId="0"/>
      <sheetData sheetId="1"/>
      <sheetData sheetId="2"/>
      <sheetData sheetId="3"/>
      <sheetData sheetId="4" refreshError="1">
        <row r="2">
          <cell r="B2" t="str">
            <v>LAMPIRAN 2 PENAWARAN</v>
          </cell>
        </row>
        <row r="3">
          <cell r="B3" t="str">
            <v>ANALISA HARGA SATUAN MATA PEMBAYARAN UTAMA</v>
          </cell>
        </row>
        <row r="5">
          <cell r="B5" t="str">
            <v>NAMA PESERTA LELANG</v>
          </cell>
          <cell r="E5" t="str">
            <v>:</v>
          </cell>
          <cell r="F5" t="str">
            <v>CV. DARMA BERINGIN</v>
          </cell>
        </row>
        <row r="6">
          <cell r="B6" t="str">
            <v>NO. MATA PEMBAYARAN</v>
          </cell>
          <cell r="E6" t="str">
            <v>:</v>
          </cell>
          <cell r="F6" t="str">
            <v>2.1</v>
          </cell>
        </row>
        <row r="7">
          <cell r="B7" t="str">
            <v>JENIS PEKERJAAN</v>
          </cell>
          <cell r="E7" t="str">
            <v>:</v>
          </cell>
          <cell r="F7" t="str">
            <v xml:space="preserve">Pekerjaan Galian untuk Selokan Drainase dan Saluran Air </v>
          </cell>
        </row>
        <row r="8">
          <cell r="B8" t="str">
            <v>SATUAN PEKERJAAN</v>
          </cell>
          <cell r="E8" t="str">
            <v>:</v>
          </cell>
          <cell r="F8" t="str">
            <v>M3</v>
          </cell>
        </row>
        <row r="9">
          <cell r="B9" t="str">
            <v>PERKIRAAN KUANTITAS</v>
          </cell>
          <cell r="E9" t="str">
            <v>:</v>
          </cell>
          <cell r="F9">
            <v>0</v>
          </cell>
        </row>
        <row r="10">
          <cell r="B10" t="str">
            <v>PEKERJAAN</v>
          </cell>
          <cell r="E10" t="str">
            <v>:</v>
          </cell>
          <cell r="F10" t="str">
            <v>JEMBATAN TIMBUKAR, CS</v>
          </cell>
        </row>
        <row r="11">
          <cell r="B11" t="str">
            <v>PRODUKSI HARIAN / JAM *)</v>
          </cell>
          <cell r="E11" t="str">
            <v>:</v>
          </cell>
          <cell r="F11" t="str">
            <v>Jam</v>
          </cell>
        </row>
        <row r="13">
          <cell r="B13" t="str">
            <v>No.</v>
          </cell>
          <cell r="C13" t="str">
            <v>Uraian</v>
          </cell>
          <cell r="G13" t="str">
            <v>Satuan</v>
          </cell>
          <cell r="H13" t="str">
            <v>Kuantitas</v>
          </cell>
          <cell r="I13" t="str">
            <v>Biaya Satuan                            (Rp.)</v>
          </cell>
          <cell r="J13" t="str">
            <v>Jumlah Biaya                          (Rp./Satuan)</v>
          </cell>
        </row>
        <row r="18">
          <cell r="B18" t="str">
            <v>A.</v>
          </cell>
          <cell r="D18" t="str">
            <v>Tenaga Kerja</v>
          </cell>
        </row>
        <row r="19">
          <cell r="B19" t="str">
            <v>1.</v>
          </cell>
          <cell r="D19" t="str">
            <v>Pekerja</v>
          </cell>
          <cell r="G19" t="str">
            <v>jam</v>
          </cell>
          <cell r="H19">
            <v>0.34270414993306558</v>
          </cell>
          <cell r="I19">
            <v>6250</v>
          </cell>
          <cell r="K19">
            <v>2141.9009370816598</v>
          </cell>
        </row>
        <row r="20">
          <cell r="B20" t="str">
            <v>2.</v>
          </cell>
          <cell r="D20" t="str">
            <v>Mandor</v>
          </cell>
          <cell r="G20" t="str">
            <v>jam</v>
          </cell>
          <cell r="H20">
            <v>4.2838018741633198E-2</v>
          </cell>
          <cell r="I20">
            <v>7750</v>
          </cell>
          <cell r="K20">
            <v>331.99464524765727</v>
          </cell>
        </row>
        <row r="21">
          <cell r="B21" t="str">
            <v xml:space="preserve"> </v>
          </cell>
        </row>
        <row r="22">
          <cell r="B22" t="str">
            <v xml:space="preserve"> </v>
          </cell>
        </row>
        <row r="23">
          <cell r="B23" t="str">
            <v xml:space="preserve"> </v>
          </cell>
        </row>
        <row r="25">
          <cell r="B25" t="str">
            <v>B.</v>
          </cell>
          <cell r="D25" t="str">
            <v>Bahan</v>
          </cell>
        </row>
        <row r="26">
          <cell r="B26" t="str">
            <v xml:space="preserve"> </v>
          </cell>
        </row>
        <row r="27">
          <cell r="B27" t="str">
            <v xml:space="preserve"> </v>
          </cell>
        </row>
        <row r="28">
          <cell r="B28" t="str">
            <v xml:space="preserve"> </v>
          </cell>
        </row>
        <row r="29">
          <cell r="B29" t="str">
            <v xml:space="preserve"> </v>
          </cell>
        </row>
        <row r="30">
          <cell r="B30" t="str">
            <v xml:space="preserve"> </v>
          </cell>
        </row>
        <row r="31">
          <cell r="B31" t="str">
            <v xml:space="preserve"> </v>
          </cell>
        </row>
        <row r="33">
          <cell r="B33" t="str">
            <v>C.</v>
          </cell>
          <cell r="D33" t="str">
            <v>Peralatan</v>
          </cell>
        </row>
        <row r="34">
          <cell r="B34" t="str">
            <v>1.</v>
          </cell>
          <cell r="D34" t="str">
            <v>Excavator</v>
          </cell>
          <cell r="G34" t="str">
            <v>jam</v>
          </cell>
          <cell r="H34">
            <v>4.2838018741633198E-2</v>
          </cell>
          <cell r="I34">
            <v>295000</v>
          </cell>
          <cell r="K34">
            <v>12637.215528781793</v>
          </cell>
        </row>
        <row r="35">
          <cell r="B35" t="str">
            <v>2.</v>
          </cell>
          <cell r="D35" t="str">
            <v>Dump Truck</v>
          </cell>
          <cell r="G35" t="str">
            <v>jam</v>
          </cell>
          <cell r="H35">
            <v>0.12217544878308416</v>
          </cell>
          <cell r="I35">
            <v>140500</v>
          </cell>
          <cell r="K35">
            <v>17165.650554023323</v>
          </cell>
        </row>
        <row r="36">
          <cell r="B36" t="str">
            <v>3.</v>
          </cell>
          <cell r="D36" t="str">
            <v>Alat Bantu</v>
          </cell>
          <cell r="G36" t="str">
            <v>Ls</v>
          </cell>
          <cell r="H36">
            <v>1</v>
          </cell>
          <cell r="I36">
            <v>250</v>
          </cell>
          <cell r="K36">
            <v>250</v>
          </cell>
        </row>
        <row r="37">
          <cell r="B37" t="str">
            <v xml:space="preserve"> </v>
          </cell>
        </row>
        <row r="38">
          <cell r="B38" t="str">
            <v xml:space="preserve"> </v>
          </cell>
        </row>
        <row r="39">
          <cell r="B39" t="str">
            <v xml:space="preserve"> </v>
          </cell>
        </row>
        <row r="40">
          <cell r="B40" t="str">
            <v xml:space="preserve"> </v>
          </cell>
        </row>
        <row r="41">
          <cell r="B41" t="str">
            <v xml:space="preserve"> </v>
          </cell>
        </row>
        <row r="42">
          <cell r="B42" t="str">
            <v xml:space="preserve"> </v>
          </cell>
        </row>
        <row r="43">
          <cell r="B43" t="str">
            <v>D.</v>
          </cell>
          <cell r="D43" t="str">
            <v>Jumlah  (A + B + C)</v>
          </cell>
          <cell r="K43">
            <v>32526.761665134432</v>
          </cell>
        </row>
        <row r="44">
          <cell r="B44" t="str">
            <v>E.</v>
          </cell>
          <cell r="D44" t="str">
            <v>Biaya Umum dan Keuntungan</v>
          </cell>
          <cell r="G44">
            <v>10</v>
          </cell>
          <cell r="H44" t="str">
            <v>%  x  D</v>
          </cell>
          <cell r="K44">
            <v>3252.6761665134436</v>
          </cell>
        </row>
        <row r="45">
          <cell r="B45" t="str">
            <v>F.</v>
          </cell>
          <cell r="D45" t="str">
            <v>Harga Satuan  = ( D + E )</v>
          </cell>
          <cell r="K45">
            <v>35779.437831647876</v>
          </cell>
        </row>
        <row r="46">
          <cell r="B46" t="str">
            <v>Catatan :</v>
          </cell>
        </row>
        <row r="47">
          <cell r="B47" t="str">
            <v>1.</v>
          </cell>
          <cell r="C47" t="str">
            <v>Satuan dapat berdasarkan atas jam operasi untuk tenaga kerja dan peralatan, volume dan / atau ukuran berat untuk bahan-bahan.</v>
          </cell>
        </row>
        <row r="48">
          <cell r="B48" t="str">
            <v>2.</v>
          </cell>
          <cell r="C48" t="str">
            <v>Kuantitas satuan adalah kuantitas perkiraan dari setiap komponen untuk menyelesaikan satu satuan pekerjaan dari nomor mata pembayaran Harga Satuan yang disampaikan Peserta Lelang tidak dapat diubah, kecuali persyaratan Ayat 13.4 dari Instruksi Kepada Pese</v>
          </cell>
        </row>
        <row r="51">
          <cell r="B51" t="str">
            <v>3.</v>
          </cell>
          <cell r="C51" t="str">
            <v>Biaya satuan untuk peralatan sudah termasuk bahan bakar, bahan habis terpakai dan operator.</v>
          </cell>
        </row>
        <row r="52">
          <cell r="B52" t="str">
            <v>4.</v>
          </cell>
          <cell r="C52" t="str">
            <v>Biaya satuan sudah termasuk pengeluaran untuk seluruh pajak yang berkaitan (tetapi tidak termasuk PPN yang dibayarkan dari kontrak) dan biaya-biaya lainnya.</v>
          </cell>
        </row>
        <row r="54">
          <cell r="B54" t="str">
            <v>5.</v>
          </cell>
          <cell r="C54" t="str">
            <v>Harga satuan yang diajukan peserta lelang harus mencakup seluruh tambahan tenaga kerja, bahan, peralatan atau kerugian yang mungkin diperlukan untuk menyelesaikan pekerjaan sesuai dengan Spesifikasi dan Gambar.</v>
          </cell>
        </row>
        <row r="58">
          <cell r="J58" t="str">
            <v>Kotamobagu,   22 Agustus  2006</v>
          </cell>
        </row>
        <row r="60">
          <cell r="J60" t="str">
            <v>CV. DARMA BERINGIN</v>
          </cell>
        </row>
        <row r="66">
          <cell r="J66" t="str">
            <v>MEILLY Y. MAMAHID, ST. SE</v>
          </cell>
        </row>
        <row r="67">
          <cell r="J67" t="str">
            <v>Pimpinan Cabang</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upah-bahan"/>
      <sheetName val="REKAPITULASI"/>
      <sheetName val="Recovered_Sheet1"/>
      <sheetName val="Recovered_Sheet2"/>
      <sheetName val="000000"/>
      <sheetName val="curva-S"/>
      <sheetName val="SURAT"/>
      <sheetName val="UPAH"/>
      <sheetName val="ANALISA"/>
      <sheetName val="HARGA BHN IMPOR"/>
      <sheetName val="BAHAN"/>
      <sheetName val="Koef"/>
      <sheetName val="Daf.Harga"/>
      <sheetName val="RAB"/>
      <sheetName val="Analis"/>
    </sheetNames>
    <sheetDataSet>
      <sheetData sheetId="0"/>
      <sheetData sheetId="1" refreshError="1"/>
      <sheetData sheetId="2" refreshError="1"/>
      <sheetData sheetId="3">
        <row r="29">
          <cell r="I29">
            <v>316500</v>
          </cell>
        </row>
        <row r="30">
          <cell r="I30">
            <v>345000</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ANALISA"/>
      <sheetName val="Upah &amp; Bahan "/>
    </sheetNames>
    <sheetDataSet>
      <sheetData sheetId="0" refreshError="1"/>
      <sheetData sheetId="1" refreshError="1"/>
      <sheetData sheetId="2" refreshError="1"/>
      <sheetData sheetId="3" refreshError="1">
        <row r="26">
          <cell r="G26">
            <v>600000</v>
          </cell>
        </row>
        <row r="47">
          <cell r="G47">
            <v>60000</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HIT jalan "/>
      <sheetName val="Perhit I"/>
      <sheetName val="Perhit I PERKERASAN"/>
      <sheetName val="Perhit I kelas C"/>
      <sheetName val="DEO taman"/>
      <sheetName val="RAB BANDARA"/>
      <sheetName val="Rekap Biaya ."/>
      <sheetName val="Basic Price"/>
      <sheetName val="Peralatan (2)"/>
      <sheetName val="Agregat Halus &amp; Kasar"/>
      <sheetName val="Mobilisasi"/>
      <sheetName val="Mobil vtas."/>
      <sheetName val="DEVI 2 PVC"/>
      <sheetName val="rumput"/>
      <sheetName val="DEV. gal biasa"/>
      <sheetName val="TELFORD"/>
      <sheetName val="DEVI 8 Marcat"/>
      <sheetName val="DEVI 7 PAVING"/>
      <sheetName val="DEVI 7 baja"/>
      <sheetName val="LS-Rutin"/>
      <sheetName val="DEI.!!!!!2"/>
      <sheetName val="DEV.!!!!3"/>
      <sheetName val="DEV!!!!.5"/>
      <sheetName val="DEV.iiii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s>
    <sheetDataSet>
      <sheetData sheetId="0" refreshError="1"/>
      <sheetData sheetId="1" refreshError="1">
        <row r="4">
          <cell r="C4" t="str">
            <v>Penangulangan Bencana Alam Banjir Di Kota Sorong</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si"/>
      <sheetName val="REK"/>
      <sheetName val="RAB"/>
      <sheetName val="AN"/>
      <sheetName val="BU"/>
      <sheetName val="MVC"/>
    </sheetNames>
    <sheetDataSet>
      <sheetData sheetId="0" refreshError="1"/>
      <sheetData sheetId="1" refreshError="1"/>
      <sheetData sheetId="2" refreshError="1"/>
      <sheetData sheetId="3" refreshError="1"/>
      <sheetData sheetId="4" refreshError="1">
        <row r="5">
          <cell r="E5">
            <v>110000</v>
          </cell>
        </row>
        <row r="6">
          <cell r="E6">
            <v>95000</v>
          </cell>
        </row>
        <row r="7">
          <cell r="E7">
            <v>85000</v>
          </cell>
        </row>
        <row r="9">
          <cell r="E9">
            <v>95000</v>
          </cell>
        </row>
        <row r="10">
          <cell r="E10">
            <v>95000</v>
          </cell>
        </row>
      </sheetData>
      <sheetData sheetId="5"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3"/>
      <sheetName val="D3B21,D3B2"/>
      <sheetName val="D2"/>
      <sheetName val="D1"/>
      <sheetName val="D3A,D3A1"/>
      <sheetName val="D3B1, D3B"/>
      <sheetName val="DBASE"/>
      <sheetName val="PSAP"/>
      <sheetName val="AGAMA"/>
      <sheetName val="DIKOR"/>
      <sheetName val="PSR"/>
      <sheetName val="PAR"/>
      <sheetName val="PPAB"/>
      <sheetName val="HUB"/>
      <sheetName val="p2p"/>
      <sheetName val="plp"/>
      <sheetName val="p2jkk"/>
      <sheetName val="pkp"/>
      <sheetName val="kontrak"/>
    </sheetNames>
    <sheetDataSet>
      <sheetData sheetId="0"/>
      <sheetData sheetId="1"/>
      <sheetData sheetId="2"/>
      <sheetData sheetId="3"/>
      <sheetData sheetId="4"/>
      <sheetData sheetId="5"/>
      <sheetData sheetId="6"/>
      <sheetData sheetId="7">
        <row r="558">
          <cell r="S558">
            <v>498430000</v>
          </cell>
        </row>
      </sheetData>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5">
          <cell r="F25">
            <v>35000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L-M (5)"/>
      <sheetName val="AN PAGAR"/>
      <sheetName val="RUMAHJAGA"/>
      <sheetName val="ANL-M (4)"/>
      <sheetName val="PAGAR"/>
      <sheetName val="rph"/>
      <sheetName val="SAP-GEDUNG"/>
      <sheetName val="an sni"/>
      <sheetName val="BQ"/>
      <sheetName val="ANL-M"/>
      <sheetName val="REKAP"/>
      <sheetName val="KANDANG"/>
      <sheetName val="PLESTER TO"/>
      <sheetName val="AN-RMH"/>
      <sheetName val="UPAH"/>
      <sheetName val="MTRL-ALAMI"/>
      <sheetName val="PABRIK"/>
      <sheetName val="TS"/>
      <sheetName val="AIS 3"/>
      <sheetName val="Sheet1 (2)"/>
      <sheetName val="time schedu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5">
          <cell r="B5" t="str">
            <v xml:space="preserve">Mandor </v>
          </cell>
          <cell r="C5" t="str">
            <v>1 Orang / Hari</v>
          </cell>
          <cell r="D5">
            <v>66200</v>
          </cell>
        </row>
        <row r="6">
          <cell r="B6" t="str">
            <v>Kepala Tukang</v>
          </cell>
          <cell r="C6" t="str">
            <v>1 Orang / Hari</v>
          </cell>
          <cell r="D6">
            <v>61800</v>
          </cell>
        </row>
        <row r="7">
          <cell r="B7" t="str">
            <v>Tukang</v>
          </cell>
          <cell r="C7" t="str">
            <v>1 Orang / Hari</v>
          </cell>
          <cell r="D7">
            <v>57400</v>
          </cell>
        </row>
        <row r="8">
          <cell r="B8" t="str">
            <v>Tukang Batu</v>
          </cell>
          <cell r="C8" t="str">
            <v>1 Orang / Hari</v>
          </cell>
          <cell r="D8">
            <v>57400</v>
          </cell>
        </row>
        <row r="9">
          <cell r="B9" t="str">
            <v>Tukang Besi</v>
          </cell>
          <cell r="C9" t="str">
            <v>1 Orang / Hari</v>
          </cell>
          <cell r="D9">
            <v>57400</v>
          </cell>
        </row>
        <row r="10">
          <cell r="B10" t="str">
            <v>Tukang Kayu</v>
          </cell>
          <cell r="C10" t="str">
            <v>1 Orang / Hari</v>
          </cell>
          <cell r="D10">
            <v>57400</v>
          </cell>
        </row>
        <row r="11">
          <cell r="B11" t="str">
            <v>Tukang pipa</v>
          </cell>
          <cell r="C11" t="str">
            <v>1 Orang / Hari</v>
          </cell>
          <cell r="D11">
            <v>57400</v>
          </cell>
        </row>
        <row r="12">
          <cell r="B12" t="str">
            <v>Tukang Cat</v>
          </cell>
          <cell r="C12" t="str">
            <v>1 Orang / Hari</v>
          </cell>
          <cell r="D12">
            <v>57400</v>
          </cell>
        </row>
        <row r="13">
          <cell r="B13" t="str">
            <v>Pekerja</v>
          </cell>
          <cell r="C13" t="str">
            <v>1 Orang / Hari</v>
          </cell>
          <cell r="D13">
            <v>43500</v>
          </cell>
        </row>
      </sheetData>
      <sheetData sheetId="15">
        <row r="4">
          <cell r="B4" t="str">
            <v>Batu Kali / Batu Gunung</v>
          </cell>
        </row>
      </sheetData>
      <sheetData sheetId="16">
        <row r="4">
          <cell r="B4" t="str">
            <v>Semen PC</v>
          </cell>
          <cell r="D4" t="str">
            <v>50 Kg</v>
          </cell>
          <cell r="E4" t="str">
            <v>Zak</v>
          </cell>
          <cell r="F4">
            <v>54400</v>
          </cell>
        </row>
        <row r="5">
          <cell r="B5" t="str">
            <v>Semen Portland</v>
          </cell>
          <cell r="E5" t="str">
            <v>Kg</v>
          </cell>
          <cell r="F5">
            <v>1000</v>
          </cell>
        </row>
        <row r="6">
          <cell r="B6" t="str">
            <v>Semen warna</v>
          </cell>
          <cell r="E6" t="str">
            <v>Kg</v>
          </cell>
          <cell r="F6">
            <v>5900</v>
          </cell>
        </row>
        <row r="7">
          <cell r="B7" t="str">
            <v>Semen abu-abu</v>
          </cell>
          <cell r="E7" t="str">
            <v>Kg</v>
          </cell>
          <cell r="F7">
            <v>5900</v>
          </cell>
        </row>
        <row r="8">
          <cell r="B8" t="str">
            <v>Semen nat</v>
          </cell>
          <cell r="E8" t="str">
            <v>Kg</v>
          </cell>
          <cell r="F8">
            <v>5900</v>
          </cell>
        </row>
        <row r="9">
          <cell r="B9" t="str">
            <v>Kawat Beton</v>
          </cell>
          <cell r="E9" t="str">
            <v>Kg</v>
          </cell>
          <cell r="F9">
            <v>12500</v>
          </cell>
        </row>
        <row r="10">
          <cell r="B10" t="str">
            <v xml:space="preserve">Kawat Bronjong </v>
          </cell>
          <cell r="E10" t="str">
            <v>Kg</v>
          </cell>
          <cell r="F10">
            <v>16800</v>
          </cell>
        </row>
        <row r="11">
          <cell r="B11" t="str">
            <v>Kawat Duri</v>
          </cell>
          <cell r="E11" t="str">
            <v>Kg</v>
          </cell>
          <cell r="F11">
            <v>16800</v>
          </cell>
        </row>
        <row r="12">
          <cell r="B12" t="str">
            <v>Besi Beton</v>
          </cell>
          <cell r="E12" t="str">
            <v>Kg</v>
          </cell>
          <cell r="F12">
            <v>8900</v>
          </cell>
        </row>
        <row r="13">
          <cell r="B13" t="str">
            <v>Besi strip</v>
          </cell>
          <cell r="E13" t="str">
            <v>Kg</v>
          </cell>
          <cell r="F13">
            <v>8900</v>
          </cell>
        </row>
        <row r="14">
          <cell r="B14" t="str">
            <v>Paku</v>
          </cell>
          <cell r="E14" t="str">
            <v>Kg</v>
          </cell>
          <cell r="F14">
            <v>10800</v>
          </cell>
        </row>
        <row r="15">
          <cell r="B15" t="str">
            <v>Paku biasa</v>
          </cell>
          <cell r="E15" t="str">
            <v>Kg</v>
          </cell>
          <cell r="F15">
            <v>10800</v>
          </cell>
        </row>
        <row r="16">
          <cell r="B16" t="str">
            <v>Paku biasa 1/2" - 1 "</v>
          </cell>
          <cell r="E16" t="str">
            <v>Kg</v>
          </cell>
          <cell r="F16">
            <v>10800</v>
          </cell>
        </row>
        <row r="17">
          <cell r="B17" t="str">
            <v>Paku biasa 2" - 5"</v>
          </cell>
          <cell r="E17" t="str">
            <v>Kg</v>
          </cell>
          <cell r="F17">
            <v>10800</v>
          </cell>
        </row>
        <row r="18">
          <cell r="B18" t="str">
            <v>Lem kayu</v>
          </cell>
          <cell r="E18" t="str">
            <v>Kg</v>
          </cell>
          <cell r="F18">
            <v>10800</v>
          </cell>
        </row>
        <row r="19">
          <cell r="B19" t="str">
            <v>Paku Campuran</v>
          </cell>
          <cell r="E19" t="str">
            <v>Kg</v>
          </cell>
          <cell r="F19">
            <v>10800</v>
          </cell>
        </row>
        <row r="20">
          <cell r="B20" t="str">
            <v>Paku Tripleks</v>
          </cell>
          <cell r="E20" t="str">
            <v>Kg</v>
          </cell>
          <cell r="F20">
            <v>16300</v>
          </cell>
        </row>
        <row r="21">
          <cell r="B21" t="str">
            <v>Paku Seng</v>
          </cell>
          <cell r="E21" t="str">
            <v>Kg</v>
          </cell>
          <cell r="F21">
            <v>21200</v>
          </cell>
        </row>
        <row r="22">
          <cell r="B22" t="str">
            <v>Paku Beton</v>
          </cell>
          <cell r="E22" t="str">
            <v>Kg</v>
          </cell>
          <cell r="F22">
            <v>16800</v>
          </cell>
        </row>
        <row r="23">
          <cell r="B23" t="str">
            <v>Kapur Padam</v>
          </cell>
          <cell r="E23" t="str">
            <v>M3</v>
          </cell>
          <cell r="F23">
            <v>196500</v>
          </cell>
        </row>
        <row r="24">
          <cell r="B24" t="str">
            <v>Playwood 9 mm</v>
          </cell>
          <cell r="E24" t="str">
            <v>M3</v>
          </cell>
          <cell r="F24">
            <v>94400</v>
          </cell>
        </row>
        <row r="25">
          <cell r="B25" t="str">
            <v>Teakwood 3 mm</v>
          </cell>
          <cell r="D25" t="str">
            <v>Uk. 122 x 244 cm</v>
          </cell>
          <cell r="E25" t="str">
            <v>Lbr</v>
          </cell>
          <cell r="F25">
            <v>88900</v>
          </cell>
        </row>
        <row r="26">
          <cell r="B26" t="str">
            <v>Tripleks 3 mm</v>
          </cell>
          <cell r="D26" t="str">
            <v>Uk. 122 x 244 cm</v>
          </cell>
          <cell r="E26" t="str">
            <v>Lbr</v>
          </cell>
          <cell r="F26">
            <v>45400</v>
          </cell>
        </row>
        <row r="27">
          <cell r="B27" t="str">
            <v>Tripleks 5 mm</v>
          </cell>
          <cell r="D27" t="str">
            <v>Uk. 122 x 244 cm</v>
          </cell>
          <cell r="E27" t="str">
            <v>Lbr</v>
          </cell>
          <cell r="F27">
            <v>84100</v>
          </cell>
        </row>
        <row r="28">
          <cell r="B28" t="str">
            <v>Tripleks 8 mm</v>
          </cell>
          <cell r="D28" t="str">
            <v>Uk. 122 x 244 cm</v>
          </cell>
          <cell r="E28" t="str">
            <v>Lbr</v>
          </cell>
          <cell r="F28">
            <v>112000</v>
          </cell>
        </row>
        <row r="29">
          <cell r="B29" t="str">
            <v>Tripleks 10 mm</v>
          </cell>
          <cell r="D29" t="str">
            <v>Uk. 122 x 244 cm</v>
          </cell>
          <cell r="E29" t="str">
            <v>Lbr</v>
          </cell>
          <cell r="F29">
            <v>129700</v>
          </cell>
        </row>
        <row r="30">
          <cell r="B30" t="str">
            <v>Pipa Galvanis Medium B</v>
          </cell>
          <cell r="D30" t="str">
            <v>Uk. 1/2 "</v>
          </cell>
          <cell r="E30" t="str">
            <v>Staf</v>
          </cell>
          <cell r="F30">
            <v>296000</v>
          </cell>
        </row>
        <row r="31">
          <cell r="B31" t="str">
            <v>Pipa Galvanis  Medium B</v>
          </cell>
          <cell r="D31" t="str">
            <v>Uk. 3/4 "</v>
          </cell>
          <cell r="E31" t="str">
            <v>Staf</v>
          </cell>
          <cell r="F31">
            <v>387000</v>
          </cell>
        </row>
        <row r="32">
          <cell r="B32" t="str">
            <v>Pipa Galvanis  Medium B</v>
          </cell>
          <cell r="D32" t="str">
            <v>Uk. 1 "</v>
          </cell>
          <cell r="E32" t="str">
            <v>Staf</v>
          </cell>
          <cell r="F32">
            <v>591900</v>
          </cell>
        </row>
        <row r="33">
          <cell r="B33" t="str">
            <v>Pipa Galvanis  Medium B</v>
          </cell>
          <cell r="D33" t="str">
            <v>Uk. 11/4 "</v>
          </cell>
          <cell r="E33" t="str">
            <v>Staf</v>
          </cell>
          <cell r="F33">
            <v>776200</v>
          </cell>
        </row>
        <row r="34">
          <cell r="B34" t="str">
            <v>Pipa PVC 1/2 "</v>
          </cell>
          <cell r="D34" t="str">
            <v>Uk. 1/2 "</v>
          </cell>
          <cell r="E34" t="str">
            <v>M'</v>
          </cell>
          <cell r="F34">
            <v>15300</v>
          </cell>
        </row>
        <row r="35">
          <cell r="B35" t="str">
            <v>Pipa PVC</v>
          </cell>
          <cell r="D35" t="str">
            <v>Uk. 3/4 "</v>
          </cell>
          <cell r="E35" t="str">
            <v>M'</v>
          </cell>
          <cell r="F35">
            <v>20600</v>
          </cell>
        </row>
        <row r="36">
          <cell r="B36" t="str">
            <v>Pipa PVC</v>
          </cell>
          <cell r="D36" t="str">
            <v>Uk. 1 "</v>
          </cell>
          <cell r="E36" t="str">
            <v>M'</v>
          </cell>
          <cell r="F36">
            <v>28300</v>
          </cell>
        </row>
        <row r="37">
          <cell r="B37" t="str">
            <v>Pipa PVC</v>
          </cell>
          <cell r="D37" t="str">
            <v>Uk. 11/4 "</v>
          </cell>
          <cell r="E37" t="str">
            <v>M'</v>
          </cell>
          <cell r="F37">
            <v>26600</v>
          </cell>
        </row>
        <row r="38">
          <cell r="B38" t="str">
            <v>Pipa PVC</v>
          </cell>
          <cell r="D38" t="str">
            <v>Uk. 11/2 "</v>
          </cell>
          <cell r="E38" t="str">
            <v>M'</v>
          </cell>
          <cell r="F38">
            <v>35400</v>
          </cell>
        </row>
        <row r="39">
          <cell r="B39" t="str">
            <v>Pipa PVC</v>
          </cell>
          <cell r="D39" t="str">
            <v>Uk. 2 "</v>
          </cell>
          <cell r="E39" t="str">
            <v>M'</v>
          </cell>
          <cell r="F39">
            <v>41200</v>
          </cell>
        </row>
        <row r="40">
          <cell r="B40" t="str">
            <v>Pipa PVC 3"</v>
          </cell>
          <cell r="D40" t="str">
            <v>Uk. 3 "</v>
          </cell>
          <cell r="E40" t="str">
            <v>M'</v>
          </cell>
          <cell r="F40">
            <v>70700</v>
          </cell>
        </row>
        <row r="41">
          <cell r="B41" t="str">
            <v>Pipa PVC</v>
          </cell>
          <cell r="D41" t="str">
            <v>Uk. 4 "</v>
          </cell>
          <cell r="E41" t="str">
            <v>M'</v>
          </cell>
          <cell r="F41">
            <v>118000</v>
          </cell>
        </row>
        <row r="42">
          <cell r="B42" t="str">
            <v>Knee PVC</v>
          </cell>
          <cell r="D42" t="str">
            <v>Uk. 1/2 "</v>
          </cell>
          <cell r="E42" t="str">
            <v>Bh</v>
          </cell>
          <cell r="F42">
            <v>2700</v>
          </cell>
        </row>
        <row r="43">
          <cell r="B43" t="str">
            <v>Knee PVC</v>
          </cell>
          <cell r="D43" t="str">
            <v>Uk. 3/4 "</v>
          </cell>
          <cell r="E43" t="str">
            <v>Bh</v>
          </cell>
          <cell r="F43">
            <v>3900</v>
          </cell>
        </row>
        <row r="44">
          <cell r="B44" t="str">
            <v>Knee PVC</v>
          </cell>
          <cell r="D44" t="str">
            <v>Uk. 1 "</v>
          </cell>
          <cell r="E44" t="str">
            <v>Bh</v>
          </cell>
          <cell r="F44">
            <v>4500</v>
          </cell>
        </row>
        <row r="45">
          <cell r="B45" t="str">
            <v>Knee PVC</v>
          </cell>
          <cell r="D45" t="str">
            <v>Uk. 11/4 "</v>
          </cell>
          <cell r="E45" t="str">
            <v>Bh</v>
          </cell>
          <cell r="F45">
            <v>5600</v>
          </cell>
        </row>
        <row r="46">
          <cell r="B46" t="str">
            <v>Knee PVC</v>
          </cell>
          <cell r="D46" t="str">
            <v>Uk. 11/2 "</v>
          </cell>
          <cell r="E46" t="str">
            <v>Bh</v>
          </cell>
          <cell r="F46">
            <v>6800</v>
          </cell>
        </row>
        <row r="47">
          <cell r="B47" t="str">
            <v>Knee PVC</v>
          </cell>
          <cell r="D47" t="str">
            <v>Uk. 2 "</v>
          </cell>
          <cell r="E47" t="str">
            <v>Bh</v>
          </cell>
          <cell r="F47">
            <v>8500</v>
          </cell>
        </row>
        <row r="48">
          <cell r="B48" t="str">
            <v>Knee PVC</v>
          </cell>
          <cell r="D48" t="str">
            <v>Uk. 3 "</v>
          </cell>
          <cell r="E48" t="str">
            <v>Bh</v>
          </cell>
          <cell r="F48">
            <v>17000</v>
          </cell>
        </row>
        <row r="49">
          <cell r="B49" t="str">
            <v>Knee PVC</v>
          </cell>
          <cell r="D49" t="str">
            <v>Uk. 4 "</v>
          </cell>
          <cell r="E49" t="str">
            <v>Bh</v>
          </cell>
          <cell r="F49">
            <v>19800</v>
          </cell>
        </row>
        <row r="50">
          <cell r="B50" t="str">
            <v>Bata merah</v>
          </cell>
          <cell r="D50" t="str">
            <v>uk. 8x13x28 cm</v>
          </cell>
          <cell r="E50" t="str">
            <v>Bh</v>
          </cell>
          <cell r="F50">
            <v>800</v>
          </cell>
        </row>
        <row r="51">
          <cell r="B51" t="str">
            <v>Batako</v>
          </cell>
          <cell r="E51" t="str">
            <v>Bh</v>
          </cell>
          <cell r="F51">
            <v>1300</v>
          </cell>
        </row>
        <row r="52">
          <cell r="B52" t="str">
            <v>Batu bata</v>
          </cell>
          <cell r="E52" t="str">
            <v>Bh</v>
          </cell>
          <cell r="F52">
            <v>800</v>
          </cell>
        </row>
        <row r="53">
          <cell r="B53" t="str">
            <v>Paving Stone</v>
          </cell>
          <cell r="E53" t="str">
            <v>Bh</v>
          </cell>
          <cell r="F53">
            <v>2300</v>
          </cell>
        </row>
        <row r="54">
          <cell r="B54" t="str">
            <v>Bowling</v>
          </cell>
          <cell r="E54" t="str">
            <v>Bh</v>
          </cell>
          <cell r="F54">
            <v>16400</v>
          </cell>
        </row>
        <row r="55">
          <cell r="B55" t="str">
            <v>Besi Siku</v>
          </cell>
          <cell r="D55" t="str">
            <v>Uk. 30.30.3</v>
          </cell>
          <cell r="E55" t="str">
            <v>M'</v>
          </cell>
          <cell r="F55">
            <v>54000</v>
          </cell>
        </row>
        <row r="56">
          <cell r="B56" t="str">
            <v>Besi Siku</v>
          </cell>
          <cell r="D56" t="str">
            <v>Uk. 40.40.4</v>
          </cell>
          <cell r="E56" t="str">
            <v>M'</v>
          </cell>
          <cell r="F56">
            <v>72800</v>
          </cell>
        </row>
        <row r="57">
          <cell r="B57" t="str">
            <v>Besi Siku</v>
          </cell>
          <cell r="D57" t="str">
            <v>Uk. 50.50.5</v>
          </cell>
          <cell r="E57" t="str">
            <v>M'</v>
          </cell>
          <cell r="F57">
            <v>112000</v>
          </cell>
        </row>
        <row r="58">
          <cell r="B58" t="str">
            <v>Seng Gelombang BJLs 0,20 mm</v>
          </cell>
          <cell r="D58" t="str">
            <v>BJLS 0.20 mm</v>
          </cell>
          <cell r="E58" t="str">
            <v>Lbr</v>
          </cell>
          <cell r="F58">
            <v>39900</v>
          </cell>
        </row>
        <row r="59">
          <cell r="B59" t="str">
            <v>Seng Gelombang BJLS 0,25 mm</v>
          </cell>
          <cell r="D59" t="str">
            <v>BJLS 0.25 mm</v>
          </cell>
          <cell r="E59" t="str">
            <v>Lbr</v>
          </cell>
          <cell r="F59">
            <v>50800</v>
          </cell>
        </row>
        <row r="60">
          <cell r="B60" t="str">
            <v>Seng Gelombang BJLS 0,30 mm</v>
          </cell>
          <cell r="D60" t="str">
            <v>BJLS 0.30 mm</v>
          </cell>
          <cell r="E60" t="str">
            <v>Lbr</v>
          </cell>
          <cell r="F60">
            <v>61700</v>
          </cell>
        </row>
        <row r="61">
          <cell r="B61" t="str">
            <v>Seng Plat BJLS 0,30 mm</v>
          </cell>
          <cell r="D61" t="str">
            <v>BJLS 0.30 mm</v>
          </cell>
          <cell r="E61" t="str">
            <v>Lbr</v>
          </cell>
          <cell r="F61">
            <v>64400</v>
          </cell>
        </row>
        <row r="62">
          <cell r="B62" t="str">
            <v>Seng Plat BJLS 0,25 mm</v>
          </cell>
          <cell r="D62" t="str">
            <v>BJLS 0.25 mm</v>
          </cell>
          <cell r="E62" t="str">
            <v>Lbr</v>
          </cell>
          <cell r="F62">
            <v>55200</v>
          </cell>
        </row>
        <row r="63">
          <cell r="B63" t="str">
            <v>Kloset jongkok</v>
          </cell>
          <cell r="E63" t="str">
            <v>Bh</v>
          </cell>
          <cell r="F63">
            <v>173200</v>
          </cell>
        </row>
        <row r="64">
          <cell r="F64">
            <v>0</v>
          </cell>
        </row>
        <row r="65">
          <cell r="B65" t="str">
            <v>Tegel Keramik</v>
          </cell>
          <cell r="D65" t="str">
            <v>10 x 20 cm</v>
          </cell>
          <cell r="E65" t="str">
            <v>M2</v>
          </cell>
          <cell r="F65">
            <v>50800</v>
          </cell>
        </row>
        <row r="66">
          <cell r="B66" t="str">
            <v>Tegel Keramik</v>
          </cell>
          <cell r="D66" t="str">
            <v>20 x 20 cm</v>
          </cell>
          <cell r="E66" t="str">
            <v>M2</v>
          </cell>
          <cell r="F66">
            <v>50800</v>
          </cell>
        </row>
        <row r="67">
          <cell r="E67" t="str">
            <v>bh</v>
          </cell>
          <cell r="F67">
            <v>2000</v>
          </cell>
        </row>
        <row r="68">
          <cell r="B68" t="str">
            <v>Keramik warna 20 x 20</v>
          </cell>
          <cell r="E68" t="str">
            <v>bh</v>
          </cell>
          <cell r="F68">
            <v>2000</v>
          </cell>
        </row>
        <row r="69">
          <cell r="B69" t="str">
            <v>Tegel Keramik</v>
          </cell>
          <cell r="D69" t="str">
            <v>20 x 25 cm</v>
          </cell>
          <cell r="E69" t="str">
            <v>M2</v>
          </cell>
          <cell r="F69">
            <v>53500</v>
          </cell>
        </row>
        <row r="70">
          <cell r="B70" t="str">
            <v>Tegel Keramik</v>
          </cell>
          <cell r="D70" t="str">
            <v>30 x 30 cm</v>
          </cell>
          <cell r="E70" t="str">
            <v>M2</v>
          </cell>
          <cell r="F70">
            <v>50800</v>
          </cell>
        </row>
        <row r="71">
          <cell r="E71" t="str">
            <v>bh</v>
          </cell>
          <cell r="F71">
            <v>4500</v>
          </cell>
        </row>
        <row r="72">
          <cell r="B72" t="str">
            <v>Keramik warna 30 x 30</v>
          </cell>
          <cell r="E72" t="str">
            <v>bh</v>
          </cell>
          <cell r="F72">
            <v>50800</v>
          </cell>
        </row>
        <row r="73">
          <cell r="B73" t="str">
            <v>Tegel Keramik</v>
          </cell>
          <cell r="D73" t="str">
            <v>40 x 40 cm</v>
          </cell>
          <cell r="E73" t="str">
            <v>M2</v>
          </cell>
          <cell r="F73">
            <v>56300</v>
          </cell>
        </row>
        <row r="74">
          <cell r="E74" t="str">
            <v>bh</v>
          </cell>
          <cell r="F74">
            <v>9000</v>
          </cell>
        </row>
        <row r="75">
          <cell r="B75" t="str">
            <v>Keramik warna 40 x 40 cm</v>
          </cell>
          <cell r="F75">
            <v>9300</v>
          </cell>
        </row>
        <row r="76">
          <cell r="B76" t="str">
            <v>Porselen 11 x 11 cm</v>
          </cell>
          <cell r="E76" t="str">
            <v>bh</v>
          </cell>
          <cell r="F76">
            <v>800</v>
          </cell>
        </row>
        <row r="77">
          <cell r="B77" t="str">
            <v>Cat  Besi</v>
          </cell>
          <cell r="D77" t="str">
            <v>Glotex</v>
          </cell>
          <cell r="E77" t="str">
            <v>Kg</v>
          </cell>
          <cell r="F77">
            <v>30800</v>
          </cell>
        </row>
        <row r="78">
          <cell r="B78" t="str">
            <v>Cat kayu</v>
          </cell>
          <cell r="E78" t="str">
            <v>Kg</v>
          </cell>
          <cell r="F78">
            <v>30800</v>
          </cell>
        </row>
        <row r="79">
          <cell r="B79" t="str">
            <v xml:space="preserve">Cat Besi </v>
          </cell>
          <cell r="D79" t="str">
            <v>Platone</v>
          </cell>
          <cell r="E79" t="str">
            <v>Kg</v>
          </cell>
          <cell r="F79">
            <v>33200</v>
          </cell>
        </row>
        <row r="80">
          <cell r="B80" t="str">
            <v xml:space="preserve">Cat Kayu </v>
          </cell>
          <cell r="E80" t="str">
            <v>Kg</v>
          </cell>
          <cell r="F80">
            <v>33200</v>
          </cell>
        </row>
        <row r="81">
          <cell r="B81" t="str">
            <v>Cat Tembok</v>
          </cell>
          <cell r="D81" t="str">
            <v>Matex</v>
          </cell>
          <cell r="E81" t="str">
            <v>1 Kg</v>
          </cell>
          <cell r="F81">
            <v>9900</v>
          </cell>
        </row>
        <row r="82">
          <cell r="B82" t="str">
            <v>Cat dasar</v>
          </cell>
          <cell r="E82" t="str">
            <v>1 Kg</v>
          </cell>
          <cell r="F82">
            <v>9900</v>
          </cell>
        </row>
        <row r="83">
          <cell r="B83" t="str">
            <v>Cat penutup 2 kali</v>
          </cell>
          <cell r="E83" t="str">
            <v>1 Kg</v>
          </cell>
          <cell r="F83">
            <v>9900</v>
          </cell>
        </row>
        <row r="84">
          <cell r="B84" t="str">
            <v>Cat Meni Kayu</v>
          </cell>
          <cell r="D84" t="str">
            <v>Altex</v>
          </cell>
          <cell r="E84" t="str">
            <v>1 Kg</v>
          </cell>
          <cell r="F84">
            <v>22300</v>
          </cell>
        </row>
        <row r="85">
          <cell r="B85" t="str">
            <v>Cat Meni</v>
          </cell>
          <cell r="E85" t="str">
            <v>1 Kg</v>
          </cell>
          <cell r="F85">
            <v>22300</v>
          </cell>
        </row>
        <row r="86">
          <cell r="B86" t="str">
            <v>Meni Besi</v>
          </cell>
          <cell r="D86" t="str">
            <v>Altex</v>
          </cell>
          <cell r="E86" t="str">
            <v>1 Kg</v>
          </cell>
          <cell r="F86">
            <v>14300</v>
          </cell>
        </row>
        <row r="87">
          <cell r="B87" t="str">
            <v>Minyak Cat</v>
          </cell>
          <cell r="D87" t="str">
            <v>Thinner</v>
          </cell>
          <cell r="E87" t="str">
            <v>Liter</v>
          </cell>
          <cell r="F87">
            <v>8300</v>
          </cell>
        </row>
        <row r="88">
          <cell r="B88" t="str">
            <v>Minyak Bakisting</v>
          </cell>
          <cell r="F88">
            <v>8300</v>
          </cell>
        </row>
        <row r="89">
          <cell r="B89" t="str">
            <v>Minyak Cat</v>
          </cell>
          <cell r="D89" t="str">
            <v>Afduner</v>
          </cell>
          <cell r="E89" t="str">
            <v>Liter</v>
          </cell>
          <cell r="F89">
            <v>8300</v>
          </cell>
        </row>
        <row r="90">
          <cell r="B90" t="str">
            <v>Pelumas / Olie</v>
          </cell>
          <cell r="E90" t="str">
            <v>Liter</v>
          </cell>
          <cell r="F90">
            <v>14800</v>
          </cell>
        </row>
        <row r="91">
          <cell r="B91" t="str">
            <v>Dempul Kayu</v>
          </cell>
          <cell r="D91" t="str">
            <v>Altex</v>
          </cell>
          <cell r="E91" t="str">
            <v>Kg</v>
          </cell>
          <cell r="F91">
            <v>22300</v>
          </cell>
        </row>
        <row r="92">
          <cell r="B92" t="str">
            <v>Dempul jadi</v>
          </cell>
          <cell r="D92" t="str">
            <v>Altex</v>
          </cell>
          <cell r="E92" t="str">
            <v>Kg</v>
          </cell>
          <cell r="F92">
            <v>22300</v>
          </cell>
        </row>
        <row r="93">
          <cell r="B93" t="str">
            <v>Dempul</v>
          </cell>
          <cell r="D93" t="str">
            <v>Altex</v>
          </cell>
          <cell r="E93" t="str">
            <v>Kg</v>
          </cell>
          <cell r="F93">
            <v>22300</v>
          </cell>
        </row>
        <row r="94">
          <cell r="B94" t="str">
            <v>Plamir Tembok</v>
          </cell>
          <cell r="D94" t="str">
            <v>5 Kg</v>
          </cell>
          <cell r="E94" t="str">
            <v>Kaleng</v>
          </cell>
          <cell r="F94">
            <v>33500</v>
          </cell>
        </row>
        <row r="95">
          <cell r="B95" t="str">
            <v>Plamir</v>
          </cell>
          <cell r="D95" t="str">
            <v>1 Kg</v>
          </cell>
          <cell r="E95" t="str">
            <v>Kaleng</v>
          </cell>
          <cell r="F95">
            <v>6700</v>
          </cell>
        </row>
        <row r="96">
          <cell r="B96" t="str">
            <v>Plamir Tembok</v>
          </cell>
          <cell r="D96" t="str">
            <v>1 Kg</v>
          </cell>
          <cell r="E96" t="str">
            <v>Kaleng</v>
          </cell>
          <cell r="F96">
            <v>6700</v>
          </cell>
        </row>
        <row r="97">
          <cell r="B97" t="str">
            <v xml:space="preserve">Kuas </v>
          </cell>
          <cell r="E97" t="str">
            <v>Bh</v>
          </cell>
          <cell r="F97">
            <v>9200</v>
          </cell>
        </row>
        <row r="98">
          <cell r="B98" t="str">
            <v>Amplas</v>
          </cell>
          <cell r="E98" t="str">
            <v>Bh</v>
          </cell>
          <cell r="F98">
            <v>3500</v>
          </cell>
        </row>
        <row r="99">
          <cell r="F99">
            <v>0</v>
          </cell>
        </row>
        <row r="100">
          <cell r="F100">
            <v>0</v>
          </cell>
        </row>
        <row r="101">
          <cell r="F101">
            <v>0</v>
          </cell>
        </row>
        <row r="102">
          <cell r="B102" t="str">
            <v>Residu</v>
          </cell>
          <cell r="E102" t="str">
            <v>Ltr</v>
          </cell>
          <cell r="F102">
            <v>17000</v>
          </cell>
        </row>
        <row r="103">
          <cell r="B103" t="str">
            <v>Lem Kayu</v>
          </cell>
          <cell r="D103">
            <v>1</v>
          </cell>
          <cell r="E103" t="str">
            <v>Ltr</v>
          </cell>
          <cell r="F103">
            <v>12300</v>
          </cell>
        </row>
        <row r="104">
          <cell r="B104" t="str">
            <v>Vernis</v>
          </cell>
          <cell r="D104">
            <v>1</v>
          </cell>
          <cell r="E104" t="str">
            <v>Ltr</v>
          </cell>
          <cell r="F104">
            <v>24700</v>
          </cell>
        </row>
        <row r="105">
          <cell r="B105" t="str">
            <v>Batu Apung</v>
          </cell>
          <cell r="D105">
            <v>1</v>
          </cell>
          <cell r="E105" t="str">
            <v>Kg</v>
          </cell>
          <cell r="F105">
            <v>2900</v>
          </cell>
        </row>
        <row r="106">
          <cell r="B106" t="str">
            <v>Kaca Rayban 3 mm</v>
          </cell>
          <cell r="D106" t="str">
            <v>3 mm</v>
          </cell>
          <cell r="E106" t="str">
            <v>M2</v>
          </cell>
          <cell r="F106">
            <v>69100</v>
          </cell>
        </row>
        <row r="107">
          <cell r="B107" t="str">
            <v>Kaca Rayban</v>
          </cell>
          <cell r="D107" t="str">
            <v>5 mm</v>
          </cell>
          <cell r="E107" t="str">
            <v>M2</v>
          </cell>
          <cell r="F107">
            <v>95980.962453728207</v>
          </cell>
        </row>
        <row r="108">
          <cell r="B108" t="str">
            <v>Kaca rayben 5 mm</v>
          </cell>
          <cell r="E108" t="str">
            <v>1Bh</v>
          </cell>
          <cell r="F108">
            <v>23995.240613432052</v>
          </cell>
        </row>
        <row r="109">
          <cell r="B109" t="str">
            <v>Kaca Bening</v>
          </cell>
          <cell r="D109" t="str">
            <v>2 mm</v>
          </cell>
          <cell r="E109" t="str">
            <v>M2</v>
          </cell>
          <cell r="F109">
            <v>115000</v>
          </cell>
        </row>
        <row r="110">
          <cell r="B110" t="str">
            <v>Kaca Bening</v>
          </cell>
          <cell r="D110" t="str">
            <v>3 mm</v>
          </cell>
          <cell r="E110" t="str">
            <v>M2</v>
          </cell>
          <cell r="F110">
            <v>59318.377911993106</v>
          </cell>
        </row>
        <row r="111">
          <cell r="B111" t="str">
            <v>Kaca bening 3 mm</v>
          </cell>
          <cell r="E111" t="str">
            <v>1 Bh</v>
          </cell>
          <cell r="F111">
            <v>14829.594477998276</v>
          </cell>
        </row>
        <row r="112">
          <cell r="B112" t="str">
            <v>Kaca Bening</v>
          </cell>
          <cell r="D112" t="str">
            <v>5 mm</v>
          </cell>
          <cell r="E112" t="str">
            <v>M2</v>
          </cell>
          <cell r="F112">
            <v>86011.647972389983</v>
          </cell>
        </row>
        <row r="113">
          <cell r="B113" t="str">
            <v>Dudukan Nako</v>
          </cell>
          <cell r="E113" t="str">
            <v>Bh</v>
          </cell>
          <cell r="F113">
            <v>28700</v>
          </cell>
        </row>
        <row r="114">
          <cell r="B114" t="str">
            <v>Kran air</v>
          </cell>
          <cell r="E114" t="str">
            <v>Bh</v>
          </cell>
          <cell r="F114">
            <v>38830</v>
          </cell>
        </row>
        <row r="115">
          <cell r="B115" t="str">
            <v>Avour / Saringan Air Kotor</v>
          </cell>
          <cell r="E115" t="str">
            <v>Bh</v>
          </cell>
          <cell r="F115">
            <v>17200</v>
          </cell>
        </row>
        <row r="116">
          <cell r="B116" t="str">
            <v>Floor Drain</v>
          </cell>
          <cell r="E116" t="str">
            <v>Bh</v>
          </cell>
          <cell r="F116">
            <v>17200</v>
          </cell>
        </row>
        <row r="117">
          <cell r="B117" t="str">
            <v>Kloset Jongkok</v>
          </cell>
          <cell r="D117" t="str">
            <v>INA</v>
          </cell>
          <cell r="E117" t="str">
            <v>Bh</v>
          </cell>
          <cell r="F117">
            <v>195250.00000000003</v>
          </cell>
        </row>
        <row r="118">
          <cell r="B118" t="str">
            <v>Kloset jongkok porsolen</v>
          </cell>
          <cell r="E118" t="str">
            <v>Bh</v>
          </cell>
          <cell r="F118">
            <v>195250.00000000003</v>
          </cell>
        </row>
        <row r="119">
          <cell r="B119" t="str">
            <v>Wastafel</v>
          </cell>
          <cell r="D119" t="str">
            <v>INA / TOTO</v>
          </cell>
          <cell r="E119" t="str">
            <v>Bh</v>
          </cell>
          <cell r="F119">
            <v>306460</v>
          </cell>
        </row>
        <row r="120">
          <cell r="B120" t="str">
            <v>Seal Tape</v>
          </cell>
          <cell r="E120" t="str">
            <v>bh</v>
          </cell>
          <cell r="F120">
            <v>3500</v>
          </cell>
        </row>
        <row r="121">
          <cell r="B121" t="str">
            <v>I J U K</v>
          </cell>
          <cell r="E121" t="str">
            <v>Kg</v>
          </cell>
          <cell r="F121">
            <v>37500</v>
          </cell>
        </row>
        <row r="122">
          <cell r="B122" t="str">
            <v>Kunci Pintu 1 Slaag</v>
          </cell>
          <cell r="D122" t="str">
            <v>Cap Kuda Terbang</v>
          </cell>
          <cell r="E122" t="str">
            <v>Bh</v>
          </cell>
          <cell r="F122">
            <v>33550</v>
          </cell>
        </row>
        <row r="123">
          <cell r="B123" t="str">
            <v>Kunci Pintu 2 Slaag</v>
          </cell>
          <cell r="D123" t="str">
            <v>Cap  SES</v>
          </cell>
          <cell r="E123" t="str">
            <v>Bh</v>
          </cell>
          <cell r="F123">
            <v>165550</v>
          </cell>
        </row>
        <row r="124">
          <cell r="B124" t="str">
            <v>Kunci tanam antik</v>
          </cell>
          <cell r="E124" t="str">
            <v>Bh</v>
          </cell>
          <cell r="F124">
            <v>275550</v>
          </cell>
        </row>
        <row r="125">
          <cell r="B125" t="str">
            <v>Kunci tanam biasa</v>
          </cell>
          <cell r="E125" t="str">
            <v>Bh</v>
          </cell>
          <cell r="F125">
            <v>72050</v>
          </cell>
        </row>
        <row r="126">
          <cell r="B126" t="str">
            <v>Kunci tanam kamar mandi</v>
          </cell>
          <cell r="E126" t="str">
            <v>Bh</v>
          </cell>
          <cell r="F126">
            <v>72050</v>
          </cell>
        </row>
        <row r="127">
          <cell r="B127" t="str">
            <v>Grendel Jendela</v>
          </cell>
          <cell r="E127" t="str">
            <v>Bh</v>
          </cell>
          <cell r="F127">
            <v>16830</v>
          </cell>
        </row>
        <row r="128">
          <cell r="B128" t="str">
            <v>Grendel</v>
          </cell>
          <cell r="E128" t="str">
            <v>Bh</v>
          </cell>
          <cell r="F128">
            <v>16830</v>
          </cell>
        </row>
        <row r="129">
          <cell r="B129" t="str">
            <v>Engsel  Angin</v>
          </cell>
          <cell r="E129" t="str">
            <v>Bh</v>
          </cell>
          <cell r="F129">
            <v>16830</v>
          </cell>
        </row>
        <row r="130">
          <cell r="B130" t="str">
            <v>Kait angin</v>
          </cell>
          <cell r="E130" t="str">
            <v>Bh</v>
          </cell>
          <cell r="F130">
            <v>8580</v>
          </cell>
        </row>
        <row r="131">
          <cell r="B131" t="str">
            <v xml:space="preserve">Engsel Jendela </v>
          </cell>
          <cell r="E131" t="str">
            <v>Bh</v>
          </cell>
          <cell r="F131">
            <v>38830</v>
          </cell>
        </row>
        <row r="132">
          <cell r="B132" t="str">
            <v xml:space="preserve">Engsel Pintu </v>
          </cell>
          <cell r="E132" t="str">
            <v>Bh</v>
          </cell>
          <cell r="F132">
            <v>27830.000000000004</v>
          </cell>
        </row>
        <row r="133">
          <cell r="B133" t="str">
            <v>Door holder</v>
          </cell>
          <cell r="E133" t="str">
            <v>Bh</v>
          </cell>
          <cell r="F133">
            <v>27830.000000000004</v>
          </cell>
        </row>
        <row r="134">
          <cell r="B134" t="str">
            <v>Lis Profil kayu</v>
          </cell>
          <cell r="E134" t="str">
            <v>M'</v>
          </cell>
          <cell r="F134">
            <v>19030</v>
          </cell>
        </row>
        <row r="135">
          <cell r="B135" t="str">
            <v>Profil Baja ( Pabrikan )</v>
          </cell>
          <cell r="E135" t="str">
            <v>Kg</v>
          </cell>
          <cell r="F135">
            <v>28500</v>
          </cell>
        </row>
        <row r="136">
          <cell r="B136" t="str">
            <v>Plat Eiser</v>
          </cell>
          <cell r="E136" t="str">
            <v>M2</v>
          </cell>
          <cell r="F136">
            <v>220500</v>
          </cell>
        </row>
        <row r="137">
          <cell r="B137" t="str">
            <v>Besi Strip</v>
          </cell>
          <cell r="E137" t="str">
            <v>Kg</v>
          </cell>
          <cell r="F137">
            <v>7500</v>
          </cell>
        </row>
        <row r="138">
          <cell r="B138" t="str">
            <v>Pintu Rooling Door</v>
          </cell>
          <cell r="D138">
            <v>1</v>
          </cell>
          <cell r="E138" t="str">
            <v>M2</v>
          </cell>
          <cell r="F138">
            <v>330500</v>
          </cell>
        </row>
        <row r="139">
          <cell r="B139" t="str">
            <v>Pintu Alumanium</v>
          </cell>
          <cell r="D139">
            <v>1</v>
          </cell>
          <cell r="E139" t="str">
            <v>M2</v>
          </cell>
          <cell r="F139">
            <v>275000</v>
          </cell>
        </row>
        <row r="140">
          <cell r="B140" t="str">
            <v>Fibreglass</v>
          </cell>
          <cell r="E140" t="str">
            <v>M2</v>
          </cell>
          <cell r="F140">
            <v>67500</v>
          </cell>
        </row>
        <row r="141">
          <cell r="B141" t="str">
            <v>Geotekstil</v>
          </cell>
          <cell r="D141">
            <v>1</v>
          </cell>
          <cell r="E141" t="str">
            <v>M2</v>
          </cell>
          <cell r="F141">
            <v>35000</v>
          </cell>
        </row>
        <row r="142">
          <cell r="B142" t="str">
            <v>Oxigen</v>
          </cell>
          <cell r="D142">
            <v>1</v>
          </cell>
          <cell r="E142" t="str">
            <v>Btl</v>
          </cell>
          <cell r="F142">
            <v>110000</v>
          </cell>
        </row>
        <row r="143">
          <cell r="B143" t="str">
            <v>Elpiji</v>
          </cell>
          <cell r="D143">
            <v>1</v>
          </cell>
          <cell r="E143" t="str">
            <v>Kg</v>
          </cell>
          <cell r="F143">
            <v>9250</v>
          </cell>
        </row>
        <row r="144">
          <cell r="B144" t="str">
            <v>Kertas Amplas</v>
          </cell>
          <cell r="E144" t="str">
            <v>Lbr</v>
          </cell>
          <cell r="F144">
            <v>3630.0000000000005</v>
          </cell>
        </row>
        <row r="145">
          <cell r="B145" t="str">
            <v>Mur / Baut / Beugel / Angker</v>
          </cell>
          <cell r="E145" t="str">
            <v>Kg</v>
          </cell>
          <cell r="F145">
            <v>28050.000000000004</v>
          </cell>
        </row>
        <row r="146">
          <cell r="B146" t="str">
            <v>Box Sekring</v>
          </cell>
          <cell r="D146" t="str">
            <v>1 Group</v>
          </cell>
          <cell r="E146" t="str">
            <v>Bh</v>
          </cell>
          <cell r="F146">
            <v>58300</v>
          </cell>
        </row>
        <row r="147">
          <cell r="B147" t="str">
            <v>Box Sekring</v>
          </cell>
          <cell r="D147" t="str">
            <v>2 Group</v>
          </cell>
          <cell r="E147" t="str">
            <v>Bh</v>
          </cell>
          <cell r="F147">
            <v>116600</v>
          </cell>
        </row>
        <row r="148">
          <cell r="B148" t="str">
            <v>MCB</v>
          </cell>
          <cell r="D148" t="str">
            <v>2 Ampere</v>
          </cell>
          <cell r="E148" t="str">
            <v>Bh</v>
          </cell>
          <cell r="F148">
            <v>17200</v>
          </cell>
        </row>
        <row r="149">
          <cell r="B149" t="str">
            <v>MCB</v>
          </cell>
          <cell r="D149" t="str">
            <v>4 Ampere</v>
          </cell>
          <cell r="E149" t="str">
            <v>Bh</v>
          </cell>
          <cell r="F149">
            <v>17200</v>
          </cell>
        </row>
        <row r="150">
          <cell r="B150" t="str">
            <v>MCB</v>
          </cell>
          <cell r="D150" t="str">
            <v>6 Ampere</v>
          </cell>
          <cell r="E150" t="str">
            <v>Bh</v>
          </cell>
          <cell r="F150">
            <v>17200</v>
          </cell>
        </row>
        <row r="151">
          <cell r="B151" t="str">
            <v>MCB</v>
          </cell>
          <cell r="D151" t="str">
            <v>10 Ampere</v>
          </cell>
          <cell r="E151" t="str">
            <v>Bh</v>
          </cell>
          <cell r="F151">
            <v>17200</v>
          </cell>
        </row>
        <row r="152">
          <cell r="B152" t="str">
            <v>Saklar Tunggal Tanam</v>
          </cell>
          <cell r="E152" t="str">
            <v>Bh</v>
          </cell>
          <cell r="F152">
            <v>35000</v>
          </cell>
        </row>
        <row r="153">
          <cell r="B153" t="str">
            <v>Saklar Ganda Tanam</v>
          </cell>
          <cell r="E153" t="str">
            <v>Bh</v>
          </cell>
          <cell r="F153">
            <v>58300</v>
          </cell>
        </row>
        <row r="154">
          <cell r="B154" t="str">
            <v>Stop Kontak Tanam</v>
          </cell>
          <cell r="E154" t="str">
            <v>Bh</v>
          </cell>
          <cell r="F154">
            <v>32500</v>
          </cell>
        </row>
        <row r="155">
          <cell r="B155" t="str">
            <v>Lampu Pijar</v>
          </cell>
          <cell r="D155" t="str">
            <v>5 Watt</v>
          </cell>
          <cell r="E155" t="str">
            <v>Bh</v>
          </cell>
          <cell r="F155">
            <v>2100</v>
          </cell>
        </row>
        <row r="156">
          <cell r="B156" t="str">
            <v>Lampu Pijar</v>
          </cell>
          <cell r="D156" t="str">
            <v>10 Watt</v>
          </cell>
          <cell r="E156" t="str">
            <v>Bh</v>
          </cell>
          <cell r="F156">
            <v>3800</v>
          </cell>
        </row>
        <row r="157">
          <cell r="B157" t="str">
            <v>Lampu Pijar</v>
          </cell>
          <cell r="D157" t="str">
            <v>15 Watt</v>
          </cell>
          <cell r="E157" t="str">
            <v>Bh</v>
          </cell>
          <cell r="F157">
            <v>4550</v>
          </cell>
        </row>
        <row r="158">
          <cell r="B158" t="str">
            <v>Lampu Pijar</v>
          </cell>
          <cell r="D158" t="str">
            <v>25 Watt</v>
          </cell>
          <cell r="E158" t="str">
            <v>Bh</v>
          </cell>
          <cell r="F158">
            <v>5300</v>
          </cell>
        </row>
        <row r="159">
          <cell r="B159" t="str">
            <v>Lampu Jari-jari</v>
          </cell>
          <cell r="D159" t="str">
            <v>18 Watt Philips</v>
          </cell>
          <cell r="E159" t="str">
            <v>Bh</v>
          </cell>
          <cell r="F159">
            <v>58300</v>
          </cell>
        </row>
        <row r="160">
          <cell r="B160" t="str">
            <v>Lampu Jari-jari</v>
          </cell>
          <cell r="D160" t="str">
            <v>25 Watt Philips</v>
          </cell>
          <cell r="E160" t="str">
            <v>Bh</v>
          </cell>
          <cell r="F160">
            <v>78600</v>
          </cell>
        </row>
        <row r="161">
          <cell r="B161" t="str">
            <v>Alat Bantu Khusus</v>
          </cell>
          <cell r="D161">
            <v>1</v>
          </cell>
          <cell r="E161" t="str">
            <v>Set</v>
          </cell>
          <cell r="F161">
            <v>10000</v>
          </cell>
        </row>
      </sheetData>
      <sheetData sheetId="17" refreshError="1"/>
      <sheetData sheetId="18" refreshError="1"/>
      <sheetData sheetId="19" refreshError="1"/>
      <sheetData sheetId="20"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B Jl STP)"/>
      <sheetName val="HU"/>
      <sheetName val="RAB Jl Ling"/>
      <sheetName val="RAB Sal"/>
      <sheetName val="HARGA"/>
      <sheetName val="ANALISA"/>
    </sheetNames>
    <sheetDataSet>
      <sheetData sheetId="0" refreshError="1"/>
      <sheetData sheetId="1" refreshError="1"/>
      <sheetData sheetId="2" refreshError="1"/>
      <sheetData sheetId="3" refreshError="1"/>
      <sheetData sheetId="4">
        <row r="35">
          <cell r="F35">
            <v>35000</v>
          </cell>
        </row>
        <row r="38">
          <cell r="F38">
            <v>95000</v>
          </cell>
        </row>
        <row r="41">
          <cell r="F41">
            <v>35000</v>
          </cell>
        </row>
      </sheetData>
      <sheetData sheetId="5"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sheetName val="RAB"/>
      <sheetName val="PENGUKURAN"/>
      <sheetName val="H-SAT-"/>
      <sheetName val="SAT-JADI"/>
      <sheetName val="ANAL-"/>
      <sheetName val="Alat"/>
      <sheetName val="CCO"/>
      <sheetName val="BAP"/>
      <sheetName val="BA-AJ"/>
      <sheetName val="Bend II"/>
      <sheetName val="SKO"/>
      <sheetName val="BA BAYAR"/>
    </sheetNames>
    <sheetDataSet>
      <sheetData sheetId="0" refreshError="1"/>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bilang"/>
      <sheetName val="Data"/>
      <sheetName val="Bayar"/>
      <sheetName val="kwi"/>
      <sheetName val="kwi (2)"/>
      <sheetName val="FP"/>
      <sheetName val="PPN"/>
      <sheetName val="PPH"/>
      <sheetName val="fak"/>
    </sheetNames>
    <sheetDataSet>
      <sheetData sheetId="0">
        <row r="45">
          <cell r="B45" t="str">
            <v>Dua Ratus Tiga Puluh  Juta Sembilan Ratus Empat Puluh Lima  Ribu  Rupiah</v>
          </cell>
        </row>
        <row r="69">
          <cell r="B69" t="str">
            <v>Dua Puluh  Juta Sembilan Ratus Sembilan Puluh Lima  Ribu  Rupiah</v>
          </cell>
        </row>
        <row r="92">
          <cell r="B92" t="str">
            <v>Delapan Juta Tiga Ratus Sembilan Puluh Delapan  Ribu  Rupiah</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T-JADI"/>
      <sheetName val="persiapan"/>
      <sheetName val="akhir"/>
      <sheetName val="PENGUKURAN"/>
      <sheetName val="H-SAT-"/>
      <sheetName val="ANAL-"/>
      <sheetName val="Alat"/>
      <sheetName val="RAB JEMBATAN "/>
      <sheetName val="KODE ALAT"/>
      <sheetName val="ANALISA"/>
      <sheetName val="DAFTAR HARGA"/>
      <sheetName val="D PEMB UTAMA"/>
      <sheetName val="MOBILISASI"/>
      <sheetName val="SAT JADI"/>
      <sheetName val="RAB 1"/>
      <sheetName val="RAB 1 (2)"/>
      <sheetName val="RAB 1 (4)"/>
      <sheetName val="RAB 1 (5)"/>
      <sheetName val="RAB 1 (6)"/>
      <sheetName val="Rekap"/>
      <sheetName val="Kurva S"/>
      <sheetName val="JADWAL BAHAN"/>
      <sheetName val="JADWAL TENAGA"/>
      <sheetName val="SUBK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I.1.4 Jdwl pelaksanaan kgtn"/>
      <sheetName val="Canal malanu"/>
      <sheetName val="RKP Canal malanu . 1."/>
      <sheetName val="Canal KLAWALU"/>
      <sheetName val="RKP Canal KLAWALU"/>
      <sheetName val="Muara Klabala"/>
      <sheetName val="RKP Klabala..7."/>
      <sheetName val="Ps. batu Canal Klawuyuk"/>
      <sheetName val="P. Batu Canal SMP 6"/>
      <sheetName val="RKPP. Batu Canal SMP 6- .5."/>
      <sheetName val="RKP Ps. batu Canal Klawuyuk. 6"/>
      <sheetName val="Normal Klagison"/>
      <sheetName val="RKP Ps. batu Normal Klagison..2"/>
      <sheetName val="URD P GEO"/>
      <sheetName val="Jl Smp 5"/>
      <sheetName val="Basic Price"/>
      <sheetName val="Peralatan (2)"/>
      <sheetName val="Agregat Halus &amp; Kasar"/>
      <sheetName val="Mobilisasi"/>
      <sheetName val="DEI.2"/>
      <sheetName val="DEV.3"/>
      <sheetName val="DEV.3 rawa"/>
      <sheetName val="DEV.3 (2)"/>
      <sheetName val="DEV.5 "/>
      <sheetName val="DEV.6"/>
      <sheetName val="DEV.7"/>
      <sheetName val="DEVI 7"/>
      <sheetName val="DEVI 7 (2)"/>
      <sheetName val="TELFORD"/>
      <sheetName val="Rek. Mob"/>
      <sheetName val="harga satuan"/>
      <sheetName val="DU-5"/>
      <sheetName val="bd"/>
      <sheetName val="hard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48">
          <cell r="W48">
            <v>30486.695707937466</v>
          </cell>
        </row>
      </sheetData>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si"/>
      <sheetName val="Surat Kuasa (2)"/>
      <sheetName val="Surat Penawaran"/>
      <sheetName val="Time Schedulle"/>
      <sheetName val="Rekap Biaya (2)"/>
      <sheetName val="Kuantitas &amp; Harga (2)"/>
      <sheetName val="Sheet1"/>
      <sheetName val="Pekerjaan Utama"/>
      <sheetName val="%"/>
      <sheetName val="Mobilisasi"/>
      <sheetName val="Lalu Lintas"/>
      <sheetName val="Jembatan Sementara"/>
      <sheetName val="DIV.2"/>
      <sheetName val="DIV.3"/>
      <sheetName val="DIV.4"/>
      <sheetName val="DIV.5"/>
      <sheetName val="DIV.6"/>
      <sheetName val="Asbuton"/>
      <sheetName val="DIV.7(a)"/>
      <sheetName val="DIV.7(b)"/>
      <sheetName val="DIV.8"/>
      <sheetName val="DIV.9"/>
      <sheetName val="LS-Rutin"/>
      <sheetName val="URAIAN ANAL"/>
      <sheetName val="Kuantitas"/>
      <sheetName val="Analisa HSP"/>
      <sheetName val="Basic Price"/>
      <sheetName val="Analisa Quarry"/>
      <sheetName val="Peralatan"/>
      <sheetName val="Peralatan (2)"/>
      <sheetName val="Agregat Halus &amp; Kasar"/>
      <sheetName val="Agregat Kelas A"/>
      <sheetName val="Agregat Kelas B"/>
      <sheetName val="Agregat Kelas C"/>
      <sheetName val="LAMP. 6"/>
      <sheetName val="LAMPIRAN 7"/>
      <sheetName val="Lamp.8"/>
      <sheetName val="Surat Kuasa"/>
      <sheetName val="Metode Pelaksanaan"/>
      <sheetName val="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80">
          <cell r="A180" t="str">
            <v>ITEM PEMBAYARAN NO.</v>
          </cell>
          <cell r="D180" t="str">
            <v>:  7.1 (3)</v>
          </cell>
          <cell r="J180" t="str">
            <v>Analisa EI-713</v>
          </cell>
        </row>
        <row r="181">
          <cell r="A181" t="str">
            <v>JENIS PEKERJAAN</v>
          </cell>
          <cell r="D181" t="str">
            <v>:  Beton K-300</v>
          </cell>
        </row>
        <row r="182">
          <cell r="A182" t="str">
            <v>SATUAN PEMBAYARAN</v>
          </cell>
          <cell r="D182" t="str">
            <v>:  M3</v>
          </cell>
          <cell r="H182" t="str">
            <v xml:space="preserve">        URAIAN ANALISA HARGA SATUAN</v>
          </cell>
        </row>
        <row r="185">
          <cell r="A185" t="str">
            <v>No.</v>
          </cell>
          <cell r="C185" t="str">
            <v>U R A I A N</v>
          </cell>
          <cell r="G185" t="str">
            <v>KODE</v>
          </cell>
          <cell r="H185" t="str">
            <v>KOEF.</v>
          </cell>
          <cell r="I185" t="str">
            <v>SATUAN</v>
          </cell>
          <cell r="J185" t="str">
            <v>KETERANGAN</v>
          </cell>
        </row>
        <row r="188">
          <cell r="A188" t="str">
            <v>I.</v>
          </cell>
          <cell r="C188" t="str">
            <v>ASUMSI</v>
          </cell>
        </row>
        <row r="189">
          <cell r="A189">
            <v>1</v>
          </cell>
          <cell r="C189" t="str">
            <v>Menggunakan alat (cara mekanik)</v>
          </cell>
        </row>
        <row r="190">
          <cell r="A190">
            <v>2</v>
          </cell>
          <cell r="C190" t="str">
            <v>Lokasi pekerjaan : sekitar lantai jembatan</v>
          </cell>
        </row>
        <row r="191">
          <cell r="A191">
            <v>3</v>
          </cell>
          <cell r="C191" t="str">
            <v>Bahan dasar (batu, pasir dan semen) diterima</v>
          </cell>
        </row>
        <row r="192">
          <cell r="C192" t="str">
            <v>seluruhnya di lokasi pekerjaan</v>
          </cell>
        </row>
        <row r="193">
          <cell r="A193">
            <v>4</v>
          </cell>
          <cell r="C193" t="str">
            <v>Jarak rata-rata Base camp ke lokasi pekerjaan</v>
          </cell>
          <cell r="G193" t="str">
            <v>L</v>
          </cell>
          <cell r="H193">
            <v>5.0462500128965715</v>
          </cell>
          <cell r="I193" t="str">
            <v>KM</v>
          </cell>
        </row>
        <row r="194">
          <cell r="A194">
            <v>5</v>
          </cell>
          <cell r="C194" t="str">
            <v>Jam kerja efektif per-hari</v>
          </cell>
          <cell r="G194" t="str">
            <v>Tk</v>
          </cell>
          <cell r="H194">
            <v>7</v>
          </cell>
          <cell r="I194" t="str">
            <v>jam</v>
          </cell>
        </row>
        <row r="195">
          <cell r="A195">
            <v>6</v>
          </cell>
          <cell r="C195" t="str">
            <v>Kadar Semen Minimum (Spesifikasi)</v>
          </cell>
          <cell r="G195" t="str">
            <v>Ks</v>
          </cell>
          <cell r="H195">
            <v>350</v>
          </cell>
          <cell r="I195" t="str">
            <v>Kg/M3</v>
          </cell>
        </row>
        <row r="196">
          <cell r="A196">
            <v>7</v>
          </cell>
          <cell r="C196" t="str">
            <v>Ukuran Agregat Maksimum</v>
          </cell>
          <cell r="G196" t="str">
            <v>Ag</v>
          </cell>
          <cell r="H196">
            <v>19</v>
          </cell>
          <cell r="I196" t="str">
            <v>mm</v>
          </cell>
        </row>
        <row r="197">
          <cell r="A197">
            <v>8</v>
          </cell>
          <cell r="C197" t="str">
            <v>Perbandingan Air/Semen Maksimum (Spesifikasi)</v>
          </cell>
          <cell r="G197" t="str">
            <v>Wcr</v>
          </cell>
          <cell r="H197">
            <v>0.45</v>
          </cell>
          <cell r="I197" t="str">
            <v>-</v>
          </cell>
        </row>
        <row r="198">
          <cell r="A198">
            <v>9</v>
          </cell>
          <cell r="C198" t="str">
            <v>Perbandingan Camp.</v>
          </cell>
          <cell r="D198">
            <v>1</v>
          </cell>
          <cell r="E198" t="str">
            <v>:  Semen</v>
          </cell>
          <cell r="G198" t="str">
            <v>Sm</v>
          </cell>
          <cell r="H198">
            <v>20</v>
          </cell>
          <cell r="I198" t="str">
            <v>%</v>
          </cell>
          <cell r="J198" t="str">
            <v xml:space="preserve"> Berdasarkan</v>
          </cell>
        </row>
        <row r="199">
          <cell r="D199">
            <v>1.5</v>
          </cell>
          <cell r="E199" t="str">
            <v>:  Pasir</v>
          </cell>
          <cell r="G199" t="str">
            <v>Ps</v>
          </cell>
          <cell r="H199">
            <v>30</v>
          </cell>
          <cell r="I199" t="str">
            <v>%</v>
          </cell>
          <cell r="J199" t="str">
            <v xml:space="preserve"> JMF &amp; sesuai</v>
          </cell>
        </row>
        <row r="200">
          <cell r="D200">
            <v>2.5</v>
          </cell>
          <cell r="E200" t="str">
            <v>:  Agregat Kasar</v>
          </cell>
          <cell r="G200" t="str">
            <v>Kr</v>
          </cell>
          <cell r="H200">
            <v>50</v>
          </cell>
          <cell r="I200" t="str">
            <v>%</v>
          </cell>
          <cell r="J200" t="str">
            <v xml:space="preserve"> dgn Spesifikasi</v>
          </cell>
        </row>
        <row r="201">
          <cell r="A201">
            <v>10</v>
          </cell>
          <cell r="C201" t="str">
            <v>Berat Jenis Material :</v>
          </cell>
        </row>
        <row r="202">
          <cell r="C202" t="str">
            <v>-  Beton</v>
          </cell>
          <cell r="G202" t="str">
            <v>D1</v>
          </cell>
          <cell r="H202">
            <v>2.25</v>
          </cell>
          <cell r="I202" t="str">
            <v>T/M3</v>
          </cell>
        </row>
        <row r="203">
          <cell r="C203" t="str">
            <v>-  Semen</v>
          </cell>
          <cell r="G203" t="str">
            <v>D2</v>
          </cell>
          <cell r="H203">
            <v>1.44</v>
          </cell>
          <cell r="I203" t="str">
            <v>T/M3</v>
          </cell>
        </row>
        <row r="204">
          <cell r="C204" t="str">
            <v>-  Pasir</v>
          </cell>
          <cell r="G204" t="str">
            <v>D3</v>
          </cell>
          <cell r="H204">
            <v>1.67</v>
          </cell>
          <cell r="I204" t="str">
            <v>T/M3</v>
          </cell>
        </row>
        <row r="205">
          <cell r="C205" t="str">
            <v>-  Agregat Kasar</v>
          </cell>
          <cell r="G205" t="str">
            <v>D4</v>
          </cell>
          <cell r="H205">
            <v>1.8</v>
          </cell>
          <cell r="I205" t="str">
            <v>T/M3</v>
          </cell>
        </row>
        <row r="207">
          <cell r="A207" t="str">
            <v>II.</v>
          </cell>
          <cell r="C207" t="str">
            <v>URUTAN KERJA</v>
          </cell>
        </row>
        <row r="209">
          <cell r="A209">
            <v>1</v>
          </cell>
          <cell r="C209" t="str">
            <v>Semen, pasir, batu kerikil dan air dicampur dan diaduk</v>
          </cell>
        </row>
        <row r="211">
          <cell r="C211" t="str">
            <v>menjadi beton dengan menggunakan Concrete Mixer</v>
          </cell>
        </row>
        <row r="212">
          <cell r="A212">
            <v>2</v>
          </cell>
          <cell r="C212" t="str">
            <v>Beton di-cor ke dalam bekisting yang telah disiapkan</v>
          </cell>
        </row>
        <row r="213">
          <cell r="A213">
            <v>3</v>
          </cell>
          <cell r="C213" t="str">
            <v>Penyelesaian dan perapihan setelah pemasangan</v>
          </cell>
        </row>
        <row r="215">
          <cell r="A215" t="str">
            <v>III.</v>
          </cell>
          <cell r="C215" t="str">
            <v>PEMAKAIAN BAHAN, ALAT DAN TENAGA</v>
          </cell>
        </row>
        <row r="217">
          <cell r="A217" t="str">
            <v xml:space="preserve">   1.</v>
          </cell>
          <cell r="C217" t="str">
            <v>BAHAN</v>
          </cell>
        </row>
        <row r="218">
          <cell r="A218" t="str">
            <v>1.a.</v>
          </cell>
          <cell r="C218" t="str">
            <v>Semen (PC)          =</v>
          </cell>
          <cell r="D218" t="str">
            <v>{Sm x D1 x 1000} x 1.05</v>
          </cell>
          <cell r="G218" t="str">
            <v>(M12)</v>
          </cell>
          <cell r="H218">
            <v>472.5</v>
          </cell>
          <cell r="I218" t="str">
            <v>Kg</v>
          </cell>
        </row>
        <row r="219">
          <cell r="A219" t="str">
            <v>1.b.</v>
          </cell>
          <cell r="C219" t="str">
            <v>Pasir Beton           =</v>
          </cell>
          <cell r="D219" t="str">
            <v>{(Ps x D1) : D3} x 1.05</v>
          </cell>
          <cell r="G219" t="str">
            <v>(M01)</v>
          </cell>
          <cell r="H219">
            <v>0.42440119760479039</v>
          </cell>
          <cell r="I219" t="str">
            <v>M3</v>
          </cell>
          <cell r="J219">
            <v>708.74999999999989</v>
          </cell>
        </row>
        <row r="220">
          <cell r="A220" t="str">
            <v>1.c.</v>
          </cell>
          <cell r="C220" t="str">
            <v>Agregat  Kasar      =</v>
          </cell>
          <cell r="D220" t="str">
            <v>{(Kr x D1) : D4} x 1.1</v>
          </cell>
          <cell r="G220" t="str">
            <v>(M03)</v>
          </cell>
          <cell r="H220">
            <v>0.6875</v>
          </cell>
          <cell r="I220" t="str">
            <v>M3</v>
          </cell>
          <cell r="J220">
            <v>1237.5</v>
          </cell>
        </row>
        <row r="221">
          <cell r="A221" t="str">
            <v>1.d.</v>
          </cell>
          <cell r="C221" t="str">
            <v>Kayu Perancah dan/atau Bekisting</v>
          </cell>
          <cell r="G221" t="str">
            <v>(M19)</v>
          </cell>
          <cell r="H221">
            <v>0.15</v>
          </cell>
          <cell r="I221" t="str">
            <v>M3</v>
          </cell>
        </row>
        <row r="222">
          <cell r="A222" t="str">
            <v>1.e.</v>
          </cell>
          <cell r="C222" t="str">
            <v>Paku</v>
          </cell>
          <cell r="G222" t="str">
            <v>(M18)</v>
          </cell>
          <cell r="H222">
            <v>1.5</v>
          </cell>
          <cell r="I222" t="str">
            <v>Kg</v>
          </cell>
        </row>
        <row r="224">
          <cell r="A224" t="str">
            <v>2.</v>
          </cell>
          <cell r="C224" t="str">
            <v>ALAT</v>
          </cell>
        </row>
        <row r="225">
          <cell r="A225" t="str">
            <v>2.a.</v>
          </cell>
          <cell r="C225" t="str">
            <v>CONCRETE MIXER</v>
          </cell>
          <cell r="G225" t="str">
            <v>(E06)</v>
          </cell>
        </row>
        <row r="226">
          <cell r="C226" t="str">
            <v>Kapasitas Alat</v>
          </cell>
          <cell r="G226" t="str">
            <v>V</v>
          </cell>
          <cell r="H226">
            <v>500</v>
          </cell>
          <cell r="I226" t="str">
            <v>liter</v>
          </cell>
        </row>
        <row r="227">
          <cell r="C227" t="str">
            <v>Faktor Efisiensi Alat</v>
          </cell>
          <cell r="G227" t="str">
            <v>Fa</v>
          </cell>
          <cell r="H227">
            <v>0.8</v>
          </cell>
          <cell r="I227" t="str">
            <v>-</v>
          </cell>
        </row>
        <row r="228">
          <cell r="C228" t="str">
            <v>Waktu siklus   :</v>
          </cell>
          <cell r="D228" t="str">
            <v>(T1 + T2 + T3 + T4)</v>
          </cell>
          <cell r="G228" t="str">
            <v>Ts</v>
          </cell>
        </row>
        <row r="229">
          <cell r="C229" t="str">
            <v>-  Memuat</v>
          </cell>
          <cell r="G229" t="str">
            <v>T1</v>
          </cell>
          <cell r="H229">
            <v>3</v>
          </cell>
          <cell r="I229" t="str">
            <v>menit</v>
          </cell>
        </row>
        <row r="230">
          <cell r="C230" t="str">
            <v>-  Mengaduk</v>
          </cell>
          <cell r="G230" t="str">
            <v>T2</v>
          </cell>
          <cell r="H230">
            <v>2</v>
          </cell>
          <cell r="I230" t="str">
            <v>menit</v>
          </cell>
        </row>
        <row r="231">
          <cell r="C231" t="str">
            <v>-  Menuang</v>
          </cell>
          <cell r="G231" t="str">
            <v>T3</v>
          </cell>
          <cell r="H231">
            <v>3</v>
          </cell>
          <cell r="I231" t="str">
            <v>menit</v>
          </cell>
        </row>
        <row r="232">
          <cell r="C232" t="str">
            <v>-  Tunggu, dll.</v>
          </cell>
          <cell r="G232" t="str">
            <v>T4</v>
          </cell>
          <cell r="H232">
            <v>2</v>
          </cell>
          <cell r="I232" t="str">
            <v>menit</v>
          </cell>
        </row>
        <row r="233">
          <cell r="G233" t="str">
            <v>Ts</v>
          </cell>
          <cell r="H233">
            <v>10</v>
          </cell>
          <cell r="I233" t="str">
            <v>menit</v>
          </cell>
        </row>
        <row r="235">
          <cell r="C235" t="str">
            <v>Kap. Prod. / jam  =</v>
          </cell>
          <cell r="D235" t="str">
            <v>V x Fa x 60</v>
          </cell>
          <cell r="G235" t="str">
            <v>Q1</v>
          </cell>
          <cell r="H235">
            <v>2.4</v>
          </cell>
          <cell r="I235" t="str">
            <v>M3/jam</v>
          </cell>
        </row>
        <row r="236">
          <cell r="D236" t="str">
            <v>1000 x Ts</v>
          </cell>
        </row>
        <row r="238">
          <cell r="C238" t="str">
            <v>Koefisien Alat / M3</v>
          </cell>
          <cell r="D238" t="str">
            <v xml:space="preserve">  =   1  :  Q1</v>
          </cell>
          <cell r="G238" t="str">
            <v>(E06)</v>
          </cell>
          <cell r="H238">
            <v>0.41666666666666669</v>
          </cell>
          <cell r="I238" t="str">
            <v>jam</v>
          </cell>
        </row>
        <row r="242">
          <cell r="J242" t="str">
            <v>Berlanjut ke hal. berikut.</v>
          </cell>
        </row>
        <row r="250">
          <cell r="A250" t="str">
            <v>ITEM PEMBAYARAN NO.</v>
          </cell>
          <cell r="D250" t="str">
            <v>:  7.1 (3)</v>
          </cell>
          <cell r="J250" t="str">
            <v>Analisa EI-713</v>
          </cell>
        </row>
        <row r="251">
          <cell r="A251" t="str">
            <v>JENIS PEKERJAAN</v>
          </cell>
          <cell r="D251" t="str">
            <v>:  Beton K-300</v>
          </cell>
        </row>
        <row r="252">
          <cell r="A252" t="str">
            <v>SATUAN PEMBAYARAN</v>
          </cell>
          <cell r="D252" t="str">
            <v>:  M3</v>
          </cell>
          <cell r="H252" t="str">
            <v xml:space="preserve">        URAIAN ANALISA HARGA SATUAN</v>
          </cell>
        </row>
        <row r="253">
          <cell r="J253" t="str">
            <v>Lanjutan</v>
          </cell>
        </row>
        <row r="255">
          <cell r="A255" t="str">
            <v>No.</v>
          </cell>
          <cell r="C255" t="str">
            <v>U R A I A N</v>
          </cell>
          <cell r="G255" t="str">
            <v>KODE</v>
          </cell>
          <cell r="H255" t="str">
            <v>KOEF.</v>
          </cell>
          <cell r="I255" t="str">
            <v>SATUAN</v>
          </cell>
          <cell r="J255" t="str">
            <v>KETERANGAN</v>
          </cell>
        </row>
        <row r="258">
          <cell r="A258" t="str">
            <v>2.b.</v>
          </cell>
          <cell r="C258" t="str">
            <v>WATER TANK TRUCK</v>
          </cell>
          <cell r="G258" t="str">
            <v>(E23)</v>
          </cell>
        </row>
        <row r="259">
          <cell r="C259" t="str">
            <v>Volume Tanki Air</v>
          </cell>
          <cell r="G259" t="str">
            <v>V</v>
          </cell>
          <cell r="H259">
            <v>4</v>
          </cell>
          <cell r="I259" t="str">
            <v>M3</v>
          </cell>
        </row>
        <row r="260">
          <cell r="C260" t="str">
            <v>Kebutuhan air / M3 beton</v>
          </cell>
          <cell r="G260" t="str">
            <v>Wc</v>
          </cell>
          <cell r="H260">
            <v>0.21262500000000001</v>
          </cell>
          <cell r="I260" t="str">
            <v>M3</v>
          </cell>
        </row>
        <row r="261">
          <cell r="C261" t="str">
            <v>Faktor Efiesiensi Alat</v>
          </cell>
          <cell r="G261" t="str">
            <v>Fa</v>
          </cell>
          <cell r="H261">
            <v>0.8</v>
          </cell>
          <cell r="I261" t="str">
            <v>-</v>
          </cell>
        </row>
        <row r="262">
          <cell r="C262" t="str">
            <v>Pengisian Tanki / jam</v>
          </cell>
          <cell r="G262" t="str">
            <v>n</v>
          </cell>
          <cell r="H262">
            <v>1</v>
          </cell>
          <cell r="I262" t="str">
            <v>kali</v>
          </cell>
        </row>
        <row r="264">
          <cell r="C264" t="str">
            <v>Kap. Prod. / jam  =</v>
          </cell>
          <cell r="D264" t="str">
            <v>V x Fa x n</v>
          </cell>
          <cell r="G264" t="str">
            <v>Q2</v>
          </cell>
          <cell r="H264">
            <v>15.049970605526161</v>
          </cell>
          <cell r="I264" t="str">
            <v>M3</v>
          </cell>
        </row>
        <row r="265">
          <cell r="D265" t="str">
            <v>Wc</v>
          </cell>
        </row>
        <row r="267">
          <cell r="C267" t="str">
            <v>Koefisien Alat / M3</v>
          </cell>
          <cell r="D267" t="str">
            <v xml:space="preserve">  =   1  :  Q2</v>
          </cell>
          <cell r="G267" t="str">
            <v>(E23)</v>
          </cell>
          <cell r="H267">
            <v>6.6445312500000006E-2</v>
          </cell>
          <cell r="I267" t="str">
            <v>jam</v>
          </cell>
        </row>
        <row r="269">
          <cell r="A269" t="str">
            <v>2.c.</v>
          </cell>
          <cell r="C269" t="str">
            <v>CONCRETE VIBRATOR</v>
          </cell>
          <cell r="G269" t="str">
            <v>(E20)</v>
          </cell>
        </row>
        <row r="270">
          <cell r="C270" t="str">
            <v>Kebutuhan Alat Penggetar Beton ini disesuaikan dgn</v>
          </cell>
        </row>
        <row r="271">
          <cell r="C271" t="str">
            <v>kapasitas produksi Alat Pencampur (Concrete Mixer)</v>
          </cell>
        </row>
        <row r="273">
          <cell r="C273" t="str">
            <v>Kap. Prod. / jam  =</v>
          </cell>
          <cell r="D273" t="str">
            <v>Kap. Prod./jam Concrete Mixer</v>
          </cell>
          <cell r="G273" t="str">
            <v>Q3</v>
          </cell>
          <cell r="H273">
            <v>2.4</v>
          </cell>
          <cell r="I273" t="str">
            <v>M3</v>
          </cell>
        </row>
        <row r="275">
          <cell r="C275" t="str">
            <v>Koefisien Alat / M3</v>
          </cell>
          <cell r="D275" t="str">
            <v xml:space="preserve">  =   1  :  Q3</v>
          </cell>
          <cell r="G275" t="str">
            <v>(E20)</v>
          </cell>
          <cell r="H275">
            <v>0.41666666666666669</v>
          </cell>
          <cell r="I275" t="str">
            <v>jam</v>
          </cell>
        </row>
        <row r="277">
          <cell r="A277" t="str">
            <v>2.d.</v>
          </cell>
          <cell r="C277" t="str">
            <v>CONCRETTE PUMP</v>
          </cell>
          <cell r="G277" t="str">
            <v>(E28)</v>
          </cell>
        </row>
        <row r="278">
          <cell r="C278" t="str">
            <v>Kapasitas Alat</v>
          </cell>
          <cell r="G278" t="str">
            <v>V</v>
          </cell>
          <cell r="H278">
            <v>8</v>
          </cell>
          <cell r="I278" t="str">
            <v>M3</v>
          </cell>
        </row>
        <row r="279">
          <cell r="C279" t="str">
            <v>Faktor Efisiensi Alat</v>
          </cell>
          <cell r="G279" t="str">
            <v>Fa</v>
          </cell>
          <cell r="H279">
            <v>0.8</v>
          </cell>
          <cell r="I279" t="str">
            <v>-</v>
          </cell>
        </row>
        <row r="281">
          <cell r="C281" t="str">
            <v>Kap. Prod. / jam  =</v>
          </cell>
          <cell r="D281" t="str">
            <v>Kap. Prod./jam Concrete Mixer</v>
          </cell>
          <cell r="G281" t="str">
            <v>Q2</v>
          </cell>
          <cell r="H281">
            <v>2.4</v>
          </cell>
          <cell r="I281" t="str">
            <v>M3</v>
          </cell>
        </row>
        <row r="283">
          <cell r="C283" t="str">
            <v>Koefisien Alat / M3</v>
          </cell>
          <cell r="D283" t="str">
            <v xml:space="preserve">  =   1  :  Q3</v>
          </cell>
          <cell r="G283" t="str">
            <v>(E28)</v>
          </cell>
          <cell r="H283">
            <v>0.41666666666666669</v>
          </cell>
          <cell r="I283" t="str">
            <v>jam</v>
          </cell>
        </row>
        <row r="285">
          <cell r="A285" t="str">
            <v>2.e.</v>
          </cell>
          <cell r="C285" t="str">
            <v>ALAT BANTU</v>
          </cell>
        </row>
        <row r="286">
          <cell r="C286" t="str">
            <v>Diperlukan  :</v>
          </cell>
        </row>
        <row r="287">
          <cell r="C287" t="str">
            <v>- Sekop</v>
          </cell>
          <cell r="D287" t="str">
            <v>=  2  buah</v>
          </cell>
        </row>
        <row r="288">
          <cell r="C288" t="str">
            <v>- Pacul</v>
          </cell>
          <cell r="D288" t="str">
            <v>=  2  buah</v>
          </cell>
        </row>
        <row r="289">
          <cell r="C289" t="str">
            <v>- Sendok Semen</v>
          </cell>
          <cell r="D289" t="str">
            <v>=  3  buah</v>
          </cell>
        </row>
        <row r="290">
          <cell r="C290" t="str">
            <v>- Ember Cor</v>
          </cell>
          <cell r="D290" t="str">
            <v>=  8  buah</v>
          </cell>
        </row>
        <row r="292">
          <cell r="A292" t="str">
            <v>3.</v>
          </cell>
          <cell r="C292" t="str">
            <v>TENAGA</v>
          </cell>
        </row>
        <row r="293">
          <cell r="C293" t="str">
            <v>Produksi Beton dalam 1 hari</v>
          </cell>
          <cell r="E293" t="str">
            <v>=  Tk x Q1</v>
          </cell>
          <cell r="G293" t="str">
            <v>Qt</v>
          </cell>
          <cell r="H293">
            <v>16.8</v>
          </cell>
          <cell r="I293" t="str">
            <v>M3</v>
          </cell>
          <cell r="J293">
            <v>2.4</v>
          </cell>
        </row>
        <row r="295">
          <cell r="C295" t="str">
            <v>Kebutuhan tenaga :</v>
          </cell>
          <cell r="D295" t="str">
            <v>- Mandor</v>
          </cell>
          <cell r="G295" t="str">
            <v>M</v>
          </cell>
          <cell r="H295">
            <v>1</v>
          </cell>
          <cell r="I295" t="str">
            <v>orang</v>
          </cell>
        </row>
        <row r="296">
          <cell r="D296" t="str">
            <v>- Tukang</v>
          </cell>
          <cell r="G296" t="str">
            <v>Tb</v>
          </cell>
          <cell r="H296">
            <v>4</v>
          </cell>
          <cell r="I296" t="str">
            <v>orang</v>
          </cell>
          <cell r="J296">
            <v>2095531</v>
          </cell>
        </row>
        <row r="297">
          <cell r="D297" t="str">
            <v>- Pekerja</v>
          </cell>
          <cell r="G297" t="str">
            <v>P</v>
          </cell>
          <cell r="H297">
            <v>13</v>
          </cell>
          <cell r="I297" t="str">
            <v>orang</v>
          </cell>
        </row>
        <row r="299">
          <cell r="C299" t="str">
            <v>Koefisien Tenaga / M3   :</v>
          </cell>
        </row>
        <row r="300">
          <cell r="D300" t="str">
            <v>-  Mandor</v>
          </cell>
          <cell r="E300" t="str">
            <v>= (Tk x M) : Qt</v>
          </cell>
          <cell r="G300" t="str">
            <v>(L03)</v>
          </cell>
          <cell r="H300">
            <v>0.41666666666666663</v>
          </cell>
          <cell r="I300" t="str">
            <v>jam</v>
          </cell>
        </row>
        <row r="301">
          <cell r="D301" t="str">
            <v>-  Tukang</v>
          </cell>
          <cell r="E301" t="str">
            <v>= (Tk x Tb) : Qt</v>
          </cell>
          <cell r="G301" t="str">
            <v>(L02)</v>
          </cell>
          <cell r="H301">
            <v>1.6666666666666665</v>
          </cell>
          <cell r="I301" t="str">
            <v>jam</v>
          </cell>
        </row>
        <row r="302">
          <cell r="D302" t="str">
            <v>-  Pekerja</v>
          </cell>
          <cell r="E302" t="str">
            <v>= (Tk x P) : Qt</v>
          </cell>
          <cell r="G302" t="str">
            <v>(L01)</v>
          </cell>
          <cell r="H302">
            <v>5.4166666666666661</v>
          </cell>
          <cell r="I302" t="str">
            <v>jam</v>
          </cell>
        </row>
        <row r="305">
          <cell r="A305" t="str">
            <v>4.</v>
          </cell>
          <cell r="C305" t="str">
            <v>HARGA DASAR SATUAN UPAH, BAHAN DAN ALAT</v>
          </cell>
        </row>
        <row r="306">
          <cell r="C306" t="str">
            <v>Lihat lampiran.</v>
          </cell>
        </row>
        <row r="308">
          <cell r="J308" t="str">
            <v>Berlanjut ke hal. berikut.</v>
          </cell>
        </row>
        <row r="319">
          <cell r="A319" t="str">
            <v>ITEM PEMBAYARAN NO.</v>
          </cell>
          <cell r="D319" t="str">
            <v>:  7.1 (3)</v>
          </cell>
          <cell r="J319" t="str">
            <v>Analisa EI-713</v>
          </cell>
        </row>
        <row r="320">
          <cell r="A320" t="str">
            <v>JENIS PEKERJAAN</v>
          </cell>
          <cell r="D320" t="str">
            <v>:  Beton K-300</v>
          </cell>
        </row>
        <row r="321">
          <cell r="A321" t="str">
            <v>SATUAN PEMBAYARAN</v>
          </cell>
          <cell r="D321" t="str">
            <v>:  M3</v>
          </cell>
          <cell r="H321" t="str">
            <v xml:space="preserve">        URAIAN ANALISA HARGA SATUAN</v>
          </cell>
        </row>
        <row r="322">
          <cell r="J322" t="str">
            <v>Lanjutan</v>
          </cell>
        </row>
        <row r="324">
          <cell r="A324" t="str">
            <v>No.</v>
          </cell>
          <cell r="C324" t="str">
            <v>U R A I A N</v>
          </cell>
          <cell r="G324" t="str">
            <v>KODE</v>
          </cell>
          <cell r="H324" t="str">
            <v>KOEF.</v>
          </cell>
          <cell r="I324" t="str">
            <v>SATUAN</v>
          </cell>
          <cell r="J324" t="str">
            <v>KETERANGAN</v>
          </cell>
        </row>
        <row r="327">
          <cell r="A327" t="str">
            <v>5.</v>
          </cell>
          <cell r="C327" t="str">
            <v>ANALISA HARGA SATUAN PEKERJAAN</v>
          </cell>
        </row>
        <row r="328">
          <cell r="C328" t="str">
            <v>Lihat perhitungan dalam FORMULIR STANDAR UNTUK</v>
          </cell>
        </row>
        <row r="329">
          <cell r="C329" t="str">
            <v>PEREKEMAN ANALISA MASING-MASING HARGA</v>
          </cell>
        </row>
        <row r="330">
          <cell r="C330" t="str">
            <v>SATUAN.</v>
          </cell>
        </row>
        <row r="331">
          <cell r="C331" t="str">
            <v>Didapat Harga Satuan Pekerjaan :</v>
          </cell>
        </row>
        <row r="333">
          <cell r="C333" t="str">
            <v xml:space="preserve">Rp.  </v>
          </cell>
          <cell r="D333" t="e">
            <v>#REF!</v>
          </cell>
          <cell r="E333" t="str">
            <v xml:space="preserve"> / M3</v>
          </cell>
        </row>
        <row r="336">
          <cell r="A336" t="str">
            <v>6.</v>
          </cell>
          <cell r="C336" t="str">
            <v>MASA PELAKSANAAN YANG DIPERLUKAN</v>
          </cell>
        </row>
        <row r="337">
          <cell r="C337" t="str">
            <v>Masa Pelaksanaan :</v>
          </cell>
          <cell r="D337" t="e">
            <v>#REF!</v>
          </cell>
          <cell r="E337" t="str">
            <v>bulan</v>
          </cell>
        </row>
        <row r="339">
          <cell r="A339" t="str">
            <v>7.</v>
          </cell>
          <cell r="C339" t="str">
            <v>VOLUME PEKERJAAN YANG DIPERLUKAN</v>
          </cell>
        </row>
        <row r="340">
          <cell r="C340" t="str">
            <v>Volume pekerjaan  :</v>
          </cell>
          <cell r="D340" t="e">
            <v>#REF!</v>
          </cell>
          <cell r="E340" t="str">
            <v>M3</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B"/>
      <sheetName val="TIME Schedulle"/>
      <sheetName val="Sheet1"/>
      <sheetName val="ANALISA 1"/>
      <sheetName val="Analisa copy"/>
      <sheetName val="SAT.DAS"/>
      <sheetName val=" Bt.Tlg.&amp;peranch"/>
      <sheetName val="Bt.Tg.NonPerancah"/>
    </sheetNames>
    <sheetDataSet>
      <sheetData sheetId="0"/>
      <sheetData sheetId="1"/>
      <sheetData sheetId="2" refreshError="1"/>
      <sheetData sheetId="3" refreshError="1"/>
      <sheetData sheetId="4">
        <row r="44">
          <cell r="H44">
            <v>120000</v>
          </cell>
        </row>
      </sheetData>
      <sheetData sheetId="5" refreshError="1"/>
      <sheetData sheetId="6" refreshError="1"/>
      <sheetData sheetId="7"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OK"/>
      <sheetName val="BD siap"/>
      <sheetName val="Progres"/>
    </sheetNames>
    <sheetDataSet>
      <sheetData sheetId="0"/>
      <sheetData sheetId="1"/>
      <sheetData sheetId="2"/>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BOW"/>
      <sheetName val="h.satuan"/>
      <sheetName val="GEN-T36"/>
    </sheetNames>
    <sheetDataSet>
      <sheetData sheetId="0" refreshError="1"/>
      <sheetData sheetId="1" refreshError="1">
        <row r="14">
          <cell r="C14" t="str">
            <v xml:space="preserve">Tukang </v>
          </cell>
        </row>
        <row r="15">
          <cell r="C15" t="str">
            <v>Tukang kayu</v>
          </cell>
        </row>
        <row r="16">
          <cell r="C16" t="str">
            <v>Tukang batu</v>
          </cell>
        </row>
        <row r="17">
          <cell r="C17" t="str">
            <v>Tukang cat</v>
          </cell>
        </row>
        <row r="18">
          <cell r="C18" t="str">
            <v>Tukang besi</v>
          </cell>
        </row>
        <row r="19">
          <cell r="C19" t="str">
            <v>Kepala Tukang</v>
          </cell>
        </row>
        <row r="20">
          <cell r="C20" t="str">
            <v>Pekerja</v>
          </cell>
        </row>
        <row r="21">
          <cell r="C21" t="str">
            <v>Mandor</v>
          </cell>
        </row>
        <row r="22">
          <cell r="C22" t="str">
            <v>Penjaga api</v>
          </cell>
        </row>
        <row r="23">
          <cell r="C23" t="str">
            <v>Masinis</v>
          </cell>
        </row>
      </sheetData>
      <sheetData sheetId="2"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KAP (2)"/>
      <sheetName val="RAB PENDIDIKAN"/>
      <sheetName val="Adm"/>
      <sheetName val="Persi"/>
      <sheetName val="3 RKB + KANTOR"/>
      <sheetName val="KM-WC"/>
      <sheetName val="Furnit"/>
      <sheetName val="ANALISA H.SAT"/>
      <sheetName val="INPUT HARGA"/>
      <sheetName val="REKAP FISIK"/>
      <sheetName val="REKAP"/>
      <sheetName val="Pompa"/>
      <sheetName val="Kuitansi"/>
      <sheetName val="Pintu Gerbang"/>
      <sheetName val="2 RKB + KANTOR "/>
      <sheetName val="KM-WC (2)"/>
      <sheetName val="RAB PROPOSAL"/>
    </sheetNames>
    <sheetDataSet>
      <sheetData sheetId="0"/>
      <sheetData sheetId="1"/>
      <sheetData sheetId="2"/>
      <sheetData sheetId="3"/>
      <sheetData sheetId="4"/>
      <sheetData sheetId="5"/>
      <sheetData sheetId="6"/>
      <sheetData sheetId="7"/>
      <sheetData sheetId="8">
        <row r="19">
          <cell r="F19">
            <v>45000</v>
          </cell>
        </row>
      </sheetData>
      <sheetData sheetId="9"/>
      <sheetData sheetId="10"/>
      <sheetData sheetId="11"/>
      <sheetData sheetId="12"/>
      <sheetData sheetId="13"/>
      <sheetData sheetId="14"/>
      <sheetData sheetId="15"/>
      <sheetData sheetId="16"/>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K"/>
      <sheetName val="rekap"/>
      <sheetName val="ren.bupati a"/>
      <sheetName val="rek-bup"/>
      <sheetName val="ren.hubbup"/>
      <sheetName val="rek-hub"/>
      <sheetName val="temu"/>
      <sheetName val="rek-temu"/>
      <sheetName val="1-8"/>
      <sheetName val="rek1-8"/>
      <sheetName val="ANAL"/>
      <sheetName val="SAT"/>
      <sheetName val="pond"/>
      <sheetName val="rek-pond"/>
      <sheetName val="landscp"/>
      <sheetName val="rek-landscp"/>
      <sheetName val="Sheet1"/>
    </sheetNames>
    <sheetDataSet>
      <sheetData sheetId="0">
        <row r="12">
          <cell r="B12" t="str">
            <v>Surabaya, 20 Juli 2001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SEN"/>
      <sheetName val="Rekap ALL+ME  "/>
      <sheetName val="SCHEDUL"/>
      <sheetName val="F. Polyclinic"/>
      <sheetName val="rekap ME MB 15M"/>
      <sheetName val="ubal RAP"/>
      <sheetName val="BE-02"/>
      <sheetName val="MU"/>
      <sheetName val="RAB MEK 15 M MB "/>
      <sheetName val="RAB EL 15m MB"/>
      <sheetName val="REKAP_SUP"/>
      <sheetName val="ARS SUP"/>
      <sheetName val="REKAP_WARDS"/>
      <sheetName val="analisa"/>
      <sheetName val="ARS-WARDS"/>
      <sheetName val="rekap ME WARDS  15M "/>
      <sheetName val="RAB MEK WARDS"/>
      <sheetName val="RAB EL WARDS"/>
      <sheetName val="rekap ME"/>
      <sheetName val="an GIP medium"/>
      <sheetName val="PVC PRALON AW"/>
      <sheetName val="BS SCH 40"/>
      <sheetName val="MEKANIKAL MB (3)"/>
      <sheetName val="MEKANIKAL MB (2)"/>
      <sheetName val="MEKANIKAL MB"/>
      <sheetName val="RAB EL all MB Rofiq"/>
      <sheetName val="ELEKTRIKAL MB"/>
      <sheetName val="REK_ME_SUP"/>
      <sheetName val="MEK SUP"/>
      <sheetName val="REK_ME_SUP (2)"/>
      <sheetName val="MEK SUP all rofiq"/>
      <sheetName val="ELEK SUP"/>
      <sheetName val="upahbahan"/>
      <sheetName val="mau panitia"/>
      <sheetName val="RAB Arsitektural"/>
      <sheetName val="An.Kus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23">
          <cell r="H23" t="str">
            <v>Hari</v>
          </cell>
        </row>
      </sheetData>
      <sheetData sheetId="33"/>
      <sheetData sheetId="34"/>
      <sheetData sheetId="35"/>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rga Bahan Per Satuan"/>
      <sheetName val="Analisa Pekerjaan"/>
      <sheetName val="VOL 03A"/>
      <sheetName val="VOL 03"/>
      <sheetName val="RAB PENING"/>
      <sheetName val="KODE  ANALISA KOTA TTE"/>
      <sheetName val="Harga Bahan Per Satuan (2)"/>
      <sheetName val="tender"/>
      <sheetName val="HARGA  SATUAN 2004"/>
      <sheetName val="KODE ANALISA"/>
      <sheetName val="RAB"/>
      <sheetName val="REKAPITULASI"/>
      <sheetName val="FORM-AJ"/>
      <sheetName val="WAKTU"/>
      <sheetName val="KULIT"/>
      <sheetName val="Sheet2"/>
      <sheetName val="DATABA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antitas"/>
      <sheetName val="terbilang "/>
      <sheetName val="MOS"/>
      <sheetName val="Informasi"/>
      <sheetName val="Rekap"/>
      <sheetName val="DKH"/>
      <sheetName val="Analisa  Tehnis"/>
      <sheetName val="DPU"/>
      <sheetName val="Upah+Bahan"/>
      <sheetName val="H.Alat"/>
      <sheetName val="A.Alat"/>
      <sheetName val="Analisa Quarry"/>
      <sheetName val="AGREGAT"/>
      <sheetName val="Div.1"/>
      <sheetName val="A.Div 2"/>
      <sheetName val="R.Div 2 "/>
      <sheetName val="A.Div3"/>
      <sheetName val="R.Div3 "/>
      <sheetName val="A.Div5"/>
      <sheetName val="R.Div5"/>
      <sheetName val="A.Div 6"/>
      <sheetName val="R.Div 6"/>
      <sheetName val="R.Div7"/>
      <sheetName val="A.Div7"/>
      <sheetName val="A.Div 4"/>
      <sheetName val="R.Div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k DKH"/>
      <sheetName val="DKH "/>
      <sheetName val="Sch Pek"/>
      <sheetName val="Sch Prnl"/>
      <sheetName val="Sch Bahan"/>
      <sheetName val="DIV 1"/>
      <sheetName val="HSD"/>
      <sheetName val="gal sel"/>
      <sheetName val="gorong2"/>
      <sheetName val="gal tnh"/>
      <sheetName val="timb pil"/>
      <sheetName val="peny bd jln"/>
      <sheetName val="DIV 5 6"/>
      <sheetName val="Beton K250"/>
      <sheetName val="Bj U24"/>
      <sheetName val="pas bt"/>
      <sheetName val="Plaster"/>
      <sheetName val="Siar"/>
      <sheetName val="RkAp Alat"/>
      <sheetName val="AMP"/>
      <sheetName val="As Fin"/>
      <sheetName val="As Spray"/>
      <sheetName val="Comp"/>
      <sheetName val="Conc Mix"/>
      <sheetName val="DT"/>
      <sheetName val="Exca"/>
      <sheetName val="Gen Set"/>
      <sheetName val="M Grader"/>
      <sheetName val="W Loader"/>
      <sheetName val="Tandem R"/>
      <sheetName val="TR"/>
      <sheetName val="VBro"/>
      <sheetName val="Con Vb"/>
      <sheetName val="W Tank"/>
      <sheetName val="Tampe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
          <cell r="B1" t="str">
            <v>ITEM PEMBAYARAN NO.</v>
          </cell>
          <cell r="E1" t="str">
            <v>:  4.2 (1)</v>
          </cell>
          <cell r="K1" t="str">
            <v>Analisa EI-421</v>
          </cell>
        </row>
        <row r="2">
          <cell r="B2" t="str">
            <v>JENIS PEKERJAAN</v>
          </cell>
          <cell r="E2" t="str">
            <v>:  Lps. Pond. Ag. Kls. A, CBR Min 80%</v>
          </cell>
        </row>
        <row r="3">
          <cell r="B3" t="str">
            <v>SATUAN PEMBAYARAN</v>
          </cell>
          <cell r="E3" t="str">
            <v>:  M3</v>
          </cell>
          <cell r="I3" t="str">
            <v xml:space="preserve">         URAIAN ANALISA HARGA SATUAN</v>
          </cell>
        </row>
        <row r="6">
          <cell r="B6" t="str">
            <v>No.</v>
          </cell>
          <cell r="D6" t="str">
            <v>U R A I A N</v>
          </cell>
          <cell r="H6" t="str">
            <v>KODE</v>
          </cell>
          <cell r="I6" t="str">
            <v>KOEF.</v>
          </cell>
          <cell r="J6" t="str">
            <v>SATUAN</v>
          </cell>
          <cell r="K6" t="str">
            <v>KETERANGAN</v>
          </cell>
        </row>
        <row r="9">
          <cell r="B9" t="str">
            <v>I.</v>
          </cell>
          <cell r="D9" t="str">
            <v>ASUMSI</v>
          </cell>
        </row>
        <row r="10">
          <cell r="B10">
            <v>1</v>
          </cell>
          <cell r="D10" t="str">
            <v>Menggunakan alat berat (cara mekanik)</v>
          </cell>
        </row>
        <row r="11">
          <cell r="B11">
            <v>2</v>
          </cell>
          <cell r="D11" t="str">
            <v>Lokasi pekerjaan : sepanjang jalan</v>
          </cell>
        </row>
        <row r="12">
          <cell r="B12">
            <v>3</v>
          </cell>
          <cell r="D12" t="str">
            <v>Kondisi existing jalan : rendah</v>
          </cell>
        </row>
        <row r="13">
          <cell r="B13">
            <v>4</v>
          </cell>
          <cell r="D13" t="str">
            <v>Jarak rata-rata Base Camp ke lokasi pekerjaan</v>
          </cell>
          <cell r="H13" t="str">
            <v>L</v>
          </cell>
          <cell r="I13">
            <v>10</v>
          </cell>
          <cell r="J13" t="str">
            <v>KM</v>
          </cell>
        </row>
        <row r="14">
          <cell r="B14">
            <v>5</v>
          </cell>
          <cell r="D14" t="str">
            <v>Tebal lapis agregat padat</v>
          </cell>
          <cell r="H14" t="str">
            <v>t</v>
          </cell>
          <cell r="I14">
            <v>0.15</v>
          </cell>
          <cell r="J14" t="str">
            <v>M</v>
          </cell>
        </row>
        <row r="15">
          <cell r="B15">
            <v>6</v>
          </cell>
          <cell r="D15" t="str">
            <v>Faktor kembang material (Padat-Lepas)</v>
          </cell>
          <cell r="H15" t="str">
            <v>Fk</v>
          </cell>
          <cell r="I15">
            <v>1.2</v>
          </cell>
          <cell r="J15" t="str">
            <v>-</v>
          </cell>
        </row>
        <row r="16">
          <cell r="B16">
            <v>7</v>
          </cell>
          <cell r="D16" t="str">
            <v>Jam kerja efektif per-hari</v>
          </cell>
          <cell r="H16" t="str">
            <v>Tk</v>
          </cell>
          <cell r="I16">
            <v>7</v>
          </cell>
          <cell r="J16" t="str">
            <v>jam</v>
          </cell>
        </row>
        <row r="17">
          <cell r="B17">
            <v>8</v>
          </cell>
          <cell r="D17" t="str">
            <v>Proporsi Campuran :</v>
          </cell>
          <cell r="E17" t="str">
            <v>- Agregat Kasar</v>
          </cell>
          <cell r="H17" t="str">
            <v>Ak</v>
          </cell>
          <cell r="I17">
            <v>64</v>
          </cell>
          <cell r="J17" t="str">
            <v>%</v>
          </cell>
          <cell r="K17" t="str">
            <v xml:space="preserve"> Gradasi harus</v>
          </cell>
        </row>
        <row r="18">
          <cell r="E18" t="str">
            <v>- Agregat Halus</v>
          </cell>
          <cell r="H18" t="str">
            <v>Ah</v>
          </cell>
          <cell r="I18">
            <v>36</v>
          </cell>
          <cell r="J18" t="str">
            <v>%</v>
          </cell>
          <cell r="K18" t="str">
            <v xml:space="preserve"> memenuhi Spec.</v>
          </cell>
        </row>
        <row r="20">
          <cell r="B20" t="str">
            <v>II.</v>
          </cell>
          <cell r="D20" t="str">
            <v>URUTAN KERJA</v>
          </cell>
        </row>
        <row r="21">
          <cell r="B21">
            <v>1</v>
          </cell>
          <cell r="D21" t="str">
            <v>Wheel Loader mencampur dan memuat Agregat ke</v>
          </cell>
        </row>
        <row r="22">
          <cell r="D22" t="str">
            <v>dalam Dump Truck di Base Camp</v>
          </cell>
        </row>
        <row r="23">
          <cell r="B23">
            <v>2</v>
          </cell>
          <cell r="D23" t="str">
            <v>Dump Truck mengangkut Agregat ke lokasi</v>
          </cell>
        </row>
        <row r="24">
          <cell r="D24" t="str">
            <v>pekerjaan dan dihampar dengan Motor Grader</v>
          </cell>
        </row>
        <row r="25">
          <cell r="B25">
            <v>3</v>
          </cell>
          <cell r="D25" t="str">
            <v>Hamparan Agregat dibasahi dengan Water Tank</v>
          </cell>
        </row>
        <row r="26">
          <cell r="D26" t="str">
            <v>Truck sebelum dipadatkan dengan Tandem</v>
          </cell>
        </row>
        <row r="27">
          <cell r="D27" t="str">
            <v>Roller dan Pneumatic Tire Roller</v>
          </cell>
        </row>
        <row r="28">
          <cell r="B28">
            <v>4</v>
          </cell>
          <cell r="D28" t="str">
            <v>Selama pemadatan, sekelompok pekerja akan</v>
          </cell>
        </row>
        <row r="29">
          <cell r="D29" t="str">
            <v>merapikan tepi hamparan dan level permukaan</v>
          </cell>
        </row>
        <row r="30">
          <cell r="D30" t="str">
            <v>dengan menggunakan Alat Bantu</v>
          </cell>
        </row>
        <row r="32">
          <cell r="B32" t="str">
            <v>III.</v>
          </cell>
          <cell r="D32" t="str">
            <v>PEMAKAIAN BAHAN, ALAT DAN TENAGA</v>
          </cell>
        </row>
        <row r="34">
          <cell r="B34" t="str">
            <v xml:space="preserve">   1.</v>
          </cell>
          <cell r="D34" t="str">
            <v>BAHAN</v>
          </cell>
        </row>
        <row r="35">
          <cell r="D35" t="str">
            <v>- Agregat Kasar</v>
          </cell>
          <cell r="E35" t="str">
            <v>=  Ak x 1 M3 x Fk</v>
          </cell>
          <cell r="H35" t="str">
            <v>M03</v>
          </cell>
          <cell r="I35">
            <v>0.76800000000000002</v>
          </cell>
          <cell r="J35" t="str">
            <v>M3</v>
          </cell>
        </row>
        <row r="36">
          <cell r="D36" t="str">
            <v>- Agregat Halus</v>
          </cell>
          <cell r="E36" t="str">
            <v>=  Ah x 1 M3 x Fk</v>
          </cell>
          <cell r="H36" t="str">
            <v>M04</v>
          </cell>
          <cell r="I36">
            <v>0.432</v>
          </cell>
          <cell r="J36" t="str">
            <v>M3</v>
          </cell>
        </row>
        <row r="38">
          <cell r="B38" t="str">
            <v xml:space="preserve">   2.</v>
          </cell>
          <cell r="D38" t="str">
            <v>ALAT</v>
          </cell>
        </row>
        <row r="39">
          <cell r="B39" t="str">
            <v xml:space="preserve">   2.a.</v>
          </cell>
          <cell r="D39" t="str">
            <v>Wheel Loader</v>
          </cell>
          <cell r="H39" t="str">
            <v>(E15)</v>
          </cell>
        </row>
        <row r="40">
          <cell r="D40" t="str">
            <v>Kapasitas bucket</v>
          </cell>
          <cell r="H40" t="str">
            <v>V</v>
          </cell>
          <cell r="I40">
            <v>1.5</v>
          </cell>
          <cell r="J40" t="str">
            <v>M3</v>
          </cell>
        </row>
        <row r="41">
          <cell r="D41" t="str">
            <v>Faktor bucket</v>
          </cell>
          <cell r="H41" t="str">
            <v>Fb</v>
          </cell>
          <cell r="I41">
            <v>0.8</v>
          </cell>
          <cell r="J41" t="str">
            <v>-</v>
          </cell>
        </row>
        <row r="42">
          <cell r="D42" t="str">
            <v>Faktor Efisiensi alat</v>
          </cell>
          <cell r="H42" t="str">
            <v>Fa</v>
          </cell>
          <cell r="I42">
            <v>0.75</v>
          </cell>
          <cell r="J42" t="str">
            <v>-</v>
          </cell>
        </row>
        <row r="43">
          <cell r="D43" t="str">
            <v>Waktu Siklus :</v>
          </cell>
          <cell r="H43" t="str">
            <v>Ts1</v>
          </cell>
        </row>
        <row r="44">
          <cell r="D44" t="str">
            <v>- Mencampur</v>
          </cell>
          <cell r="H44" t="str">
            <v>T1</v>
          </cell>
          <cell r="I44">
            <v>2.5</v>
          </cell>
          <cell r="J44" t="str">
            <v>menit</v>
          </cell>
        </row>
        <row r="45">
          <cell r="D45" t="str">
            <v>- Memuat dan lain-lain</v>
          </cell>
          <cell r="H45" t="str">
            <v>T2</v>
          </cell>
          <cell r="I45">
            <v>1</v>
          </cell>
          <cell r="J45" t="str">
            <v>menit</v>
          </cell>
        </row>
        <row r="46">
          <cell r="H46" t="str">
            <v>Ts1</v>
          </cell>
          <cell r="I46">
            <v>3.5</v>
          </cell>
          <cell r="J46" t="str">
            <v>menit</v>
          </cell>
        </row>
        <row r="48">
          <cell r="D48" t="str">
            <v>Kap. Prod. / jam =</v>
          </cell>
          <cell r="E48" t="str">
            <v>V x Fb x Fa x 60</v>
          </cell>
          <cell r="H48" t="str">
            <v>Q1</v>
          </cell>
          <cell r="I48">
            <v>12.857142857142858</v>
          </cell>
          <cell r="J48" t="str">
            <v>M3</v>
          </cell>
        </row>
        <row r="49">
          <cell r="E49" t="str">
            <v>Fk x Ts1</v>
          </cell>
        </row>
        <row r="50">
          <cell r="D50" t="str">
            <v>Koefisien Alat / M3</v>
          </cell>
          <cell r="E50" t="str">
            <v xml:space="preserve"> =  1  :  Q1</v>
          </cell>
          <cell r="H50" t="str">
            <v>(E15)</v>
          </cell>
          <cell r="I50">
            <v>7.7777777777777779E-2</v>
          </cell>
          <cell r="J50" t="str">
            <v>jam</v>
          </cell>
        </row>
        <row r="52">
          <cell r="B52" t="str">
            <v xml:space="preserve">   2.b.</v>
          </cell>
          <cell r="D52" t="str">
            <v>Dump Truck</v>
          </cell>
          <cell r="H52" t="str">
            <v>(E09)</v>
          </cell>
        </row>
        <row r="53">
          <cell r="D53" t="str">
            <v>Kapasitas bak</v>
          </cell>
          <cell r="H53" t="str">
            <v>V</v>
          </cell>
          <cell r="I53">
            <v>2.5</v>
          </cell>
          <cell r="J53" t="str">
            <v>M3</v>
          </cell>
        </row>
        <row r="54">
          <cell r="D54" t="str">
            <v>Faktor Efisiensi alat</v>
          </cell>
          <cell r="H54" t="str">
            <v>Fa</v>
          </cell>
          <cell r="I54">
            <v>0.75</v>
          </cell>
          <cell r="J54" t="str">
            <v>-</v>
          </cell>
        </row>
        <row r="55">
          <cell r="D55" t="str">
            <v>Kecepatan rata-rata bermuatan</v>
          </cell>
          <cell r="H55" t="str">
            <v>v1</v>
          </cell>
          <cell r="I55">
            <v>20</v>
          </cell>
          <cell r="J55" t="str">
            <v>KM/jam</v>
          </cell>
        </row>
        <row r="56">
          <cell r="D56" t="str">
            <v>Kecepatan rata-rata kosong</v>
          </cell>
          <cell r="H56" t="str">
            <v>v2</v>
          </cell>
          <cell r="I56">
            <v>30</v>
          </cell>
          <cell r="J56" t="str">
            <v>KM/jam</v>
          </cell>
        </row>
        <row r="57">
          <cell r="D57" t="str">
            <v>Waktu Siklus  :  - Waktu memuat = V : Q1 x 60</v>
          </cell>
          <cell r="H57" t="str">
            <v>T1</v>
          </cell>
          <cell r="I57">
            <v>11.666666666666666</v>
          </cell>
          <cell r="J57" t="str">
            <v>menit</v>
          </cell>
        </row>
        <row r="58">
          <cell r="D58" t="str">
            <v>- Waktu tempuh isi  =  (L : v1) x 60 menit</v>
          </cell>
          <cell r="H58" t="str">
            <v>T2</v>
          </cell>
          <cell r="I58">
            <v>30</v>
          </cell>
          <cell r="J58" t="str">
            <v>menit</v>
          </cell>
        </row>
        <row r="59">
          <cell r="D59" t="str">
            <v>- Waktu tempuh kosong  =  (L : v2) x 60 menit</v>
          </cell>
          <cell r="H59" t="str">
            <v>T3</v>
          </cell>
          <cell r="I59">
            <v>20</v>
          </cell>
          <cell r="J59" t="str">
            <v>menit</v>
          </cell>
        </row>
        <row r="60">
          <cell r="D60" t="str">
            <v>- Dump dan lain-lain</v>
          </cell>
          <cell r="H60" t="str">
            <v>T4</v>
          </cell>
          <cell r="I60">
            <v>3</v>
          </cell>
          <cell r="J60" t="str">
            <v>menit</v>
          </cell>
        </row>
        <row r="61">
          <cell r="H61" t="str">
            <v>Ts2</v>
          </cell>
          <cell r="I61">
            <v>64.666666666666657</v>
          </cell>
          <cell r="J61" t="str">
            <v>menit</v>
          </cell>
        </row>
        <row r="63">
          <cell r="K63" t="str">
            <v>Berlanjut ke hal. berikut</v>
          </cell>
        </row>
        <row r="64">
          <cell r="B64" t="str">
            <v>ITEM PEMBAYARAN NO.</v>
          </cell>
          <cell r="E64" t="str">
            <v>:  4.2 (1)</v>
          </cell>
          <cell r="K64" t="str">
            <v>Analisa EI-421</v>
          </cell>
        </row>
        <row r="65">
          <cell r="B65" t="str">
            <v>JENIS PEKERJAAN</v>
          </cell>
          <cell r="E65" t="str">
            <v>:  Lps. Pond. Ag. Kls. A, CBR Min 80%</v>
          </cell>
        </row>
        <row r="66">
          <cell r="B66" t="str">
            <v>SATUAN PEMBAYARAN</v>
          </cell>
          <cell r="E66" t="str">
            <v>:  M3</v>
          </cell>
          <cell r="I66" t="str">
            <v xml:space="preserve">         URAIAN ANALISA HARGA SATUAN</v>
          </cell>
        </row>
        <row r="67">
          <cell r="K67" t="str">
            <v>Lanjutan</v>
          </cell>
        </row>
        <row r="69">
          <cell r="B69" t="str">
            <v>No.</v>
          </cell>
          <cell r="D69" t="str">
            <v>U R A I A N</v>
          </cell>
          <cell r="H69" t="str">
            <v>KODE</v>
          </cell>
          <cell r="I69" t="str">
            <v>KOEF.</v>
          </cell>
          <cell r="J69" t="str">
            <v>SATUAN</v>
          </cell>
          <cell r="K69" t="str">
            <v>KETERANGAN</v>
          </cell>
        </row>
        <row r="72">
          <cell r="D72" t="str">
            <v>Kap. Prod. / jam =</v>
          </cell>
          <cell r="E72" t="str">
            <v>V x Fa x 60</v>
          </cell>
          <cell r="H72" t="str">
            <v>Q2</v>
          </cell>
          <cell r="I72">
            <v>1.4497422680412375</v>
          </cell>
          <cell r="J72" t="str">
            <v>M3</v>
          </cell>
        </row>
        <row r="73">
          <cell r="E73" t="str">
            <v>Fk x Ts2</v>
          </cell>
        </row>
        <row r="74">
          <cell r="D74" t="str">
            <v>Koefisien Alat / M3</v>
          </cell>
          <cell r="E74" t="str">
            <v xml:space="preserve"> =  1  :  Q2</v>
          </cell>
          <cell r="H74" t="str">
            <v>(E09)</v>
          </cell>
          <cell r="I74">
            <v>0.6897777777777776</v>
          </cell>
          <cell r="J74" t="str">
            <v>jam</v>
          </cell>
        </row>
        <row r="76">
          <cell r="B76" t="str">
            <v xml:space="preserve">   2.c.</v>
          </cell>
          <cell r="D76" t="str">
            <v>Motor Grader</v>
          </cell>
          <cell r="H76" t="str">
            <v>(E13)</v>
          </cell>
        </row>
        <row r="77">
          <cell r="D77" t="str">
            <v>Panjang hamparan</v>
          </cell>
          <cell r="H77" t="str">
            <v>Lh</v>
          </cell>
          <cell r="I77">
            <v>40</v>
          </cell>
          <cell r="J77" t="str">
            <v>M</v>
          </cell>
        </row>
        <row r="78">
          <cell r="D78" t="str">
            <v>Lebar efektif kerja blade</v>
          </cell>
          <cell r="H78" t="str">
            <v>b</v>
          </cell>
          <cell r="I78">
            <v>2.2000000000000002</v>
          </cell>
          <cell r="J78" t="str">
            <v>M</v>
          </cell>
        </row>
        <row r="79">
          <cell r="D79" t="str">
            <v>Faktor Efisiensi alat</v>
          </cell>
          <cell r="H79" t="str">
            <v>Fa</v>
          </cell>
          <cell r="I79">
            <v>0.75</v>
          </cell>
          <cell r="J79" t="str">
            <v>-</v>
          </cell>
        </row>
        <row r="80">
          <cell r="D80" t="str">
            <v>Kecepatan rata-rata alat</v>
          </cell>
          <cell r="H80" t="str">
            <v>v</v>
          </cell>
          <cell r="I80">
            <v>4</v>
          </cell>
          <cell r="J80" t="str">
            <v>KM/jam</v>
          </cell>
        </row>
        <row r="81">
          <cell r="D81" t="str">
            <v>Jumlah lintasan</v>
          </cell>
          <cell r="H81" t="str">
            <v>n</v>
          </cell>
          <cell r="I81">
            <v>6</v>
          </cell>
          <cell r="J81" t="str">
            <v>lintasan</v>
          </cell>
          <cell r="K81" t="str">
            <v xml:space="preserve"> 3 x pp</v>
          </cell>
        </row>
        <row r="82">
          <cell r="D82" t="str">
            <v>Waktu Siklus :</v>
          </cell>
          <cell r="H82" t="str">
            <v>Ts3</v>
          </cell>
        </row>
        <row r="83">
          <cell r="D83" t="str">
            <v>- Perataan 1 lintasan  =  Lh : (v x 1000) x 60</v>
          </cell>
          <cell r="H83" t="str">
            <v>T1</v>
          </cell>
          <cell r="I83">
            <v>0.6</v>
          </cell>
          <cell r="J83" t="str">
            <v>menit</v>
          </cell>
        </row>
        <row r="84">
          <cell r="D84" t="str">
            <v>- Lain-lain</v>
          </cell>
          <cell r="H84" t="str">
            <v>T2</v>
          </cell>
          <cell r="I84">
            <v>1</v>
          </cell>
          <cell r="J84" t="str">
            <v>menit</v>
          </cell>
        </row>
        <row r="85">
          <cell r="H85" t="str">
            <v>Ts3</v>
          </cell>
          <cell r="I85">
            <v>1.6</v>
          </cell>
          <cell r="J85" t="str">
            <v>menit</v>
          </cell>
        </row>
        <row r="87">
          <cell r="D87" t="str">
            <v>Kap. Prod. / jam =</v>
          </cell>
          <cell r="E87" t="str">
            <v>Lh x b x t x Fa x 60</v>
          </cell>
          <cell r="H87" t="str">
            <v>Q3</v>
          </cell>
          <cell r="I87">
            <v>61.874999999999979</v>
          </cell>
          <cell r="J87" t="str">
            <v>M3</v>
          </cell>
        </row>
        <row r="88">
          <cell r="E88" t="str">
            <v>n x Ts3</v>
          </cell>
        </row>
        <row r="89">
          <cell r="D89" t="str">
            <v>Koefisien Alat / M3</v>
          </cell>
          <cell r="E89" t="str">
            <v xml:space="preserve"> =  1  :  Q3</v>
          </cell>
          <cell r="H89" t="str">
            <v>(E13)</v>
          </cell>
          <cell r="I89">
            <v>1.6161616161616169E-2</v>
          </cell>
          <cell r="J89" t="str">
            <v>jam</v>
          </cell>
        </row>
        <row r="91">
          <cell r="B91" t="str">
            <v xml:space="preserve">   2.d.</v>
          </cell>
          <cell r="D91" t="str">
            <v>Vibratory Roller</v>
          </cell>
          <cell r="H91" t="str">
            <v>(E19)</v>
          </cell>
        </row>
        <row r="92">
          <cell r="D92" t="str">
            <v>Kecepatan rata-rata alat</v>
          </cell>
          <cell r="H92" t="str">
            <v>v</v>
          </cell>
          <cell r="I92">
            <v>3</v>
          </cell>
          <cell r="J92" t="str">
            <v>KM/jam</v>
          </cell>
        </row>
        <row r="93">
          <cell r="D93" t="str">
            <v>Lebar efektif pemadatan</v>
          </cell>
          <cell r="H93" t="str">
            <v>b</v>
          </cell>
          <cell r="I93">
            <v>1.2</v>
          </cell>
          <cell r="J93" t="str">
            <v>M</v>
          </cell>
        </row>
        <row r="94">
          <cell r="D94" t="str">
            <v>Jumlah lintasan</v>
          </cell>
          <cell r="H94" t="str">
            <v>n</v>
          </cell>
          <cell r="I94">
            <v>8</v>
          </cell>
          <cell r="J94" t="str">
            <v>lintasan</v>
          </cell>
        </row>
        <row r="95">
          <cell r="D95" t="str">
            <v>Faktor Efisiensi alat</v>
          </cell>
          <cell r="H95" t="str">
            <v>Fa</v>
          </cell>
          <cell r="I95">
            <v>0.75</v>
          </cell>
          <cell r="J95" t="str">
            <v>-</v>
          </cell>
        </row>
        <row r="97">
          <cell r="D97" t="str">
            <v>Kap. Prod. / jam =</v>
          </cell>
          <cell r="E97" t="str">
            <v>(v x 1000) x b x t x Fa</v>
          </cell>
          <cell r="H97" t="str">
            <v>Q4</v>
          </cell>
          <cell r="I97">
            <v>50.625</v>
          </cell>
          <cell r="J97" t="str">
            <v>M3</v>
          </cell>
        </row>
        <row r="98">
          <cell r="E98" t="str">
            <v>n</v>
          </cell>
        </row>
        <row r="99">
          <cell r="D99" t="str">
            <v>Koefisien Alat / M3</v>
          </cell>
          <cell r="E99" t="str">
            <v xml:space="preserve"> =  1  :  Q4</v>
          </cell>
          <cell r="H99" t="str">
            <v>(E19)</v>
          </cell>
          <cell r="I99">
            <v>1.9753086419753086E-2</v>
          </cell>
          <cell r="J99" t="str">
            <v>jam</v>
          </cell>
        </row>
        <row r="101">
          <cell r="B101" t="str">
            <v xml:space="preserve">   2.e.</v>
          </cell>
          <cell r="D101" t="str">
            <v>Pneumatic Tire Roller</v>
          </cell>
          <cell r="H101" t="str">
            <v>(E18)</v>
          </cell>
        </row>
        <row r="102">
          <cell r="D102" t="str">
            <v>Kecepatan rata-rata alat</v>
          </cell>
          <cell r="H102" t="str">
            <v>v</v>
          </cell>
          <cell r="I102">
            <v>5</v>
          </cell>
          <cell r="J102" t="str">
            <v>KM/jam</v>
          </cell>
        </row>
        <row r="103">
          <cell r="D103" t="str">
            <v>Lebar efektif pemadatan</v>
          </cell>
          <cell r="H103" t="str">
            <v>b</v>
          </cell>
          <cell r="I103">
            <v>1.5</v>
          </cell>
          <cell r="J103" t="str">
            <v>M</v>
          </cell>
        </row>
        <row r="104">
          <cell r="D104" t="str">
            <v>Jumlah lintasan</v>
          </cell>
          <cell r="H104" t="str">
            <v>n</v>
          </cell>
          <cell r="I104">
            <v>4</v>
          </cell>
          <cell r="J104" t="str">
            <v>lintasan</v>
          </cell>
        </row>
        <row r="105">
          <cell r="D105" t="str">
            <v>Faktor Efisiensi alat</v>
          </cell>
          <cell r="H105" t="str">
            <v>Fa</v>
          </cell>
          <cell r="I105">
            <v>0.75</v>
          </cell>
          <cell r="J105" t="str">
            <v>-</v>
          </cell>
        </row>
        <row r="107">
          <cell r="D107" t="str">
            <v>Kap. Prod. / jam =</v>
          </cell>
          <cell r="E107" t="str">
            <v>(v x 1000) x b x t x Fa</v>
          </cell>
          <cell r="H107" t="str">
            <v>Q5</v>
          </cell>
          <cell r="I107">
            <v>210.9375</v>
          </cell>
          <cell r="J107" t="str">
            <v>M3</v>
          </cell>
        </row>
        <row r="108">
          <cell r="E108" t="str">
            <v>n</v>
          </cell>
        </row>
        <row r="109">
          <cell r="D109" t="str">
            <v>Koefisien Alat / M3</v>
          </cell>
          <cell r="E109" t="str">
            <v xml:space="preserve"> =  1  :  Q5</v>
          </cell>
          <cell r="H109" t="str">
            <v>(E18)</v>
          </cell>
          <cell r="I109">
            <v>4.7407407407407407E-3</v>
          </cell>
          <cell r="J109" t="str">
            <v>jam</v>
          </cell>
        </row>
        <row r="111">
          <cell r="B111" t="str">
            <v xml:space="preserve">   2.f.</v>
          </cell>
          <cell r="D111" t="str">
            <v>Water Tank Truck</v>
          </cell>
          <cell r="H111" t="str">
            <v>(E23)</v>
          </cell>
        </row>
        <row r="112">
          <cell r="D112" t="str">
            <v>Volume tanki air</v>
          </cell>
          <cell r="H112" t="str">
            <v>V</v>
          </cell>
          <cell r="I112">
            <v>4</v>
          </cell>
          <cell r="J112" t="str">
            <v>M3</v>
          </cell>
        </row>
        <row r="113">
          <cell r="D113" t="str">
            <v>Kebutuhan air / M3 agregat padat</v>
          </cell>
          <cell r="H113" t="str">
            <v>Wc</v>
          </cell>
          <cell r="I113">
            <v>7.0000000000000007E-2</v>
          </cell>
          <cell r="J113" t="str">
            <v>M3</v>
          </cell>
        </row>
        <row r="114">
          <cell r="D114" t="str">
            <v>Pengisian tanki / jam</v>
          </cell>
          <cell r="H114" t="str">
            <v>n</v>
          </cell>
          <cell r="I114">
            <v>1</v>
          </cell>
          <cell r="J114" t="str">
            <v>kali</v>
          </cell>
        </row>
        <row r="115">
          <cell r="D115" t="str">
            <v>Faktor Efisiensi alat</v>
          </cell>
          <cell r="H115" t="str">
            <v>Fa</v>
          </cell>
          <cell r="I115">
            <v>0.75</v>
          </cell>
          <cell r="J115" t="str">
            <v>-</v>
          </cell>
        </row>
        <row r="117">
          <cell r="D117" t="str">
            <v>Kap. Prod. / jam =</v>
          </cell>
          <cell r="E117" t="str">
            <v>V x n x Fa</v>
          </cell>
          <cell r="H117" t="str">
            <v>Q6</v>
          </cell>
          <cell r="I117">
            <v>42.857142857142854</v>
          </cell>
          <cell r="J117" t="str">
            <v>M3</v>
          </cell>
        </row>
        <row r="118">
          <cell r="E118" t="str">
            <v>Wc</v>
          </cell>
        </row>
        <row r="119">
          <cell r="D119" t="str">
            <v>Koefisien Alat / M3</v>
          </cell>
          <cell r="E119" t="str">
            <v xml:space="preserve"> =  1  :  Q6</v>
          </cell>
          <cell r="H119" t="str">
            <v>(E23)</v>
          </cell>
          <cell r="I119">
            <v>2.3333333333333334E-2</v>
          </cell>
          <cell r="J119" t="str">
            <v>jam</v>
          </cell>
        </row>
        <row r="122">
          <cell r="K122" t="str">
            <v>Berlanjut ke hal. berikut</v>
          </cell>
        </row>
        <row r="123">
          <cell r="B123" t="str">
            <v>ITEM PEMBAYARAN NO.</v>
          </cell>
          <cell r="E123" t="str">
            <v>:  4.2 (1)</v>
          </cell>
          <cell r="K123" t="str">
            <v>Analisa EI-421</v>
          </cell>
        </row>
        <row r="124">
          <cell r="B124" t="str">
            <v>JENIS PEKERJAAN</v>
          </cell>
          <cell r="E124" t="str">
            <v>:  Lps. Pond. Ag. Kls. A, CBR Min 80%</v>
          </cell>
        </row>
        <row r="125">
          <cell r="B125" t="str">
            <v>SATUAN PEMBAYARAN</v>
          </cell>
          <cell r="E125" t="str">
            <v>:  M3</v>
          </cell>
          <cell r="I125" t="str">
            <v xml:space="preserve">         URAIAN ANALISA HARGA SATUAN</v>
          </cell>
        </row>
        <row r="126">
          <cell r="K126" t="str">
            <v>Lanjutan</v>
          </cell>
        </row>
        <row r="128">
          <cell r="B128" t="str">
            <v>No.</v>
          </cell>
          <cell r="D128" t="str">
            <v>U R A I A N</v>
          </cell>
          <cell r="H128" t="str">
            <v>KODE</v>
          </cell>
          <cell r="I128" t="str">
            <v>KOEF.</v>
          </cell>
          <cell r="J128" t="str">
            <v>SATUAN</v>
          </cell>
          <cell r="K128" t="str">
            <v>KETERANGAN</v>
          </cell>
        </row>
        <row r="131">
          <cell r="B131" t="str">
            <v xml:space="preserve">   2.g.</v>
          </cell>
          <cell r="D131" t="str">
            <v>Alat Bantu</v>
          </cell>
          <cell r="K131" t="str">
            <v xml:space="preserve"> Lump Sum</v>
          </cell>
        </row>
        <row r="132">
          <cell r="D132" t="str">
            <v>Diperlukan   :</v>
          </cell>
        </row>
        <row r="133">
          <cell r="D133" t="str">
            <v>- Kereta dorong</v>
          </cell>
          <cell r="E133" t="str">
            <v>=  2  buah.</v>
          </cell>
        </row>
        <row r="134">
          <cell r="D134" t="str">
            <v>- Sekop</v>
          </cell>
          <cell r="E134" t="str">
            <v>=  3  buah.</v>
          </cell>
        </row>
        <row r="135">
          <cell r="D135" t="str">
            <v>- Garpu</v>
          </cell>
          <cell r="E135" t="str">
            <v>=  2  buah.</v>
          </cell>
        </row>
        <row r="137">
          <cell r="B137" t="str">
            <v xml:space="preserve">   3.</v>
          </cell>
          <cell r="D137" t="str">
            <v>TENAGA</v>
          </cell>
        </row>
        <row r="138">
          <cell r="D138" t="str">
            <v>Produksi menentukan : WHEEL LOADER</v>
          </cell>
          <cell r="H138" t="str">
            <v>Q1</v>
          </cell>
          <cell r="I138">
            <v>12.857142857142858</v>
          </cell>
          <cell r="J138" t="str">
            <v>M3/jam</v>
          </cell>
        </row>
        <row r="139">
          <cell r="D139" t="str">
            <v>Produksi agregat / hari  =  Tk x Q1</v>
          </cell>
          <cell r="H139" t="str">
            <v>Qt</v>
          </cell>
          <cell r="I139">
            <v>90</v>
          </cell>
          <cell r="J139" t="str">
            <v>M3</v>
          </cell>
        </row>
        <row r="140">
          <cell r="D140" t="str">
            <v>Kebutuhan tenaga :</v>
          </cell>
        </row>
        <row r="141">
          <cell r="E141" t="str">
            <v>- Pekerja</v>
          </cell>
          <cell r="H141" t="str">
            <v>P</v>
          </cell>
          <cell r="I141">
            <v>7</v>
          </cell>
          <cell r="J141" t="str">
            <v>orang</v>
          </cell>
        </row>
        <row r="142">
          <cell r="E142" t="str">
            <v>- Mandor</v>
          </cell>
          <cell r="H142" t="str">
            <v>M</v>
          </cell>
          <cell r="I142">
            <v>1</v>
          </cell>
          <cell r="J142" t="str">
            <v>orang</v>
          </cell>
        </row>
        <row r="144">
          <cell r="D144" t="str">
            <v>Koefisien tenaga / M3   :</v>
          </cell>
        </row>
        <row r="145">
          <cell r="E145" t="str">
            <v>- Pekerja</v>
          </cell>
          <cell r="F145" t="str">
            <v>= (Tk x P) : Qt</v>
          </cell>
          <cell r="H145" t="str">
            <v>(L01)</v>
          </cell>
          <cell r="I145">
            <v>0.5444444444444444</v>
          </cell>
          <cell r="J145" t="str">
            <v>jam</v>
          </cell>
        </row>
        <row r="146">
          <cell r="E146" t="str">
            <v>- Mandor</v>
          </cell>
          <cell r="F146" t="str">
            <v>= (Tk x M) : Qt</v>
          </cell>
          <cell r="H146" t="str">
            <v>(L03)</v>
          </cell>
          <cell r="I146">
            <v>7.7777777777777779E-2</v>
          </cell>
          <cell r="J146" t="str">
            <v>jam</v>
          </cell>
        </row>
        <row r="148">
          <cell r="B148" t="str">
            <v>4.</v>
          </cell>
          <cell r="D148" t="str">
            <v>HARGA DASAR SATUAN UPAH, BAHAN DAN ALAT</v>
          </cell>
        </row>
        <row r="149">
          <cell r="D149" t="str">
            <v>Lihat lampiran.</v>
          </cell>
        </row>
        <row r="151">
          <cell r="B151" t="str">
            <v>5.</v>
          </cell>
          <cell r="D151" t="str">
            <v>ANALISA HARGA SATUAN PEKERJAAN</v>
          </cell>
        </row>
        <row r="152">
          <cell r="D152" t="str">
            <v>Lihat perhitungan dalam FORMULIR STANDAR UNTUK</v>
          </cell>
        </row>
        <row r="153">
          <cell r="D153" t="str">
            <v>PEREKAMAN ANALISA MASING-MASING HARGA</v>
          </cell>
        </row>
        <row r="154">
          <cell r="D154" t="str">
            <v>SATUAN.</v>
          </cell>
        </row>
        <row r="155">
          <cell r="D155" t="str">
            <v>Didapat Harga Satuan Pekerjaan :</v>
          </cell>
        </row>
        <row r="157">
          <cell r="D157" t="str">
            <v xml:space="preserve">Rp.  </v>
          </cell>
          <cell r="E157">
            <v>757619.78464622481</v>
          </cell>
          <cell r="F157" t="str">
            <v xml:space="preserve"> / M3.</v>
          </cell>
        </row>
        <row r="160">
          <cell r="B160" t="str">
            <v>6.</v>
          </cell>
          <cell r="D160" t="str">
            <v>WAKTU PELAKSANAAN YANG DIPERLUKAN</v>
          </cell>
        </row>
        <row r="161">
          <cell r="D161" t="str">
            <v>Masa Pelaksanaan :</v>
          </cell>
          <cell r="E161" t="str">
            <v>. . . . . . . . . . . .</v>
          </cell>
          <cell r="F161" t="str">
            <v>bulan</v>
          </cell>
        </row>
        <row r="163">
          <cell r="B163" t="str">
            <v>7.</v>
          </cell>
          <cell r="D163" t="str">
            <v>VOLUME PEKERJAAN YANG DIPERLUKAN</v>
          </cell>
        </row>
        <row r="164">
          <cell r="D164" t="str">
            <v>Volume pekerjaan  :</v>
          </cell>
          <cell r="E164" t="str">
            <v>. . . . . . . . . . . .</v>
          </cell>
          <cell r="F164" t="str">
            <v>M3</v>
          </cell>
        </row>
        <row r="182">
          <cell r="B182" t="str">
            <v>ITEM PEMBAYARAN NO.</v>
          </cell>
          <cell r="E182" t="str">
            <v>:  4.2 (2)</v>
          </cell>
          <cell r="K182" t="str">
            <v>Analisa EI-422</v>
          </cell>
        </row>
        <row r="183">
          <cell r="B183" t="str">
            <v>JENIS PEKERJAAN</v>
          </cell>
          <cell r="E183" t="str">
            <v>:  Lps. Pond. Ag. Kls. B, CBR Min 35%</v>
          </cell>
        </row>
        <row r="184">
          <cell r="B184" t="str">
            <v>SATUAN PEMBAYARAN</v>
          </cell>
          <cell r="E184" t="str">
            <v>:  M3</v>
          </cell>
          <cell r="I184" t="str">
            <v xml:space="preserve">         URAIAN ANALISA HARGA SATUAN</v>
          </cell>
        </row>
        <row r="187">
          <cell r="B187" t="str">
            <v>No.</v>
          </cell>
          <cell r="D187" t="str">
            <v>U R A I A N</v>
          </cell>
          <cell r="H187" t="str">
            <v>KODE</v>
          </cell>
          <cell r="I187" t="str">
            <v>KOEF.</v>
          </cell>
          <cell r="J187" t="str">
            <v>SATUAN</v>
          </cell>
          <cell r="K187" t="str">
            <v>KETERANGAN</v>
          </cell>
        </row>
        <row r="190">
          <cell r="B190" t="str">
            <v>I.</v>
          </cell>
          <cell r="D190" t="str">
            <v>ASUMSI</v>
          </cell>
        </row>
        <row r="191">
          <cell r="B191">
            <v>1</v>
          </cell>
          <cell r="D191" t="str">
            <v>Menggunakan alat berat (cara mekanik)</v>
          </cell>
        </row>
        <row r="192">
          <cell r="B192">
            <v>2</v>
          </cell>
          <cell r="D192" t="str">
            <v>Lokasi pekerjaan : sepanjang jalan</v>
          </cell>
        </row>
        <row r="193">
          <cell r="B193">
            <v>3</v>
          </cell>
          <cell r="D193" t="str">
            <v>Kondisi existing jalan : rendah</v>
          </cell>
        </row>
        <row r="194">
          <cell r="B194">
            <v>4</v>
          </cell>
          <cell r="D194" t="str">
            <v>Jarak rata-rata Base Camp ke lokasi pekerjaan</v>
          </cell>
          <cell r="H194" t="str">
            <v>L</v>
          </cell>
          <cell r="I194">
            <v>10</v>
          </cell>
          <cell r="J194" t="str">
            <v>KM</v>
          </cell>
        </row>
        <row r="195">
          <cell r="B195">
            <v>5</v>
          </cell>
          <cell r="D195" t="str">
            <v>Tebal lapis agregat padat</v>
          </cell>
          <cell r="H195" t="str">
            <v>t</v>
          </cell>
          <cell r="I195">
            <v>0.15</v>
          </cell>
          <cell r="J195" t="str">
            <v>M</v>
          </cell>
        </row>
        <row r="196">
          <cell r="B196">
            <v>6</v>
          </cell>
          <cell r="D196" t="str">
            <v>Faktor kembang material (Padat-Lepas)</v>
          </cell>
          <cell r="H196" t="str">
            <v>Fk</v>
          </cell>
          <cell r="I196">
            <v>1.2</v>
          </cell>
          <cell r="J196" t="str">
            <v>-</v>
          </cell>
        </row>
        <row r="197">
          <cell r="B197">
            <v>7</v>
          </cell>
          <cell r="D197" t="str">
            <v>Jam kerja efektif per-hari</v>
          </cell>
          <cell r="H197" t="str">
            <v>Tk</v>
          </cell>
          <cell r="I197">
            <v>7</v>
          </cell>
          <cell r="J197" t="str">
            <v>jam</v>
          </cell>
        </row>
        <row r="198">
          <cell r="B198">
            <v>8</v>
          </cell>
          <cell r="D198" t="str">
            <v>Proporsi Campuran :</v>
          </cell>
          <cell r="E198" t="str">
            <v>- Agregat Kasar</v>
          </cell>
          <cell r="H198" t="str">
            <v>Ak</v>
          </cell>
          <cell r="I198">
            <v>59</v>
          </cell>
          <cell r="J198" t="str">
            <v>%</v>
          </cell>
          <cell r="K198" t="str">
            <v xml:space="preserve"> Gradasi harus</v>
          </cell>
        </row>
        <row r="199">
          <cell r="E199" t="str">
            <v>- Agregat Halus</v>
          </cell>
          <cell r="H199" t="str">
            <v>Ah</v>
          </cell>
          <cell r="I199">
            <v>41</v>
          </cell>
          <cell r="J199" t="str">
            <v>%</v>
          </cell>
          <cell r="K199" t="str">
            <v xml:space="preserve"> memenuhi</v>
          </cell>
        </row>
        <row r="200">
          <cell r="K200" t="str">
            <v xml:space="preserve"> Spesifikasi</v>
          </cell>
        </row>
        <row r="202">
          <cell r="B202" t="str">
            <v>II.</v>
          </cell>
          <cell r="D202" t="str">
            <v>URUTAN KERJA</v>
          </cell>
        </row>
        <row r="203">
          <cell r="B203">
            <v>1</v>
          </cell>
          <cell r="D203" t="str">
            <v>Wheel Loader mencampur dan memuat Agregat ke</v>
          </cell>
        </row>
        <row r="204">
          <cell r="D204" t="str">
            <v>dalam Dump Truck di Base Camp</v>
          </cell>
        </row>
        <row r="205">
          <cell r="B205">
            <v>2</v>
          </cell>
          <cell r="D205" t="str">
            <v>Dump Truck mengangkut Agregat ke lokasi</v>
          </cell>
        </row>
        <row r="206">
          <cell r="D206" t="str">
            <v>pekerjaan dan dihampar dengan Motor Grader</v>
          </cell>
        </row>
        <row r="207">
          <cell r="B207">
            <v>3</v>
          </cell>
          <cell r="D207" t="str">
            <v>Hamparan Agregat dibasahi dengan Water Tank</v>
          </cell>
        </row>
        <row r="208">
          <cell r="D208" t="str">
            <v>Truck sebelum dipadatkan dengan Tandem</v>
          </cell>
        </row>
        <row r="209">
          <cell r="D209" t="str">
            <v>Roller dan Pneumatic Tire Roller</v>
          </cell>
        </row>
        <row r="210">
          <cell r="B210">
            <v>4</v>
          </cell>
          <cell r="D210" t="str">
            <v>Selama pemadatan, sekelompok pekerja akan</v>
          </cell>
        </row>
        <row r="211">
          <cell r="D211" t="str">
            <v>merapikan tepi hamparan dan level permukaan</v>
          </cell>
        </row>
        <row r="212">
          <cell r="D212" t="str">
            <v>dengan menggunakan Alat Bantu</v>
          </cell>
        </row>
        <row r="214">
          <cell r="B214" t="str">
            <v>III.</v>
          </cell>
          <cell r="D214" t="str">
            <v>PEMAKAIAN BAHAN, ALAT DAN TENAGA</v>
          </cell>
        </row>
        <row r="215">
          <cell r="B215" t="str">
            <v xml:space="preserve">   1.</v>
          </cell>
          <cell r="D215" t="str">
            <v>BAHAN</v>
          </cell>
        </row>
        <row r="216">
          <cell r="D216" t="str">
            <v>- Agregat Kasar</v>
          </cell>
          <cell r="E216" t="str">
            <v>=  Ak x 1 M3 x Fk</v>
          </cell>
          <cell r="H216" t="str">
            <v>M03</v>
          </cell>
          <cell r="I216">
            <v>0.70799999999999996</v>
          </cell>
          <cell r="J216" t="str">
            <v>M3</v>
          </cell>
        </row>
        <row r="217">
          <cell r="D217" t="str">
            <v>- Agregat Halus</v>
          </cell>
          <cell r="E217" t="str">
            <v>=  Ah x 1 M3 x Fk</v>
          </cell>
          <cell r="H217" t="str">
            <v>M04</v>
          </cell>
          <cell r="I217">
            <v>0.49199999999999994</v>
          </cell>
          <cell r="J217" t="str">
            <v>M3</v>
          </cell>
        </row>
        <row r="219">
          <cell r="B219" t="str">
            <v xml:space="preserve">   2.</v>
          </cell>
          <cell r="D219" t="str">
            <v>ALAT</v>
          </cell>
        </row>
        <row r="220">
          <cell r="B220" t="str">
            <v xml:space="preserve">   2.a.</v>
          </cell>
          <cell r="D220" t="str">
            <v>Wheel Loader</v>
          </cell>
          <cell r="H220" t="str">
            <v>(E15)</v>
          </cell>
        </row>
        <row r="221">
          <cell r="D221" t="str">
            <v>Kapasitas bucket</v>
          </cell>
          <cell r="H221" t="str">
            <v>V</v>
          </cell>
          <cell r="I221">
            <v>1.5</v>
          </cell>
          <cell r="J221" t="str">
            <v>M3</v>
          </cell>
        </row>
        <row r="222">
          <cell r="D222" t="str">
            <v>Faktor bucket</v>
          </cell>
          <cell r="H222" t="str">
            <v>Fb</v>
          </cell>
          <cell r="I222">
            <v>0.9</v>
          </cell>
          <cell r="J222" t="str">
            <v>-</v>
          </cell>
        </row>
        <row r="223">
          <cell r="D223" t="str">
            <v>Faktor Efisiensi alat</v>
          </cell>
          <cell r="H223" t="str">
            <v>Fa</v>
          </cell>
          <cell r="I223">
            <v>0.75</v>
          </cell>
          <cell r="J223" t="str">
            <v>-</v>
          </cell>
        </row>
        <row r="224">
          <cell r="D224" t="str">
            <v>Waktu Siklus :</v>
          </cell>
          <cell r="H224" t="str">
            <v>Ts1</v>
          </cell>
        </row>
        <row r="225">
          <cell r="D225" t="str">
            <v>- Mencampur</v>
          </cell>
          <cell r="H225" t="str">
            <v>T1</v>
          </cell>
          <cell r="I225">
            <v>2.5</v>
          </cell>
          <cell r="J225" t="str">
            <v>menit</v>
          </cell>
        </row>
        <row r="226">
          <cell r="D226" t="str">
            <v>- Memuat dan lain-lain</v>
          </cell>
          <cell r="H226" t="str">
            <v>T2</v>
          </cell>
          <cell r="I226">
            <v>1.5</v>
          </cell>
          <cell r="J226" t="str">
            <v>menit</v>
          </cell>
        </row>
        <row r="227">
          <cell r="H227" t="str">
            <v>Ts1</v>
          </cell>
          <cell r="I227">
            <v>4</v>
          </cell>
          <cell r="J227" t="str">
            <v>menit</v>
          </cell>
        </row>
        <row r="229">
          <cell r="D229" t="str">
            <v>Kap. Prod. / jam =</v>
          </cell>
          <cell r="E229" t="str">
            <v>V x Fb x Fa x 60</v>
          </cell>
          <cell r="H229" t="str">
            <v>Q1</v>
          </cell>
          <cell r="I229">
            <v>12.656250000000004</v>
          </cell>
          <cell r="J229" t="str">
            <v>M3</v>
          </cell>
        </row>
        <row r="230">
          <cell r="E230" t="str">
            <v>Fk x Ts1</v>
          </cell>
        </row>
        <row r="231">
          <cell r="D231" t="str">
            <v>Koefisien Alat / M3</v>
          </cell>
          <cell r="E231" t="str">
            <v xml:space="preserve"> =  1  :  Q1</v>
          </cell>
          <cell r="H231" t="str">
            <v>(E15)</v>
          </cell>
          <cell r="I231">
            <v>7.901234567901233E-2</v>
          </cell>
          <cell r="J231" t="str">
            <v>jam</v>
          </cell>
        </row>
        <row r="233">
          <cell r="B233" t="str">
            <v xml:space="preserve">   2.b.</v>
          </cell>
          <cell r="D233" t="str">
            <v>Dump Truck</v>
          </cell>
          <cell r="H233" t="str">
            <v>(E09)</v>
          </cell>
        </row>
        <row r="234">
          <cell r="D234" t="str">
            <v>Kapasitas bak</v>
          </cell>
          <cell r="H234" t="str">
            <v>V</v>
          </cell>
          <cell r="I234">
            <v>2.5</v>
          </cell>
          <cell r="J234" t="str">
            <v>M3</v>
          </cell>
        </row>
        <row r="235">
          <cell r="D235" t="str">
            <v>Faktor Efisiensi alat</v>
          </cell>
          <cell r="H235" t="str">
            <v>Fa</v>
          </cell>
          <cell r="I235">
            <v>0.75</v>
          </cell>
          <cell r="J235" t="str">
            <v>-</v>
          </cell>
        </row>
        <row r="236">
          <cell r="D236" t="str">
            <v>Kecepatan rata-rata bermuatan</v>
          </cell>
          <cell r="H236" t="str">
            <v>v1</v>
          </cell>
          <cell r="I236">
            <v>20</v>
          </cell>
          <cell r="J236" t="str">
            <v>KM/jam</v>
          </cell>
        </row>
        <row r="237">
          <cell r="D237" t="str">
            <v>Kecepatan rata-rata kosong</v>
          </cell>
          <cell r="H237" t="str">
            <v>v2</v>
          </cell>
          <cell r="I237">
            <v>30</v>
          </cell>
          <cell r="J237" t="str">
            <v>KM/jam</v>
          </cell>
        </row>
        <row r="238">
          <cell r="D238" t="str">
            <v>Waktu Siklus  :  - Waktu memuat = V : Q1 x 60</v>
          </cell>
          <cell r="H238" t="str">
            <v>T1</v>
          </cell>
          <cell r="I238">
            <v>11.851851851851848</v>
          </cell>
          <cell r="J238" t="str">
            <v>menit</v>
          </cell>
        </row>
        <row r="239">
          <cell r="D239" t="str">
            <v>- Waktu tempuh isi  =  (L : v1) x 60 menit</v>
          </cell>
          <cell r="H239" t="str">
            <v>T2</v>
          </cell>
          <cell r="I239">
            <v>30</v>
          </cell>
          <cell r="J239" t="str">
            <v>menit</v>
          </cell>
        </row>
        <row r="240">
          <cell r="D240" t="str">
            <v>- Waktu tempuh kosong  =  (L : v2) x 60 menit</v>
          </cell>
          <cell r="H240" t="str">
            <v>T3</v>
          </cell>
          <cell r="I240">
            <v>20</v>
          </cell>
          <cell r="J240" t="str">
            <v>menit</v>
          </cell>
        </row>
        <row r="241">
          <cell r="D241" t="str">
            <v>- Dump dan lain-lain</v>
          </cell>
          <cell r="H241" t="str">
            <v>T4</v>
          </cell>
          <cell r="I241">
            <v>3</v>
          </cell>
          <cell r="J241" t="str">
            <v>menit</v>
          </cell>
        </row>
        <row r="242">
          <cell r="H242" t="str">
            <v>Ts2</v>
          </cell>
          <cell r="I242">
            <v>64.851851851851848</v>
          </cell>
          <cell r="J242" t="str">
            <v>menit</v>
          </cell>
        </row>
        <row r="244">
          <cell r="K244" t="str">
            <v>Berlanjut ke hal. berikut</v>
          </cell>
        </row>
        <row r="245">
          <cell r="B245" t="str">
            <v>ITEM PEMBAYARAN NO.</v>
          </cell>
          <cell r="E245" t="str">
            <v>:  4.2 (2)</v>
          </cell>
          <cell r="K245" t="str">
            <v>Analisa EI-422</v>
          </cell>
        </row>
        <row r="246">
          <cell r="B246" t="str">
            <v>JENIS PEKERJAAN</v>
          </cell>
          <cell r="E246" t="str">
            <v>:  Lps. Pond. Ag. Kls. B, CBR Min 35%</v>
          </cell>
        </row>
        <row r="247">
          <cell r="B247" t="str">
            <v>SATUAN PEMBAYARAN</v>
          </cell>
          <cell r="E247" t="str">
            <v>:  M3</v>
          </cell>
          <cell r="I247" t="str">
            <v xml:space="preserve">         URAIAN ANALISA HARGA SATUAN</v>
          </cell>
        </row>
        <row r="248">
          <cell r="K248" t="str">
            <v>Lanjutan</v>
          </cell>
        </row>
        <row r="250">
          <cell r="B250" t="str">
            <v>No.</v>
          </cell>
          <cell r="D250" t="str">
            <v>U R A I A N</v>
          </cell>
          <cell r="H250" t="str">
            <v>KODE</v>
          </cell>
          <cell r="I250" t="str">
            <v>KOEF.</v>
          </cell>
          <cell r="J250" t="str">
            <v>SATUAN</v>
          </cell>
          <cell r="K250" t="str">
            <v>KETERANGAN</v>
          </cell>
        </row>
        <row r="253">
          <cell r="D253" t="str">
            <v>Kap. Prod. / jam =</v>
          </cell>
          <cell r="E253" t="str">
            <v>V x Fa x 60</v>
          </cell>
          <cell r="H253" t="str">
            <v>Q2</v>
          </cell>
          <cell r="I253">
            <v>1.4456025128498005</v>
          </cell>
          <cell r="J253" t="str">
            <v>M3</v>
          </cell>
        </row>
        <row r="254">
          <cell r="E254" t="str">
            <v>Fk x Ts2</v>
          </cell>
        </row>
        <row r="255">
          <cell r="D255" t="str">
            <v>Koefisien Alat / M3</v>
          </cell>
          <cell r="E255" t="str">
            <v xml:space="preserve"> =  1  :  Q2</v>
          </cell>
          <cell r="H255" t="str">
            <v>-</v>
          </cell>
          <cell r="I255">
            <v>0.69175308641975297</v>
          </cell>
          <cell r="J255" t="str">
            <v>jam</v>
          </cell>
        </row>
        <row r="257">
          <cell r="B257" t="str">
            <v xml:space="preserve">   2.c.</v>
          </cell>
          <cell r="D257" t="str">
            <v>Motor Grader</v>
          </cell>
          <cell r="H257" t="str">
            <v>(E13)</v>
          </cell>
        </row>
        <row r="258">
          <cell r="D258" t="str">
            <v>Panjang hamparan</v>
          </cell>
          <cell r="H258" t="str">
            <v>Lh</v>
          </cell>
          <cell r="I258">
            <v>50</v>
          </cell>
          <cell r="J258" t="str">
            <v>M</v>
          </cell>
        </row>
        <row r="259">
          <cell r="D259" t="str">
            <v>Lebar efektif kerja blade</v>
          </cell>
          <cell r="H259" t="str">
            <v>b</v>
          </cell>
          <cell r="I259">
            <v>2.4</v>
          </cell>
          <cell r="J259" t="str">
            <v>M</v>
          </cell>
        </row>
        <row r="260">
          <cell r="D260" t="str">
            <v>Faktor Efisiensi alat</v>
          </cell>
          <cell r="H260" t="str">
            <v>Fa</v>
          </cell>
          <cell r="I260">
            <v>0.75</v>
          </cell>
          <cell r="J260" t="str">
            <v>-</v>
          </cell>
        </row>
        <row r="261">
          <cell r="D261" t="str">
            <v>Kecepatan rata-rata alat</v>
          </cell>
          <cell r="H261" t="str">
            <v>v</v>
          </cell>
          <cell r="I261">
            <v>4</v>
          </cell>
          <cell r="J261" t="str">
            <v>KM/jam</v>
          </cell>
        </row>
        <row r="262">
          <cell r="D262" t="str">
            <v>Jumlah lintasan</v>
          </cell>
          <cell r="H262" t="str">
            <v>n</v>
          </cell>
          <cell r="I262">
            <v>6</v>
          </cell>
          <cell r="J262" t="str">
            <v>lintasan</v>
          </cell>
          <cell r="K262" t="str">
            <v xml:space="preserve"> 3 x pp</v>
          </cell>
        </row>
        <row r="263">
          <cell r="D263" t="str">
            <v>Waktu Siklus :</v>
          </cell>
          <cell r="H263" t="str">
            <v>Ts3</v>
          </cell>
        </row>
        <row r="264">
          <cell r="D264" t="str">
            <v>- Perataan 1 lintasan  =  Lh : (v x 1000) x 60</v>
          </cell>
          <cell r="H264" t="str">
            <v>T1</v>
          </cell>
          <cell r="I264">
            <v>0.75</v>
          </cell>
          <cell r="J264" t="str">
            <v>menit</v>
          </cell>
        </row>
        <row r="265">
          <cell r="D265" t="str">
            <v>- Lain-lain</v>
          </cell>
          <cell r="H265" t="str">
            <v>T2</v>
          </cell>
          <cell r="I265">
            <v>1</v>
          </cell>
          <cell r="J265" t="str">
            <v>menit</v>
          </cell>
        </row>
        <row r="266">
          <cell r="H266" t="str">
            <v>Ts3</v>
          </cell>
          <cell r="I266">
            <v>1.75</v>
          </cell>
          <cell r="J266" t="str">
            <v>menit</v>
          </cell>
        </row>
        <row r="268">
          <cell r="D268" t="str">
            <v>Kap. Prod. / jam =</v>
          </cell>
          <cell r="E268" t="str">
            <v>Lh x b x t x Fa x 60</v>
          </cell>
          <cell r="H268" t="str">
            <v>Q3</v>
          </cell>
          <cell r="I268">
            <v>77.142857142857139</v>
          </cell>
          <cell r="J268" t="str">
            <v>M3</v>
          </cell>
        </row>
        <row r="269">
          <cell r="E269" t="str">
            <v>n x Ts3</v>
          </cell>
        </row>
        <row r="270">
          <cell r="D270" t="str">
            <v>Koefisien Alat / M3</v>
          </cell>
          <cell r="E270" t="str">
            <v xml:space="preserve"> =  1  :  Q3</v>
          </cell>
          <cell r="H270" t="str">
            <v>(E13)</v>
          </cell>
          <cell r="I270">
            <v>1.2962962962962964E-2</v>
          </cell>
          <cell r="J270" t="str">
            <v>jam</v>
          </cell>
        </row>
        <row r="272">
          <cell r="B272" t="str">
            <v xml:space="preserve">   2.d.</v>
          </cell>
          <cell r="D272" t="str">
            <v>Vibratory Roller</v>
          </cell>
          <cell r="H272" t="str">
            <v>(E19)</v>
          </cell>
        </row>
        <row r="273">
          <cell r="D273" t="str">
            <v>Kecepatan rata-rata alat</v>
          </cell>
          <cell r="H273" t="str">
            <v>v</v>
          </cell>
          <cell r="I273">
            <v>3</v>
          </cell>
          <cell r="J273" t="str">
            <v>KM/jam</v>
          </cell>
        </row>
        <row r="274">
          <cell r="D274" t="str">
            <v>Lebar efektif pemadatan</v>
          </cell>
          <cell r="H274" t="str">
            <v>b</v>
          </cell>
          <cell r="I274">
            <v>1.2</v>
          </cell>
          <cell r="J274" t="str">
            <v>M</v>
          </cell>
        </row>
        <row r="275">
          <cell r="D275" t="str">
            <v>Jumlah lintasan</v>
          </cell>
          <cell r="H275" t="str">
            <v>n</v>
          </cell>
          <cell r="I275">
            <v>8</v>
          </cell>
          <cell r="J275" t="str">
            <v>lintasan</v>
          </cell>
        </row>
        <row r="276">
          <cell r="D276" t="str">
            <v>Faktor Efisiensi alat</v>
          </cell>
          <cell r="H276" t="str">
            <v>Fa</v>
          </cell>
          <cell r="I276">
            <v>0.75</v>
          </cell>
          <cell r="J276" t="str">
            <v>-</v>
          </cell>
        </row>
        <row r="278">
          <cell r="D278" t="str">
            <v>Kap. Prod. / jam =</v>
          </cell>
          <cell r="E278" t="str">
            <v>(v x 1000) x b x t x Fa</v>
          </cell>
          <cell r="H278" t="str">
            <v>Q4</v>
          </cell>
          <cell r="I278">
            <v>50.625</v>
          </cell>
          <cell r="J278" t="str">
            <v>M3</v>
          </cell>
        </row>
        <row r="279">
          <cell r="E279" t="str">
            <v>n</v>
          </cell>
        </row>
        <row r="280">
          <cell r="D280" t="str">
            <v>Koefisien Alat / M3</v>
          </cell>
          <cell r="E280" t="str">
            <v xml:space="preserve"> =  1  :  Q4</v>
          </cell>
          <cell r="H280" t="str">
            <v>(E19)</v>
          </cell>
          <cell r="I280">
            <v>1.9753086419753086E-2</v>
          </cell>
          <cell r="J280" t="str">
            <v>jam</v>
          </cell>
        </row>
        <row r="282">
          <cell r="B282" t="str">
            <v xml:space="preserve">   2.e.</v>
          </cell>
          <cell r="D282" t="str">
            <v>Pneumatic Tire Roller</v>
          </cell>
          <cell r="H282" t="str">
            <v>(E18)</v>
          </cell>
        </row>
        <row r="283">
          <cell r="D283" t="str">
            <v>Kecepatan rata-rata alat</v>
          </cell>
          <cell r="H283" t="str">
            <v>v</v>
          </cell>
          <cell r="I283">
            <v>5</v>
          </cell>
          <cell r="J283" t="str">
            <v>KM/jam</v>
          </cell>
        </row>
        <row r="284">
          <cell r="D284" t="str">
            <v>Lebar efektif pemadatan</v>
          </cell>
          <cell r="H284" t="str">
            <v>b</v>
          </cell>
          <cell r="I284">
            <v>1.5</v>
          </cell>
          <cell r="J284" t="str">
            <v>M</v>
          </cell>
        </row>
        <row r="285">
          <cell r="D285" t="str">
            <v>Jumlah lintasan</v>
          </cell>
          <cell r="H285" t="str">
            <v>n</v>
          </cell>
          <cell r="I285">
            <v>4</v>
          </cell>
          <cell r="J285" t="str">
            <v>lintasan</v>
          </cell>
        </row>
        <row r="286">
          <cell r="D286" t="str">
            <v>Faktor Efisiensi alat</v>
          </cell>
          <cell r="H286" t="str">
            <v>Fa</v>
          </cell>
          <cell r="I286">
            <v>0.75</v>
          </cell>
          <cell r="J286" t="str">
            <v>-</v>
          </cell>
        </row>
        <row r="288">
          <cell r="D288" t="str">
            <v>Kap. Prod. / jam =</v>
          </cell>
          <cell r="E288" t="str">
            <v>(v x 1000) x b x t x Fa</v>
          </cell>
          <cell r="H288" t="str">
            <v>Q5</v>
          </cell>
          <cell r="I288">
            <v>210.9375</v>
          </cell>
          <cell r="J288" t="str">
            <v>M3</v>
          </cell>
        </row>
        <row r="289">
          <cell r="E289" t="str">
            <v>n</v>
          </cell>
        </row>
        <row r="290">
          <cell r="D290" t="str">
            <v>Koefisien Alat / M3</v>
          </cell>
          <cell r="E290" t="str">
            <v xml:space="preserve"> =  1  :  Q5</v>
          </cell>
          <cell r="H290" t="str">
            <v>(E18)</v>
          </cell>
          <cell r="I290">
            <v>4.7407407407407407E-3</v>
          </cell>
          <cell r="J290" t="str">
            <v>jam</v>
          </cell>
        </row>
        <row r="292">
          <cell r="B292" t="str">
            <v xml:space="preserve">   2.f.</v>
          </cell>
          <cell r="D292" t="str">
            <v>Water Tank Truck</v>
          </cell>
          <cell r="H292" t="str">
            <v>(E23)</v>
          </cell>
        </row>
        <row r="293">
          <cell r="D293" t="str">
            <v>Volume tanki air</v>
          </cell>
          <cell r="H293" t="str">
            <v>V</v>
          </cell>
          <cell r="I293">
            <v>4</v>
          </cell>
          <cell r="J293" t="str">
            <v>M3</v>
          </cell>
        </row>
        <row r="294">
          <cell r="D294" t="str">
            <v>Kebutuhan air / M3 agregat padat</v>
          </cell>
          <cell r="H294" t="str">
            <v>Wc</v>
          </cell>
          <cell r="I294">
            <v>7.0000000000000007E-2</v>
          </cell>
          <cell r="J294" t="str">
            <v>M3</v>
          </cell>
        </row>
        <row r="295">
          <cell r="D295" t="str">
            <v>Pengisian tanki / jam</v>
          </cell>
          <cell r="H295" t="str">
            <v>n</v>
          </cell>
          <cell r="I295">
            <v>1</v>
          </cell>
          <cell r="J295" t="str">
            <v>kali</v>
          </cell>
        </row>
        <row r="296">
          <cell r="D296" t="str">
            <v>Faktor Efisiensi alat</v>
          </cell>
          <cell r="H296" t="str">
            <v>Fa</v>
          </cell>
          <cell r="I296">
            <v>0.75</v>
          </cell>
          <cell r="J296" t="str">
            <v>-</v>
          </cell>
        </row>
        <row r="298">
          <cell r="D298" t="str">
            <v>Kap. Prod. / jam =</v>
          </cell>
          <cell r="E298" t="str">
            <v>V x n x Fa</v>
          </cell>
          <cell r="H298" t="str">
            <v>Q6</v>
          </cell>
          <cell r="I298">
            <v>42.857142857142854</v>
          </cell>
          <cell r="J298" t="str">
            <v>M3</v>
          </cell>
        </row>
        <row r="299">
          <cell r="E299" t="str">
            <v>Wc</v>
          </cell>
        </row>
        <row r="300">
          <cell r="D300" t="str">
            <v>Koefisien Alat / M3</v>
          </cell>
          <cell r="E300" t="str">
            <v xml:space="preserve"> =  1  :  Q6</v>
          </cell>
          <cell r="H300" t="str">
            <v>(E23)</v>
          </cell>
          <cell r="I300">
            <v>2.3333333333333334E-2</v>
          </cell>
          <cell r="J300" t="str">
            <v>jam</v>
          </cell>
        </row>
        <row r="303">
          <cell r="K303" t="str">
            <v>Berlanjut ke hal. berikut</v>
          </cell>
        </row>
        <row r="304">
          <cell r="B304" t="str">
            <v>ITEM PEMBAYARAN NO.</v>
          </cell>
          <cell r="E304" t="str">
            <v>:  4.2 (2)</v>
          </cell>
          <cell r="K304" t="str">
            <v>Analisa EI-422</v>
          </cell>
        </row>
        <row r="305">
          <cell r="B305" t="str">
            <v>JENIS PEKERJAAN</v>
          </cell>
          <cell r="E305" t="str">
            <v>:  Lps. Pond. Ag. Kls. B, CBR Min 35%</v>
          </cell>
        </row>
        <row r="306">
          <cell r="B306" t="str">
            <v>SATUAN PEMBAYARAN</v>
          </cell>
          <cell r="E306" t="str">
            <v>:  M3</v>
          </cell>
          <cell r="I306" t="str">
            <v xml:space="preserve">         URAIAN ANALISA HARGA SATUAN</v>
          </cell>
        </row>
        <row r="307">
          <cell r="K307" t="str">
            <v>Lanjutan</v>
          </cell>
        </row>
        <row r="309">
          <cell r="B309" t="str">
            <v>No.</v>
          </cell>
          <cell r="D309" t="str">
            <v>U R A I A N</v>
          </cell>
          <cell r="H309" t="str">
            <v>KODE</v>
          </cell>
          <cell r="I309" t="str">
            <v>KOEF.</v>
          </cell>
          <cell r="J309" t="str">
            <v>SATUAN</v>
          </cell>
          <cell r="K309" t="str">
            <v>KETERANGAN</v>
          </cell>
        </row>
        <row r="312">
          <cell r="B312" t="str">
            <v xml:space="preserve">   2.g.</v>
          </cell>
          <cell r="D312" t="str">
            <v>Alat Bantu</v>
          </cell>
          <cell r="K312" t="str">
            <v xml:space="preserve"> Lump Sum</v>
          </cell>
        </row>
        <row r="313">
          <cell r="D313" t="str">
            <v>Diperlukan   :</v>
          </cell>
        </row>
        <row r="314">
          <cell r="D314" t="str">
            <v>- Kereta dorong</v>
          </cell>
          <cell r="E314" t="str">
            <v>=  2  buah.</v>
          </cell>
        </row>
        <row r="315">
          <cell r="D315" t="str">
            <v>- Sekop</v>
          </cell>
          <cell r="E315" t="str">
            <v>=  3  buah.</v>
          </cell>
        </row>
        <row r="316">
          <cell r="D316" t="str">
            <v>- Garpu</v>
          </cell>
          <cell r="E316" t="str">
            <v>=  2  buah.</v>
          </cell>
        </row>
        <row r="318">
          <cell r="B318" t="str">
            <v xml:space="preserve">   3.</v>
          </cell>
          <cell r="D318" t="str">
            <v>TENAGA</v>
          </cell>
        </row>
        <row r="319">
          <cell r="D319" t="str">
            <v>Produksi menentukan : WHEEL LOADER</v>
          </cell>
          <cell r="H319" t="str">
            <v>Q1</v>
          </cell>
          <cell r="I319">
            <v>12.656250000000004</v>
          </cell>
          <cell r="J319" t="str">
            <v>M3/jam</v>
          </cell>
        </row>
        <row r="320">
          <cell r="D320" t="str">
            <v>Produksi agregat / hari  =  Tk x Q1</v>
          </cell>
          <cell r="H320" t="str">
            <v>Qt</v>
          </cell>
          <cell r="I320">
            <v>88.593750000000028</v>
          </cell>
          <cell r="J320" t="str">
            <v>M3</v>
          </cell>
        </row>
        <row r="321">
          <cell r="D321" t="str">
            <v>Kebutuhan tenaga :</v>
          </cell>
        </row>
        <row r="322">
          <cell r="E322" t="str">
            <v>- Pekerja</v>
          </cell>
          <cell r="H322" t="str">
            <v>P</v>
          </cell>
          <cell r="I322">
            <v>7</v>
          </cell>
          <cell r="J322" t="str">
            <v>orang</v>
          </cell>
        </row>
        <row r="323">
          <cell r="E323" t="str">
            <v>- Mandor</v>
          </cell>
          <cell r="H323" t="str">
            <v>M</v>
          </cell>
          <cell r="I323">
            <v>1</v>
          </cell>
          <cell r="J323" t="str">
            <v>orang</v>
          </cell>
        </row>
        <row r="325">
          <cell r="D325" t="str">
            <v>Koefisien tenaga / M3   :</v>
          </cell>
        </row>
        <row r="326">
          <cell r="E326" t="str">
            <v>- Pekerja</v>
          </cell>
          <cell r="F326" t="str">
            <v>= (Tk x P) : Qt</v>
          </cell>
          <cell r="H326" t="str">
            <v>-</v>
          </cell>
          <cell r="I326">
            <v>0.55308641975308626</v>
          </cell>
          <cell r="J326" t="str">
            <v>jam</v>
          </cell>
        </row>
        <row r="327">
          <cell r="E327" t="str">
            <v>- Mandor</v>
          </cell>
          <cell r="F327" t="str">
            <v>= (Tk x M) : Qt</v>
          </cell>
          <cell r="H327" t="str">
            <v>-</v>
          </cell>
          <cell r="I327">
            <v>7.9012345679012316E-2</v>
          </cell>
          <cell r="J327" t="str">
            <v>jam</v>
          </cell>
        </row>
        <row r="329">
          <cell r="B329" t="str">
            <v>4.</v>
          </cell>
          <cell r="D329" t="str">
            <v>HARGA DASAR SATUAN UPAH, BAHAN DAN ALAT</v>
          </cell>
        </row>
        <row r="330">
          <cell r="D330" t="str">
            <v>Lihat lampiran.</v>
          </cell>
        </row>
        <row r="332">
          <cell r="B332" t="str">
            <v>5.</v>
          </cell>
          <cell r="D332" t="str">
            <v>ANALISA HARGA SATUAN PEKERJAAN</v>
          </cell>
        </row>
        <row r="333">
          <cell r="D333" t="str">
            <v>Lihat perhitungan dalam FORMULIR STANDAR UNTUK</v>
          </cell>
        </row>
        <row r="334">
          <cell r="D334" t="str">
            <v>PEREKAMAN ANALISA MASING-MASING HARGA</v>
          </cell>
        </row>
        <row r="335">
          <cell r="D335" t="str">
            <v>SATUAN.</v>
          </cell>
        </row>
        <row r="336">
          <cell r="D336" t="str">
            <v>Didapat Harga Satuan Pekerjaan :</v>
          </cell>
        </row>
        <row r="338">
          <cell r="D338" t="str">
            <v xml:space="preserve">Rp.  </v>
          </cell>
          <cell r="E338">
            <v>758575.69804525503</v>
          </cell>
          <cell r="F338" t="str">
            <v xml:space="preserve"> / M3.</v>
          </cell>
        </row>
        <row r="341">
          <cell r="B341" t="str">
            <v>6.</v>
          </cell>
          <cell r="D341" t="str">
            <v>WAKTU PELAKSANAAN YANG DIPERLUKAN</v>
          </cell>
        </row>
        <row r="342">
          <cell r="D342" t="str">
            <v>Masa Pelaksanaan :</v>
          </cell>
          <cell r="E342" t="str">
            <v>. . . . . . . . . . . .</v>
          </cell>
          <cell r="F342" t="str">
            <v>bulan</v>
          </cell>
        </row>
        <row r="344">
          <cell r="B344" t="str">
            <v>7.</v>
          </cell>
          <cell r="D344" t="str">
            <v>VOLUME PEKERJAAN YANG DIPERLUKAN</v>
          </cell>
        </row>
        <row r="345">
          <cell r="D345" t="str">
            <v>Volume pekerjaan  :</v>
          </cell>
          <cell r="E345" t="str">
            <v>. . . . . . . . . . . .</v>
          </cell>
          <cell r="F345" t="str">
            <v>M3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umum"/>
      <sheetName val="VERLAP DESA 1"/>
      <sheetName val="DATABASE"/>
      <sheetName val="SK KPB"/>
      <sheetName val="VERDOK DESA 1"/>
      <sheetName val="List"/>
      <sheetName val="SK LAMPIRAN DESA 1"/>
      <sheetName val="BNBA"/>
      <sheetName val="Gambar"/>
      <sheetName val="link lamp"/>
      <sheetName val="Link cover"/>
      <sheetName val="DATABASE (2)"/>
    </sheetNames>
    <sheetDataSet>
      <sheetData sheetId="0">
        <row r="3">
          <cell r="B3" t="str">
            <v>ARGOPENI</v>
          </cell>
        </row>
      </sheetData>
      <sheetData sheetId="1">
        <row r="15">
          <cell r="A15">
            <v>1</v>
          </cell>
          <cell r="E15" t="str">
            <v>°`"</v>
          </cell>
          <cell r="I15" t="str">
            <v>°`"</v>
          </cell>
          <cell r="J15">
            <v>1</v>
          </cell>
          <cell r="K15" t="str">
            <v>SUTRISNO</v>
          </cell>
          <cell r="L15" t="str">
            <v>3305012305770001</v>
          </cell>
          <cell r="M15">
            <v>19773</v>
          </cell>
          <cell r="N15" t="str">
            <v>L</v>
          </cell>
          <cell r="O15" t="str">
            <v>3</v>
          </cell>
          <cell r="P15">
            <v>36</v>
          </cell>
          <cell r="S15" t="str">
            <v>Dusun Gunung Gadung RT 04 RW05</v>
          </cell>
          <cell r="T15" t="str">
            <v>WIRASWASTA</v>
          </cell>
          <cell r="U15">
            <v>350000</v>
          </cell>
          <cell r="Y15" t="str">
            <v>36</v>
          </cell>
          <cell r="Z15" t="str">
            <v>PK</v>
          </cell>
          <cell r="AA15" t="str">
            <v>Surat Keterangan Kepala Desa</v>
          </cell>
        </row>
        <row r="16">
          <cell r="A16">
            <v>2</v>
          </cell>
          <cell r="E16" t="str">
            <v>°`"</v>
          </cell>
          <cell r="I16" t="str">
            <v>°`"</v>
          </cell>
          <cell r="J16">
            <v>2</v>
          </cell>
          <cell r="K16" t="str">
            <v>NASRUDIN</v>
          </cell>
          <cell r="L16" t="str">
            <v>3305012106850002</v>
          </cell>
          <cell r="M16">
            <v>30556</v>
          </cell>
          <cell r="N16" t="str">
            <v>P</v>
          </cell>
          <cell r="O16" t="str">
            <v>2</v>
          </cell>
          <cell r="P16">
            <v>28</v>
          </cell>
          <cell r="S16" t="str">
            <v>Dusun Gunung Gadung RT 04 RW05</v>
          </cell>
          <cell r="T16" t="str">
            <v>PETANI</v>
          </cell>
          <cell r="U16">
            <v>350000</v>
          </cell>
          <cell r="Y16" t="str">
            <v>32</v>
          </cell>
          <cell r="Z16" t="str">
            <v>PK</v>
          </cell>
          <cell r="AA16" t="str">
            <v>Surat Keterangan Kepala Desa</v>
          </cell>
        </row>
        <row r="17">
          <cell r="A17">
            <v>3</v>
          </cell>
          <cell r="E17" t="str">
            <v>°`"</v>
          </cell>
          <cell r="I17" t="str">
            <v>°`"</v>
          </cell>
          <cell r="J17">
            <v>3</v>
          </cell>
          <cell r="K17" t="str">
            <v>MAD ROHMAN</v>
          </cell>
          <cell r="L17" t="str">
            <v>3305010404560004</v>
          </cell>
          <cell r="M17">
            <v>27780</v>
          </cell>
          <cell r="N17" t="str">
            <v>L</v>
          </cell>
          <cell r="O17" t="str">
            <v>4</v>
          </cell>
          <cell r="P17">
            <v>57</v>
          </cell>
          <cell r="S17" t="str">
            <v>Dusun Gunung Gadung RT 04 RW05</v>
          </cell>
          <cell r="T17" t="str">
            <v>PETANI</v>
          </cell>
          <cell r="U17">
            <v>350000</v>
          </cell>
          <cell r="Y17" t="str">
            <v>36</v>
          </cell>
          <cell r="Z17" t="str">
            <v>PK</v>
          </cell>
          <cell r="AA17" t="str">
            <v>Surat Keterangan Kepala Desa</v>
          </cell>
        </row>
        <row r="18">
          <cell r="A18">
            <v>4</v>
          </cell>
          <cell r="E18" t="str">
            <v>°`"</v>
          </cell>
          <cell r="I18" t="str">
            <v>°`"</v>
          </cell>
          <cell r="J18">
            <v>4</v>
          </cell>
          <cell r="K18" t="str">
            <v>RAKEM</v>
          </cell>
          <cell r="L18" t="str">
            <v>3305014607342944</v>
          </cell>
          <cell r="M18">
            <v>29748</v>
          </cell>
          <cell r="N18" t="str">
            <v>L</v>
          </cell>
          <cell r="O18" t="str">
            <v>1</v>
          </cell>
          <cell r="P18">
            <v>79</v>
          </cell>
          <cell r="S18" t="str">
            <v>Dusun Gunung Gadung RT 04 RW05</v>
          </cell>
          <cell r="T18" t="str">
            <v>PETANI</v>
          </cell>
          <cell r="U18">
            <v>250000</v>
          </cell>
          <cell r="Y18" t="str">
            <v>32</v>
          </cell>
          <cell r="Z18" t="str">
            <v>PK</v>
          </cell>
          <cell r="AA18" t="str">
            <v>Surat Keterangan Kepala Desa</v>
          </cell>
        </row>
        <row r="19">
          <cell r="A19">
            <v>5</v>
          </cell>
          <cell r="E19" t="str">
            <v>°`"</v>
          </cell>
          <cell r="I19" t="str">
            <v>°`"</v>
          </cell>
          <cell r="J19">
            <v>5</v>
          </cell>
          <cell r="K19" t="str">
            <v>KATU AL AMIN</v>
          </cell>
          <cell r="L19" t="str">
            <v>3305010507750006</v>
          </cell>
          <cell r="M19">
            <v>19899</v>
          </cell>
          <cell r="N19" t="str">
            <v>P</v>
          </cell>
          <cell r="O19" t="str">
            <v>4</v>
          </cell>
          <cell r="P19">
            <v>38</v>
          </cell>
          <cell r="S19" t="str">
            <v>Dusun Gunung Gadung RT 04 RW05</v>
          </cell>
          <cell r="T19" t="str">
            <v>PETANI</v>
          </cell>
          <cell r="U19">
            <v>450000</v>
          </cell>
          <cell r="Y19" t="str">
            <v>36</v>
          </cell>
          <cell r="Z19" t="str">
            <v>PK</v>
          </cell>
          <cell r="AA19" t="str">
            <v>Surat Keterangan Kepala Desa</v>
          </cell>
        </row>
        <row r="20">
          <cell r="A20">
            <v>6</v>
          </cell>
          <cell r="E20" t="str">
            <v>°`"</v>
          </cell>
          <cell r="I20" t="str">
            <v>°`"</v>
          </cell>
          <cell r="J20">
            <v>6</v>
          </cell>
          <cell r="K20" t="str">
            <v>MANEM</v>
          </cell>
          <cell r="L20" t="str">
            <v>3305014410460001</v>
          </cell>
          <cell r="M20">
            <v>20171</v>
          </cell>
          <cell r="N20" t="str">
            <v>P</v>
          </cell>
          <cell r="O20" t="str">
            <v>1</v>
          </cell>
          <cell r="P20">
            <v>67</v>
          </cell>
          <cell r="S20" t="str">
            <v>Dusun Gunung Gadung RT 04 RW05</v>
          </cell>
          <cell r="T20" t="str">
            <v>WIRASWASTA</v>
          </cell>
          <cell r="U20">
            <v>300000</v>
          </cell>
          <cell r="Y20" t="str">
            <v>36</v>
          </cell>
          <cell r="Z20" t="str">
            <v>PK</v>
          </cell>
          <cell r="AA20" t="str">
            <v>Surat Keterangan Kepala Desa</v>
          </cell>
        </row>
        <row r="21">
          <cell r="A21">
            <v>7</v>
          </cell>
          <cell r="E21" t="str">
            <v>°`"</v>
          </cell>
          <cell r="I21" t="str">
            <v>°`"</v>
          </cell>
          <cell r="J21">
            <v>7</v>
          </cell>
          <cell r="K21" t="str">
            <v>SAIMAN</v>
          </cell>
          <cell r="L21" t="str">
            <v>3305010604680002</v>
          </cell>
          <cell r="M21">
            <v>29441</v>
          </cell>
          <cell r="N21" t="str">
            <v>L</v>
          </cell>
          <cell r="O21" t="str">
            <v>6</v>
          </cell>
          <cell r="P21">
            <v>45</v>
          </cell>
          <cell r="S21" t="str">
            <v>Dusun Gunung Gadung RT 04 RW05</v>
          </cell>
          <cell r="T21" t="str">
            <v>PETANI</v>
          </cell>
          <cell r="U21">
            <v>400000</v>
          </cell>
          <cell r="Y21" t="str">
            <v>42</v>
          </cell>
          <cell r="Z21" t="str">
            <v>PK</v>
          </cell>
          <cell r="AA21" t="str">
            <v>Surat Keterangan Kepala Desa</v>
          </cell>
        </row>
        <row r="22">
          <cell r="A22">
            <v>8</v>
          </cell>
          <cell r="E22" t="str">
            <v>°`"</v>
          </cell>
          <cell r="I22" t="str">
            <v>°`"</v>
          </cell>
          <cell r="J22">
            <v>8</v>
          </cell>
          <cell r="K22" t="str">
            <v>MUHAMAD ISHAQ</v>
          </cell>
          <cell r="L22" t="str">
            <v>3305011704530001</v>
          </cell>
          <cell r="M22">
            <v>21424</v>
          </cell>
          <cell r="N22" t="str">
            <v>L</v>
          </cell>
          <cell r="O22" t="str">
            <v>5</v>
          </cell>
          <cell r="P22">
            <v>60</v>
          </cell>
          <cell r="S22" t="str">
            <v>Dusun Gunung Gadung RT 04 RW05</v>
          </cell>
          <cell r="T22" t="str">
            <v>PETANI</v>
          </cell>
          <cell r="U22">
            <v>400000</v>
          </cell>
          <cell r="Y22" t="str">
            <v>42</v>
          </cell>
          <cell r="Z22" t="str">
            <v>PK</v>
          </cell>
          <cell r="AA22" t="str">
            <v>Surat Keterangan Kepala Desa</v>
          </cell>
        </row>
        <row r="23">
          <cell r="A23">
            <v>9</v>
          </cell>
          <cell r="E23" t="str">
            <v>°`"</v>
          </cell>
          <cell r="I23" t="str">
            <v>°`"</v>
          </cell>
          <cell r="J23">
            <v>9</v>
          </cell>
          <cell r="K23" t="str">
            <v>WARDOYO</v>
          </cell>
          <cell r="L23" t="str">
            <v>3305013112840002</v>
          </cell>
          <cell r="M23">
            <v>30058</v>
          </cell>
          <cell r="N23" t="str">
            <v>L</v>
          </cell>
          <cell r="O23" t="str">
            <v>3</v>
          </cell>
          <cell r="P23">
            <v>29</v>
          </cell>
          <cell r="S23" t="str">
            <v>Dusun Gunung Gadung RT 04 RW05</v>
          </cell>
          <cell r="T23" t="str">
            <v>PETANI</v>
          </cell>
          <cell r="U23">
            <v>300000</v>
          </cell>
          <cell r="Y23" t="str">
            <v>32</v>
          </cell>
          <cell r="Z23" t="str">
            <v>PK</v>
          </cell>
          <cell r="AA23" t="str">
            <v>Surat Keterangan Kepala Desa</v>
          </cell>
        </row>
        <row r="24">
          <cell r="A24">
            <v>10</v>
          </cell>
          <cell r="E24" t="str">
            <v>°`"</v>
          </cell>
          <cell r="I24" t="str">
            <v>°`"</v>
          </cell>
          <cell r="J24">
            <v>10</v>
          </cell>
          <cell r="K24" t="str">
            <v>JASIM</v>
          </cell>
          <cell r="L24" t="str">
            <v>3305011303400001</v>
          </cell>
          <cell r="M24">
            <v>29989</v>
          </cell>
          <cell r="N24" t="str">
            <v>L</v>
          </cell>
          <cell r="O24" t="str">
            <v>4</v>
          </cell>
          <cell r="P24">
            <v>73</v>
          </cell>
          <cell r="S24" t="str">
            <v>Dusun Gunung Gadung RT 04 RW05</v>
          </cell>
          <cell r="T24" t="str">
            <v>PETANI</v>
          </cell>
          <cell r="U24">
            <v>300000</v>
          </cell>
          <cell r="Y24" t="str">
            <v>36</v>
          </cell>
          <cell r="Z24" t="str">
            <v>PK</v>
          </cell>
          <cell r="AA24" t="str">
            <v>Surat Keterangan Kepala Desa</v>
          </cell>
        </row>
        <row r="25">
          <cell r="A25">
            <v>11</v>
          </cell>
          <cell r="E25" t="str">
            <v>°`"</v>
          </cell>
          <cell r="I25" t="str">
            <v>°`"</v>
          </cell>
          <cell r="J25">
            <v>11</v>
          </cell>
          <cell r="K25" t="str">
            <v>SUPIDAH</v>
          </cell>
          <cell r="L25" t="str">
            <v>3305014704640003</v>
          </cell>
          <cell r="M25">
            <v>28736</v>
          </cell>
          <cell r="N25" t="str">
            <v>P</v>
          </cell>
          <cell r="O25" t="str">
            <v>4</v>
          </cell>
          <cell r="P25">
            <v>49</v>
          </cell>
          <cell r="S25" t="str">
            <v>Dusun Gunung Gadung RT 04 RW05</v>
          </cell>
          <cell r="T25" t="str">
            <v>PETANI</v>
          </cell>
          <cell r="U25">
            <v>300000</v>
          </cell>
          <cell r="Y25" t="str">
            <v>36</v>
          </cell>
          <cell r="Z25" t="str">
            <v>PK</v>
          </cell>
          <cell r="AA25" t="str">
            <v>Surat Keterangan Kepala Desa</v>
          </cell>
        </row>
        <row r="26">
          <cell r="A26">
            <v>12</v>
          </cell>
          <cell r="E26" t="str">
            <v>°`"</v>
          </cell>
          <cell r="I26" t="str">
            <v>°`"</v>
          </cell>
          <cell r="J26">
            <v>12</v>
          </cell>
          <cell r="K26" t="str">
            <v>TASIMIN</v>
          </cell>
          <cell r="L26" t="str">
            <v>3305010406620002</v>
          </cell>
          <cell r="M26">
            <v>18164</v>
          </cell>
          <cell r="N26" t="str">
            <v>P</v>
          </cell>
          <cell r="O26" t="str">
            <v>3</v>
          </cell>
          <cell r="P26">
            <v>51</v>
          </cell>
          <cell r="S26" t="str">
            <v>Dusun Gunung Gadung RT 04 RW05</v>
          </cell>
          <cell r="T26" t="str">
            <v>PETANI</v>
          </cell>
          <cell r="U26">
            <v>350000</v>
          </cell>
          <cell r="Y26" t="str">
            <v>36</v>
          </cell>
          <cell r="Z26" t="str">
            <v>PK</v>
          </cell>
          <cell r="AA26" t="str">
            <v>Surat Keterangan Kepala Desa</v>
          </cell>
        </row>
        <row r="27">
          <cell r="A27">
            <v>13</v>
          </cell>
          <cell r="E27" t="str">
            <v>°`"</v>
          </cell>
          <cell r="I27" t="str">
            <v>°`"</v>
          </cell>
          <cell r="J27">
            <v>13</v>
          </cell>
          <cell r="K27" t="str">
            <v>AHMAD SAIFUDIN</v>
          </cell>
          <cell r="L27" t="str">
            <v>3305011707770005</v>
          </cell>
          <cell r="M27">
            <v>32341</v>
          </cell>
          <cell r="N27" t="str">
            <v>L</v>
          </cell>
          <cell r="O27" t="str">
            <v>3</v>
          </cell>
          <cell r="P27">
            <v>36</v>
          </cell>
          <cell r="S27" t="str">
            <v>Dusun Penusupan RT 05 RW 02</v>
          </cell>
          <cell r="T27" t="str">
            <v xml:space="preserve">PETANI </v>
          </cell>
          <cell r="U27">
            <v>300000</v>
          </cell>
          <cell r="Y27" t="str">
            <v>32</v>
          </cell>
          <cell r="Z27" t="str">
            <v>PK</v>
          </cell>
          <cell r="AA27" t="str">
            <v>Surat Keterangan Kepala Desa</v>
          </cell>
        </row>
        <row r="28">
          <cell r="A28">
            <v>14</v>
          </cell>
          <cell r="E28" t="str">
            <v>°`"</v>
          </cell>
          <cell r="I28" t="str">
            <v>°`"</v>
          </cell>
          <cell r="J28">
            <v>14</v>
          </cell>
          <cell r="K28" t="str">
            <v>SUMINI</v>
          </cell>
          <cell r="L28" t="str">
            <v>3312095309800002</v>
          </cell>
          <cell r="M28">
            <v>22590</v>
          </cell>
          <cell r="N28" t="str">
            <v>P</v>
          </cell>
          <cell r="O28" t="str">
            <v>2</v>
          </cell>
          <cell r="P28">
            <v>33</v>
          </cell>
          <cell r="S28" t="str">
            <v>Dusun Gunung Gadung RT 04 RW05</v>
          </cell>
          <cell r="T28" t="str">
            <v>WIRASWASTA</v>
          </cell>
          <cell r="U28">
            <v>300000</v>
          </cell>
          <cell r="Y28" t="str">
            <v>32</v>
          </cell>
          <cell r="Z28" t="str">
            <v>PK</v>
          </cell>
          <cell r="AA28" t="str">
            <v>Surat Keterangan Kepala Desa</v>
          </cell>
        </row>
        <row r="29">
          <cell r="A29">
            <v>15</v>
          </cell>
          <cell r="E29" t="str">
            <v>°`"</v>
          </cell>
          <cell r="I29" t="str">
            <v>°`"</v>
          </cell>
          <cell r="J29">
            <v>15</v>
          </cell>
          <cell r="K29" t="str">
            <v>SURATNO</v>
          </cell>
          <cell r="L29" t="str">
            <v>3305012803730001</v>
          </cell>
          <cell r="M29">
            <v>29936</v>
          </cell>
          <cell r="N29" t="str">
            <v>P</v>
          </cell>
          <cell r="O29" t="str">
            <v>3</v>
          </cell>
          <cell r="P29">
            <v>40</v>
          </cell>
          <cell r="S29" t="str">
            <v>Dusun Gunung Gadung RT 04 RW05</v>
          </cell>
          <cell r="T29" t="str">
            <v>WIRASWASTA</v>
          </cell>
          <cell r="U29">
            <v>350000</v>
          </cell>
          <cell r="Y29" t="str">
            <v>32</v>
          </cell>
          <cell r="Z29" t="str">
            <v>PK</v>
          </cell>
          <cell r="AA29" t="str">
            <v>Surat Keterangan Kepala Desa</v>
          </cell>
        </row>
        <row r="30">
          <cell r="A30">
            <v>16</v>
          </cell>
          <cell r="E30" t="str">
            <v>°`"</v>
          </cell>
          <cell r="I30" t="str">
            <v>°`"</v>
          </cell>
          <cell r="J30">
            <v>16</v>
          </cell>
          <cell r="K30" t="str">
            <v>NURROHMAN</v>
          </cell>
          <cell r="L30" t="str">
            <v>3305010707720002</v>
          </cell>
          <cell r="M30">
            <v>32480</v>
          </cell>
          <cell r="N30" t="str">
            <v>L</v>
          </cell>
          <cell r="O30">
            <v>3</v>
          </cell>
          <cell r="P30">
            <v>41</v>
          </cell>
          <cell r="S30" t="str">
            <v>Dusun Penusupan RT 05 RW 02</v>
          </cell>
          <cell r="T30" t="str">
            <v>PETANI</v>
          </cell>
          <cell r="U30">
            <v>350000</v>
          </cell>
          <cell r="Y30">
            <v>36</v>
          </cell>
          <cell r="Z30" t="str">
            <v>PK</v>
          </cell>
          <cell r="AA30" t="str">
            <v>Surat Keterangan Kepala Desa</v>
          </cell>
        </row>
        <row r="31">
          <cell r="A31">
            <v>17</v>
          </cell>
          <cell r="E31" t="str">
            <v>°`"</v>
          </cell>
          <cell r="I31" t="str">
            <v>°`"</v>
          </cell>
          <cell r="J31">
            <v>17</v>
          </cell>
          <cell r="K31" t="str">
            <v>SAMBAR P</v>
          </cell>
          <cell r="L31" t="str">
            <v>3305014206680001</v>
          </cell>
          <cell r="M31">
            <v>18162</v>
          </cell>
          <cell r="N31" t="str">
            <v>P</v>
          </cell>
          <cell r="O31">
            <v>2</v>
          </cell>
          <cell r="P31">
            <v>41</v>
          </cell>
          <cell r="S31" t="str">
            <v>Dusun Klesem RT 01 RW 04</v>
          </cell>
          <cell r="T31" t="str">
            <v>PETANI</v>
          </cell>
          <cell r="U31">
            <v>450000</v>
          </cell>
          <cell r="Y31">
            <v>35</v>
          </cell>
          <cell r="Z31" t="str">
            <v>PK</v>
          </cell>
          <cell r="AA31" t="str">
            <v>Surat Keterangan Kepala Desa</v>
          </cell>
        </row>
        <row r="32">
          <cell r="A32">
            <v>18</v>
          </cell>
          <cell r="E32" t="str">
            <v>°`"</v>
          </cell>
          <cell r="I32" t="str">
            <v>°`"</v>
          </cell>
          <cell r="J32">
            <v>18</v>
          </cell>
          <cell r="K32" t="str">
            <v>LASIMIN</v>
          </cell>
          <cell r="L32" t="str">
            <v>3305010508790002</v>
          </cell>
          <cell r="M32">
            <v>31117</v>
          </cell>
          <cell r="N32" t="str">
            <v>L</v>
          </cell>
          <cell r="O32">
            <v>2</v>
          </cell>
          <cell r="P32">
            <v>26</v>
          </cell>
          <cell r="S32" t="str">
            <v>DUKUH SIMBEK RT 02/01</v>
          </cell>
          <cell r="T32" t="str">
            <v>PETANI</v>
          </cell>
          <cell r="U32">
            <v>350000</v>
          </cell>
          <cell r="Y32">
            <v>35</v>
          </cell>
          <cell r="Z32" t="str">
            <v>PK</v>
          </cell>
          <cell r="AA32" t="str">
            <v>Surat Keterangan Kepala Desa</v>
          </cell>
        </row>
        <row r="33">
          <cell r="A33">
            <v>19</v>
          </cell>
          <cell r="E33" t="str">
            <v>°`"</v>
          </cell>
          <cell r="I33" t="str">
            <v>°`"</v>
          </cell>
          <cell r="J33">
            <v>19</v>
          </cell>
          <cell r="K33" t="str">
            <v>SUMARNO</v>
          </cell>
          <cell r="L33" t="str">
            <v>3305010707720002</v>
          </cell>
          <cell r="M33">
            <v>20966</v>
          </cell>
          <cell r="N33" t="str">
            <v>P</v>
          </cell>
          <cell r="O33">
            <v>5</v>
          </cell>
          <cell r="P33">
            <v>41</v>
          </cell>
          <cell r="S33" t="str">
            <v>DUKUH SIMBEK RT 02/01</v>
          </cell>
          <cell r="T33" t="str">
            <v>PETANI</v>
          </cell>
          <cell r="U33">
            <v>400000</v>
          </cell>
          <cell r="Y33">
            <v>35</v>
          </cell>
          <cell r="Z33" t="str">
            <v>PK</v>
          </cell>
          <cell r="AA33" t="str">
            <v>Surat Keterangan Kepala Desa</v>
          </cell>
        </row>
        <row r="34">
          <cell r="A34">
            <v>20</v>
          </cell>
          <cell r="E34" t="str">
            <v>°`"</v>
          </cell>
          <cell r="I34" t="str">
            <v>°`"</v>
          </cell>
          <cell r="J34">
            <v>20</v>
          </cell>
          <cell r="K34" t="str">
            <v>SARIMIN K</v>
          </cell>
          <cell r="L34" t="str">
            <v>33050110804870001</v>
          </cell>
          <cell r="M34">
            <v>28993</v>
          </cell>
          <cell r="N34" t="str">
            <v>P</v>
          </cell>
          <cell r="O34">
            <v>1</v>
          </cell>
          <cell r="P34">
            <v>26</v>
          </cell>
          <cell r="S34" t="str">
            <v>DUKUH SIMBEK RT 02/01</v>
          </cell>
          <cell r="T34" t="str">
            <v>NELAYAN</v>
          </cell>
          <cell r="U34">
            <v>300000</v>
          </cell>
          <cell r="Y34">
            <v>36</v>
          </cell>
          <cell r="Z34" t="str">
            <v>PK</v>
          </cell>
          <cell r="AA34" t="str">
            <v>Surat Keterangan Kepala Desa</v>
          </cell>
        </row>
        <row r="35">
          <cell r="A35">
            <v>21</v>
          </cell>
          <cell r="E35" t="str">
            <v>°`"</v>
          </cell>
          <cell r="I35" t="str">
            <v>°`"</v>
          </cell>
          <cell r="J35">
            <v>21</v>
          </cell>
          <cell r="K35" t="str">
            <v>YAIMIN LUKMAN</v>
          </cell>
          <cell r="L35" t="str">
            <v>33050111512750002</v>
          </cell>
          <cell r="O35">
            <v>3</v>
          </cell>
          <cell r="P35">
            <v>38</v>
          </cell>
          <cell r="S35" t="str">
            <v>DUKUH SIMBEK RT 02/01</v>
          </cell>
          <cell r="T35" t="str">
            <v>NELAYAN</v>
          </cell>
          <cell r="U35">
            <v>350000</v>
          </cell>
          <cell r="Y35">
            <v>35</v>
          </cell>
          <cell r="Z35" t="str">
            <v>PK</v>
          </cell>
          <cell r="AA35" t="str">
            <v>Surat Keterangan Kepala Desa</v>
          </cell>
        </row>
        <row r="36">
          <cell r="A36">
            <v>22</v>
          </cell>
          <cell r="E36" t="str">
            <v>°`"</v>
          </cell>
          <cell r="I36" t="str">
            <v>°`"</v>
          </cell>
          <cell r="J36">
            <v>22</v>
          </cell>
          <cell r="K36" t="str">
            <v>SARIYUN</v>
          </cell>
          <cell r="L36" t="str">
            <v>3305010903730004</v>
          </cell>
          <cell r="O36">
            <v>2</v>
          </cell>
          <cell r="P36">
            <v>40</v>
          </cell>
          <cell r="S36" t="str">
            <v>DUKUH SIMBEK RT 02/01</v>
          </cell>
          <cell r="T36" t="str">
            <v>NELAYAN</v>
          </cell>
          <cell r="U36">
            <v>400000</v>
          </cell>
          <cell r="Y36">
            <v>36</v>
          </cell>
          <cell r="Z36" t="str">
            <v>PK</v>
          </cell>
          <cell r="AA36" t="str">
            <v>Surat Keterangan Kepala Desa</v>
          </cell>
        </row>
        <row r="37">
          <cell r="A37">
            <v>23</v>
          </cell>
          <cell r="E37" t="str">
            <v>°`"</v>
          </cell>
          <cell r="I37" t="str">
            <v>°`"</v>
          </cell>
          <cell r="J37">
            <v>23</v>
          </cell>
          <cell r="K37" t="str">
            <v>M SURATMAN</v>
          </cell>
          <cell r="L37" t="str">
            <v>3305010303730003</v>
          </cell>
          <cell r="O37">
            <v>3</v>
          </cell>
          <cell r="P37">
            <v>40</v>
          </cell>
          <cell r="S37" t="str">
            <v>Dusun Klesem RT 01 RW 04</v>
          </cell>
          <cell r="T37" t="str">
            <v>NELAYAN</v>
          </cell>
          <cell r="U37">
            <v>400000</v>
          </cell>
          <cell r="Y37">
            <v>36</v>
          </cell>
          <cell r="Z37" t="str">
            <v>PK</v>
          </cell>
          <cell r="AA37" t="str">
            <v>Surat Keterangan Kepala Desa</v>
          </cell>
        </row>
        <row r="38">
          <cell r="A38">
            <v>24</v>
          </cell>
          <cell r="E38" t="str">
            <v>°`"</v>
          </cell>
          <cell r="I38" t="str">
            <v>°`"</v>
          </cell>
          <cell r="J38">
            <v>24</v>
          </cell>
          <cell r="K38" t="str">
            <v>LAWIREJA</v>
          </cell>
          <cell r="L38" t="str">
            <v>330501130332002</v>
          </cell>
          <cell r="O38">
            <v>1</v>
          </cell>
          <cell r="P38">
            <v>81</v>
          </cell>
          <cell r="S38" t="str">
            <v>DUKUH SIMBEK RT 02/01</v>
          </cell>
          <cell r="T38" t="str">
            <v>PETANI</v>
          </cell>
          <cell r="U38">
            <v>300000</v>
          </cell>
          <cell r="Y38">
            <v>36</v>
          </cell>
          <cell r="Z38" t="str">
            <v>PK</v>
          </cell>
          <cell r="AA38" t="str">
            <v>Surat Keterangan Kepala Desa</v>
          </cell>
        </row>
        <row r="39">
          <cell r="A39">
            <v>25</v>
          </cell>
          <cell r="E39" t="str">
            <v>°`"</v>
          </cell>
          <cell r="I39" t="str">
            <v>°`"</v>
          </cell>
          <cell r="J39">
            <v>25</v>
          </cell>
          <cell r="K39" t="str">
            <v>SARIMIN</v>
          </cell>
          <cell r="L39" t="str">
            <v>330501130174002</v>
          </cell>
          <cell r="O39">
            <v>4</v>
          </cell>
          <cell r="P39">
            <v>39</v>
          </cell>
          <cell r="S39" t="str">
            <v>DUKUH SIMBEK RT 02/01</v>
          </cell>
          <cell r="T39" t="str">
            <v>NELAYAN</v>
          </cell>
          <cell r="U39">
            <v>400000</v>
          </cell>
          <cell r="Y39">
            <v>35</v>
          </cell>
          <cell r="Z39" t="str">
            <v>PK</v>
          </cell>
          <cell r="AA39" t="str">
            <v>Surat Keterangan Kepala Desa</v>
          </cell>
        </row>
        <row r="40">
          <cell r="A40">
            <v>26</v>
          </cell>
          <cell r="E40" t="str">
            <v>°`"</v>
          </cell>
          <cell r="I40" t="str">
            <v>°`"</v>
          </cell>
          <cell r="J40">
            <v>26</v>
          </cell>
          <cell r="K40" t="str">
            <v>TOHIRIN</v>
          </cell>
          <cell r="L40" t="str">
            <v>3305011102880000</v>
          </cell>
          <cell r="O40">
            <v>3</v>
          </cell>
          <cell r="P40">
            <v>25</v>
          </cell>
          <cell r="S40" t="str">
            <v>DUKUH SIMBEK RT 02/01</v>
          </cell>
          <cell r="T40" t="str">
            <v>NELAYAN</v>
          </cell>
          <cell r="U40">
            <v>300000</v>
          </cell>
          <cell r="Y40">
            <v>35</v>
          </cell>
          <cell r="Z40" t="str">
            <v>PK</v>
          </cell>
          <cell r="AA40" t="str">
            <v>Surat Keterangan Kepala Desa</v>
          </cell>
        </row>
        <row r="41">
          <cell r="A41">
            <v>27</v>
          </cell>
          <cell r="E41" t="str">
            <v>°`"</v>
          </cell>
          <cell r="I41" t="str">
            <v>°`"</v>
          </cell>
          <cell r="J41">
            <v>27</v>
          </cell>
          <cell r="K41" t="str">
            <v>SALUD</v>
          </cell>
          <cell r="L41" t="str">
            <v>3305012011680000</v>
          </cell>
          <cell r="O41">
            <v>3</v>
          </cell>
          <cell r="P41">
            <v>50</v>
          </cell>
          <cell r="S41" t="str">
            <v>DUKUH SIMBEK RT 02/01</v>
          </cell>
          <cell r="T41" t="str">
            <v>NELAYAN</v>
          </cell>
          <cell r="U41">
            <v>400000</v>
          </cell>
          <cell r="Y41">
            <v>35</v>
          </cell>
          <cell r="Z41" t="str">
            <v>PK</v>
          </cell>
          <cell r="AA41" t="str">
            <v>Surat Keterangan Kepala Desa</v>
          </cell>
        </row>
        <row r="42">
          <cell r="A42">
            <v>28</v>
          </cell>
          <cell r="E42" t="str">
            <v>°`"</v>
          </cell>
          <cell r="I42" t="str">
            <v>°`"</v>
          </cell>
          <cell r="J42">
            <v>28</v>
          </cell>
          <cell r="K42" t="str">
            <v>YAKIMIN  ARIF  Z</v>
          </cell>
          <cell r="L42" t="str">
            <v>3305010304870000</v>
          </cell>
          <cell r="O42">
            <v>1</v>
          </cell>
          <cell r="P42">
            <v>47</v>
          </cell>
          <cell r="S42" t="str">
            <v>DUKUH SIMBEK RT 02/01</v>
          </cell>
          <cell r="T42" t="str">
            <v>NELAYAN</v>
          </cell>
          <cell r="U42">
            <v>350000</v>
          </cell>
          <cell r="Y42">
            <v>35</v>
          </cell>
          <cell r="Z42" t="str">
            <v>PK</v>
          </cell>
          <cell r="AA42" t="str">
            <v>Surat Keterangan Kepala Desa</v>
          </cell>
        </row>
        <row r="43">
          <cell r="A43">
            <v>29</v>
          </cell>
          <cell r="E43" t="str">
            <v>°`"</v>
          </cell>
          <cell r="I43" t="str">
            <v>°`"</v>
          </cell>
          <cell r="J43">
            <v>29</v>
          </cell>
          <cell r="K43" t="str">
            <v>YABIN PUJI SAPUTRO</v>
          </cell>
          <cell r="L43" t="str">
            <v>3305010707720000</v>
          </cell>
          <cell r="O43">
            <v>3</v>
          </cell>
          <cell r="P43">
            <v>42</v>
          </cell>
          <cell r="S43" t="str">
            <v>DUKUH SIMBEK RT 02/01</v>
          </cell>
          <cell r="T43" t="str">
            <v>SWASTA</v>
          </cell>
          <cell r="U43">
            <v>150000</v>
          </cell>
          <cell r="Y43">
            <v>36</v>
          </cell>
          <cell r="Z43" t="str">
            <v>PK</v>
          </cell>
          <cell r="AA43" t="str">
            <v>Surat Keterangan Kepala Desa</v>
          </cell>
        </row>
        <row r="44">
          <cell r="A44">
            <v>30</v>
          </cell>
          <cell r="E44" t="str">
            <v>°`"</v>
          </cell>
          <cell r="I44" t="str">
            <v>°`"</v>
          </cell>
          <cell r="J44">
            <v>30</v>
          </cell>
          <cell r="K44" t="str">
            <v>MAD MARSUM</v>
          </cell>
          <cell r="L44" t="str">
            <v>3305010910410001</v>
          </cell>
          <cell r="O44">
            <v>3</v>
          </cell>
          <cell r="P44">
            <v>69</v>
          </cell>
          <cell r="S44" t="str">
            <v>DUKUH SIMBEK RT 02/01</v>
          </cell>
          <cell r="T44" t="str">
            <v>PETANI</v>
          </cell>
          <cell r="U44">
            <v>300000</v>
          </cell>
          <cell r="Y44">
            <v>36</v>
          </cell>
          <cell r="Z44" t="str">
            <v>PK</v>
          </cell>
          <cell r="AA44" t="str">
            <v>Surat Keterangan Kepala Desa</v>
          </cell>
        </row>
        <row r="45">
          <cell r="A45">
            <v>31</v>
          </cell>
          <cell r="E45" t="str">
            <v>°`"</v>
          </cell>
          <cell r="I45" t="str">
            <v>°`"</v>
          </cell>
          <cell r="J45">
            <v>31</v>
          </cell>
          <cell r="K45" t="str">
            <v>YAKEM</v>
          </cell>
          <cell r="L45" t="str">
            <v>3305015006750000</v>
          </cell>
          <cell r="O45">
            <v>3</v>
          </cell>
          <cell r="P45">
            <v>75</v>
          </cell>
          <cell r="S45" t="str">
            <v>Dusun Karung  RT 02 RW 04</v>
          </cell>
          <cell r="T45" t="str">
            <v>PETANI</v>
          </cell>
          <cell r="U45">
            <v>300000</v>
          </cell>
          <cell r="Y45">
            <v>35</v>
          </cell>
          <cell r="Z45" t="str">
            <v>PK</v>
          </cell>
          <cell r="AA45" t="str">
            <v>Surat Keterangan Kepala Desa</v>
          </cell>
        </row>
        <row r="46">
          <cell r="A46">
            <v>32</v>
          </cell>
          <cell r="E46" t="str">
            <v>°`"</v>
          </cell>
          <cell r="I46" t="str">
            <v>°`"</v>
          </cell>
          <cell r="J46">
            <v>32</v>
          </cell>
          <cell r="K46" t="str">
            <v>FAUZIN</v>
          </cell>
          <cell r="L46" t="str">
            <v>3305010812740000</v>
          </cell>
          <cell r="O46">
            <v>3</v>
          </cell>
          <cell r="P46">
            <v>36</v>
          </cell>
          <cell r="S46" t="str">
            <v>DUKUH SIMBEK RT03/01</v>
          </cell>
          <cell r="T46" t="str">
            <v>NELAYAN</v>
          </cell>
          <cell r="U46">
            <v>300000</v>
          </cell>
          <cell r="Y46">
            <v>35</v>
          </cell>
          <cell r="Z46" t="str">
            <v>PK</v>
          </cell>
          <cell r="AA46" t="str">
            <v>Surat Keterangan Kepala Desa</v>
          </cell>
        </row>
        <row r="47">
          <cell r="A47">
            <v>33</v>
          </cell>
          <cell r="E47" t="str">
            <v>°`"</v>
          </cell>
          <cell r="I47" t="str">
            <v>°`"</v>
          </cell>
          <cell r="J47">
            <v>33</v>
          </cell>
          <cell r="K47" t="str">
            <v>KADI</v>
          </cell>
          <cell r="L47" t="str">
            <v>3305011306490000</v>
          </cell>
          <cell r="O47">
            <v>2</v>
          </cell>
          <cell r="P47">
            <v>64</v>
          </cell>
          <cell r="S47" t="str">
            <v>DUKUH SIMBEK RT03/01</v>
          </cell>
          <cell r="T47" t="str">
            <v>NELAYAN</v>
          </cell>
          <cell r="U47">
            <v>300000</v>
          </cell>
          <cell r="Y47">
            <v>34</v>
          </cell>
          <cell r="Z47" t="str">
            <v>PK</v>
          </cell>
          <cell r="AA47" t="str">
            <v>Surat Keterangan Kepala Desa</v>
          </cell>
        </row>
        <row r="48">
          <cell r="A48">
            <v>34</v>
          </cell>
          <cell r="E48" t="str">
            <v>°`"</v>
          </cell>
          <cell r="I48" t="str">
            <v>°`"</v>
          </cell>
          <cell r="J48">
            <v>34</v>
          </cell>
          <cell r="K48" t="str">
            <v>SUPARNO</v>
          </cell>
          <cell r="L48" t="str">
            <v>3305014506642460</v>
          </cell>
          <cell r="O48">
            <v>4</v>
          </cell>
          <cell r="P48">
            <v>48</v>
          </cell>
          <cell r="S48" t="str">
            <v>Dusun Tembelang RT04/03</v>
          </cell>
          <cell r="T48" t="str">
            <v>PETANI</v>
          </cell>
          <cell r="U48">
            <v>300000</v>
          </cell>
          <cell r="Y48">
            <v>36</v>
          </cell>
          <cell r="Z48" t="str">
            <v>PK</v>
          </cell>
          <cell r="AA48" t="str">
            <v>Surat Keterangan Kepala Desa</v>
          </cell>
        </row>
        <row r="49">
          <cell r="A49">
            <v>35</v>
          </cell>
          <cell r="E49" t="str">
            <v>°`"</v>
          </cell>
          <cell r="I49" t="str">
            <v>°`"</v>
          </cell>
          <cell r="J49">
            <v>35</v>
          </cell>
          <cell r="K49" t="str">
            <v>AHMAD SUGANI</v>
          </cell>
          <cell r="L49" t="str">
            <v>330500605810004</v>
          </cell>
          <cell r="O49">
            <v>3</v>
          </cell>
          <cell r="P49">
            <v>32</v>
          </cell>
          <cell r="S49" t="str">
            <v>Dusun Gajah RT 01 RW 02</v>
          </cell>
          <cell r="T49" t="str">
            <v>PETANI</v>
          </cell>
          <cell r="U49">
            <v>350000</v>
          </cell>
          <cell r="Y49">
            <v>35</v>
          </cell>
          <cell r="Z49" t="str">
            <v>PK</v>
          </cell>
          <cell r="AA49" t="str">
            <v>Surat Keterangan Kepala Desa</v>
          </cell>
        </row>
        <row r="50">
          <cell r="A50">
            <v>36</v>
          </cell>
          <cell r="E50" t="str">
            <v>°`"</v>
          </cell>
          <cell r="I50" t="str">
            <v>°`"</v>
          </cell>
          <cell r="J50">
            <v>36</v>
          </cell>
          <cell r="K50" t="str">
            <v>AHMAD MUDASIR</v>
          </cell>
          <cell r="L50" t="str">
            <v>330501120270003</v>
          </cell>
          <cell r="O50">
            <v>4</v>
          </cell>
          <cell r="P50">
            <v>31</v>
          </cell>
          <cell r="S50" t="str">
            <v>Dusun Gajah RT 01 RW 02</v>
          </cell>
          <cell r="T50" t="str">
            <v>NELAYAN</v>
          </cell>
          <cell r="U50">
            <v>450000</v>
          </cell>
          <cell r="Y50">
            <v>35</v>
          </cell>
          <cell r="Z50" t="str">
            <v>PK</v>
          </cell>
          <cell r="AA50" t="str">
            <v>Surat Keterangan Kepala Desa</v>
          </cell>
        </row>
        <row r="51">
          <cell r="A51">
            <v>37</v>
          </cell>
          <cell r="E51" t="str">
            <v>°`"</v>
          </cell>
          <cell r="I51" t="str">
            <v>°`"</v>
          </cell>
          <cell r="J51">
            <v>37</v>
          </cell>
          <cell r="K51" t="str">
            <v>DANI MARKUAT</v>
          </cell>
          <cell r="L51" t="str">
            <v>3305011707800000</v>
          </cell>
          <cell r="O51">
            <v>2</v>
          </cell>
          <cell r="P51">
            <v>34</v>
          </cell>
          <cell r="S51" t="str">
            <v>Dusun Sliling RT 05 RW 04</v>
          </cell>
          <cell r="T51" t="str">
            <v>NELAYAN</v>
          </cell>
          <cell r="U51">
            <v>400000</v>
          </cell>
          <cell r="Y51">
            <v>36</v>
          </cell>
          <cell r="Z51" t="str">
            <v>PK</v>
          </cell>
          <cell r="AA51" t="str">
            <v>Surat Keterangan Kepala Desa</v>
          </cell>
        </row>
        <row r="52">
          <cell r="A52">
            <v>38</v>
          </cell>
          <cell r="E52" t="str">
            <v>°`"</v>
          </cell>
          <cell r="I52" t="str">
            <v>°`"</v>
          </cell>
          <cell r="J52">
            <v>38</v>
          </cell>
          <cell r="K52" t="str">
            <v>SAIMAN</v>
          </cell>
          <cell r="L52" t="str">
            <v>330501012860002</v>
          </cell>
          <cell r="O52">
            <v>5</v>
          </cell>
          <cell r="P52">
            <v>37</v>
          </cell>
          <cell r="S52" t="str">
            <v>DUKUH SIMBEK RT03/01</v>
          </cell>
          <cell r="T52" t="str">
            <v>NELAYAN</v>
          </cell>
          <cell r="U52">
            <v>300000</v>
          </cell>
          <cell r="Y52">
            <v>36</v>
          </cell>
          <cell r="Z52" t="str">
            <v>PK</v>
          </cell>
          <cell r="AA52" t="str">
            <v>Surat Keterangan Kepala Desa</v>
          </cell>
        </row>
        <row r="53">
          <cell r="A53">
            <v>39</v>
          </cell>
          <cell r="E53" t="str">
            <v>°`"</v>
          </cell>
          <cell r="I53" t="str">
            <v>°`"</v>
          </cell>
          <cell r="J53">
            <v>39</v>
          </cell>
          <cell r="K53" t="str">
            <v>SITO SAPUTRO S</v>
          </cell>
          <cell r="L53" t="str">
            <v>3305010707720000</v>
          </cell>
          <cell r="O53">
            <v>5</v>
          </cell>
          <cell r="P53">
            <v>41</v>
          </cell>
          <cell r="S53" t="str">
            <v>DUKUH SIMBEK RT03/01</v>
          </cell>
          <cell r="T53" t="str">
            <v>NELAYAN</v>
          </cell>
          <cell r="U53">
            <v>350000</v>
          </cell>
          <cell r="Y53">
            <v>54</v>
          </cell>
          <cell r="Z53" t="str">
            <v>PK</v>
          </cell>
          <cell r="AA53" t="str">
            <v>Surat Keterangan Kepala Desa</v>
          </cell>
        </row>
        <row r="54">
          <cell r="A54">
            <v>40</v>
          </cell>
          <cell r="E54" t="str">
            <v>°`"</v>
          </cell>
          <cell r="I54" t="str">
            <v>°`"</v>
          </cell>
          <cell r="J54">
            <v>40</v>
          </cell>
          <cell r="K54" t="str">
            <v>SURATNO</v>
          </cell>
          <cell r="L54" t="str">
            <v>3305011512770002</v>
          </cell>
          <cell r="O54">
            <v>5</v>
          </cell>
          <cell r="P54">
            <v>38</v>
          </cell>
          <cell r="S54" t="str">
            <v>DUKUH SIMBEK RT03/01</v>
          </cell>
          <cell r="T54" t="str">
            <v>NELAYAN</v>
          </cell>
          <cell r="U54">
            <v>350000</v>
          </cell>
          <cell r="Y54">
            <v>54</v>
          </cell>
          <cell r="Z54" t="str">
            <v>PK</v>
          </cell>
          <cell r="AA54" t="str">
            <v>Surat Keterangan Kepala Desa</v>
          </cell>
        </row>
        <row r="55">
          <cell r="A55">
            <v>41</v>
          </cell>
          <cell r="E55" t="str">
            <v>°`"</v>
          </cell>
          <cell r="I55" t="str">
            <v>°`"</v>
          </cell>
          <cell r="J55">
            <v>41</v>
          </cell>
          <cell r="K55" t="str">
            <v>ADMAN M</v>
          </cell>
          <cell r="L55" t="str">
            <v>3305012811520000</v>
          </cell>
          <cell r="O55">
            <v>3</v>
          </cell>
          <cell r="P55">
            <v>61</v>
          </cell>
          <cell r="S55" t="str">
            <v>DUKUH SIMBEK RT03/01</v>
          </cell>
          <cell r="T55" t="str">
            <v>NELAYAN</v>
          </cell>
          <cell r="U55">
            <v>350000</v>
          </cell>
          <cell r="Y55">
            <v>48</v>
          </cell>
          <cell r="Z55" t="str">
            <v>PK</v>
          </cell>
          <cell r="AA55" t="str">
            <v>Surat Keterangan Kepala Desa</v>
          </cell>
        </row>
        <row r="56">
          <cell r="A56">
            <v>42</v>
          </cell>
          <cell r="E56" t="str">
            <v>°`"</v>
          </cell>
          <cell r="I56" t="str">
            <v>°`"</v>
          </cell>
          <cell r="J56">
            <v>42</v>
          </cell>
          <cell r="K56" t="str">
            <v>SAWINAMA</v>
          </cell>
          <cell r="L56" t="str">
            <v>3305010407470000</v>
          </cell>
          <cell r="O56">
            <v>2</v>
          </cell>
          <cell r="P56">
            <v>65</v>
          </cell>
          <cell r="S56" t="str">
            <v>DUKUH SIMBEK RT03/01</v>
          </cell>
          <cell r="T56" t="str">
            <v>TANI</v>
          </cell>
          <cell r="U56">
            <v>300000</v>
          </cell>
          <cell r="Y56">
            <v>54</v>
          </cell>
          <cell r="Z56" t="str">
            <v>PK</v>
          </cell>
          <cell r="AA56" t="str">
            <v>Surat Keterangan Kepala Desa</v>
          </cell>
        </row>
        <row r="57">
          <cell r="A57">
            <v>43</v>
          </cell>
          <cell r="E57" t="str">
            <v>°`"</v>
          </cell>
          <cell r="I57" t="str">
            <v>°`"</v>
          </cell>
          <cell r="J57">
            <v>43</v>
          </cell>
          <cell r="K57" t="str">
            <v>SARIPAH</v>
          </cell>
          <cell r="L57" t="str">
            <v>330501157160003</v>
          </cell>
          <cell r="O57">
            <v>4</v>
          </cell>
          <cell r="P57">
            <v>42</v>
          </cell>
          <cell r="S57" t="str">
            <v>DUKUH SIMBEK RT03/01</v>
          </cell>
          <cell r="T57" t="str">
            <v>SWASTA</v>
          </cell>
          <cell r="U57">
            <v>300000</v>
          </cell>
          <cell r="Y57">
            <v>56</v>
          </cell>
          <cell r="Z57" t="str">
            <v>PK</v>
          </cell>
          <cell r="AA57" t="str">
            <v>Surat Keterangan Kepala Desa</v>
          </cell>
        </row>
        <row r="58">
          <cell r="A58">
            <v>44</v>
          </cell>
          <cell r="E58" t="str">
            <v>°`"</v>
          </cell>
          <cell r="I58" t="str">
            <v>°`"</v>
          </cell>
          <cell r="J58">
            <v>44</v>
          </cell>
          <cell r="K58" t="str">
            <v>SUMAN</v>
          </cell>
          <cell r="L58" t="str">
            <v>33050113112740001</v>
          </cell>
          <cell r="O58">
            <v>3</v>
          </cell>
          <cell r="P58">
            <v>38</v>
          </cell>
          <cell r="S58" t="str">
            <v>DUKUH SIMBEK RT03/01</v>
          </cell>
          <cell r="T58" t="str">
            <v>NELAYAN</v>
          </cell>
          <cell r="U58">
            <v>400000</v>
          </cell>
          <cell r="Y58">
            <v>48</v>
          </cell>
          <cell r="Z58" t="str">
            <v>PK</v>
          </cell>
          <cell r="AA58" t="str">
            <v>Surat Keterangan Kepala Desa</v>
          </cell>
        </row>
        <row r="59">
          <cell r="A59">
            <v>45</v>
          </cell>
          <cell r="E59" t="str">
            <v>°`"</v>
          </cell>
          <cell r="I59" t="str">
            <v>°`"</v>
          </cell>
          <cell r="J59">
            <v>45</v>
          </cell>
          <cell r="K59" t="str">
            <v>TASIRUDIN</v>
          </cell>
          <cell r="L59" t="str">
            <v>330501100571056</v>
          </cell>
          <cell r="O59">
            <v>2</v>
          </cell>
          <cell r="P59">
            <v>42</v>
          </cell>
          <cell r="S59" t="str">
            <v>DUKUH SIMBEK RT03/01</v>
          </cell>
          <cell r="T59" t="str">
            <v>NELAYAN</v>
          </cell>
          <cell r="U59">
            <v>300000</v>
          </cell>
          <cell r="Y59">
            <v>36</v>
          </cell>
          <cell r="Z59" t="str">
            <v>PK</v>
          </cell>
          <cell r="AA59" t="str">
            <v>Surat Keterangan Kepala Desa</v>
          </cell>
        </row>
        <row r="60">
          <cell r="A60">
            <v>46</v>
          </cell>
          <cell r="E60" t="str">
            <v>°`"</v>
          </cell>
          <cell r="I60" t="str">
            <v>°`"</v>
          </cell>
          <cell r="J60">
            <v>46</v>
          </cell>
          <cell r="K60" t="str">
            <v>SARJO</v>
          </cell>
          <cell r="L60" t="str">
            <v>3305010605750001</v>
          </cell>
          <cell r="O60">
            <v>3</v>
          </cell>
          <cell r="P60">
            <v>42</v>
          </cell>
          <cell r="S60" t="str">
            <v>DUKUH SIMBEK RT 04/01</v>
          </cell>
          <cell r="T60" t="str">
            <v>NELAYAN</v>
          </cell>
          <cell r="U60">
            <v>400000</v>
          </cell>
          <cell r="Y60">
            <v>54</v>
          </cell>
          <cell r="Z60" t="str">
            <v>PK</v>
          </cell>
          <cell r="AA60" t="str">
            <v>Surat Keterangan Kepala Desa</v>
          </cell>
        </row>
        <row r="61">
          <cell r="A61">
            <v>47</v>
          </cell>
          <cell r="E61" t="str">
            <v>°`"</v>
          </cell>
          <cell r="I61" t="str">
            <v>°`"</v>
          </cell>
          <cell r="J61">
            <v>47</v>
          </cell>
          <cell r="K61" t="str">
            <v>SUSAH</v>
          </cell>
          <cell r="L61" t="str">
            <v>3305015206480001</v>
          </cell>
          <cell r="O61">
            <v>1</v>
          </cell>
          <cell r="P61">
            <v>29</v>
          </cell>
          <cell r="S61" t="str">
            <v>DUKUH SIMBEK RT 04/01</v>
          </cell>
          <cell r="T61" t="str">
            <v>PETANI</v>
          </cell>
          <cell r="U61">
            <v>150000</v>
          </cell>
          <cell r="Y61">
            <v>35</v>
          </cell>
          <cell r="Z61" t="str">
            <v>PK</v>
          </cell>
          <cell r="AA61" t="str">
            <v>Surat Keterangan Kepala Desa</v>
          </cell>
        </row>
        <row r="62">
          <cell r="A62">
            <v>48</v>
          </cell>
          <cell r="E62" t="str">
            <v>°`"</v>
          </cell>
          <cell r="I62" t="str">
            <v>°`"</v>
          </cell>
          <cell r="J62">
            <v>48</v>
          </cell>
          <cell r="K62" t="str">
            <v>MARMIN</v>
          </cell>
          <cell r="L62" t="str">
            <v>3305010906320001</v>
          </cell>
          <cell r="O62">
            <v>2</v>
          </cell>
          <cell r="P62">
            <v>81</v>
          </cell>
          <cell r="S62" t="str">
            <v>DUKUH SIMBEK RT 04/01</v>
          </cell>
          <cell r="T62" t="str">
            <v>TANI</v>
          </cell>
          <cell r="U62">
            <v>300000</v>
          </cell>
          <cell r="Y62">
            <v>35</v>
          </cell>
          <cell r="Z62" t="str">
            <v>PK</v>
          </cell>
          <cell r="AA62" t="str">
            <v>Surat Keterangan Kepala Desa</v>
          </cell>
        </row>
        <row r="63">
          <cell r="A63">
            <v>49</v>
          </cell>
          <cell r="E63" t="str">
            <v>°`"</v>
          </cell>
          <cell r="I63" t="str">
            <v>°`"</v>
          </cell>
          <cell r="J63">
            <v>49</v>
          </cell>
          <cell r="K63" t="str">
            <v>SARJAN  NARUDIN</v>
          </cell>
          <cell r="L63" t="str">
            <v>3305010508680001</v>
          </cell>
          <cell r="O63">
            <v>2</v>
          </cell>
          <cell r="P63">
            <v>46</v>
          </cell>
          <cell r="S63" t="str">
            <v>DUKUH SIMBEK RT 04/01</v>
          </cell>
          <cell r="T63" t="str">
            <v>NELAYAN</v>
          </cell>
          <cell r="U63">
            <v>450000</v>
          </cell>
          <cell r="Y63">
            <v>48</v>
          </cell>
          <cell r="Z63" t="str">
            <v>PK</v>
          </cell>
          <cell r="AA63" t="str">
            <v>Surat Keterangan Kepala Desa</v>
          </cell>
        </row>
        <row r="64">
          <cell r="A64">
            <v>50</v>
          </cell>
          <cell r="E64" t="str">
            <v>°`"</v>
          </cell>
          <cell r="I64" t="str">
            <v>°`"</v>
          </cell>
          <cell r="J64">
            <v>50</v>
          </cell>
          <cell r="K64" t="str">
            <v>TASIMIN</v>
          </cell>
          <cell r="L64" t="str">
            <v>3305013012580007</v>
          </cell>
          <cell r="O64">
            <v>1</v>
          </cell>
          <cell r="P64">
            <v>36</v>
          </cell>
          <cell r="S64" t="str">
            <v>Dusun Sliling RT 05 RW 04</v>
          </cell>
          <cell r="T64" t="str">
            <v>NELAYAN</v>
          </cell>
          <cell r="U64">
            <v>300000</v>
          </cell>
          <cell r="Y64">
            <v>42</v>
          </cell>
          <cell r="Z64" t="str">
            <v>PK</v>
          </cell>
          <cell r="AA64" t="str">
            <v>Surat Keterangan Kepala Desa</v>
          </cell>
        </row>
        <row r="65">
          <cell r="A65">
            <v>51</v>
          </cell>
          <cell r="E65" t="str">
            <v>°`"</v>
          </cell>
          <cell r="I65" t="str">
            <v>°`"</v>
          </cell>
          <cell r="J65">
            <v>51</v>
          </cell>
          <cell r="K65" t="str">
            <v>PASIKEM</v>
          </cell>
          <cell r="L65" t="str">
            <v>3305017001520001</v>
          </cell>
          <cell r="O65">
            <v>1</v>
          </cell>
          <cell r="P65">
            <v>54</v>
          </cell>
          <cell r="S65" t="str">
            <v>DUKUH SIMBEK RT 04/01</v>
          </cell>
          <cell r="T65" t="str">
            <v>PETANI</v>
          </cell>
          <cell r="U65">
            <v>400000</v>
          </cell>
          <cell r="Y65">
            <v>56</v>
          </cell>
          <cell r="Z65" t="str">
            <v>PK</v>
          </cell>
          <cell r="AA65" t="str">
            <v>Surat Keterangan Kepala Desa</v>
          </cell>
        </row>
        <row r="66">
          <cell r="A66">
            <v>52</v>
          </cell>
          <cell r="E66" t="str">
            <v>°`"</v>
          </cell>
          <cell r="I66" t="str">
            <v>°`"</v>
          </cell>
          <cell r="J66">
            <v>52</v>
          </cell>
          <cell r="K66" t="str">
            <v>LASEM</v>
          </cell>
          <cell r="L66" t="str">
            <v>3305010604690001</v>
          </cell>
          <cell r="O66">
            <v>2</v>
          </cell>
          <cell r="P66">
            <v>57</v>
          </cell>
          <cell r="S66" t="str">
            <v>DUKUH SIMBEK RT 04/01</v>
          </cell>
          <cell r="T66" t="str">
            <v>PETANI</v>
          </cell>
          <cell r="U66">
            <v>300000</v>
          </cell>
          <cell r="Y66">
            <v>45</v>
          </cell>
          <cell r="Z66" t="str">
            <v>PK</v>
          </cell>
          <cell r="AA66" t="str">
            <v>Surat Keterangan Kepala Desa</v>
          </cell>
        </row>
        <row r="67">
          <cell r="A67">
            <v>53</v>
          </cell>
          <cell r="E67" t="str">
            <v>°`"</v>
          </cell>
          <cell r="I67" t="str">
            <v>°`"</v>
          </cell>
          <cell r="J67">
            <v>53</v>
          </cell>
          <cell r="K67" t="str">
            <v>MUSHOLIF</v>
          </cell>
          <cell r="L67" t="str">
            <v>3305013004850560</v>
          </cell>
          <cell r="O67">
            <v>2</v>
          </cell>
          <cell r="P67">
            <v>28</v>
          </cell>
          <cell r="S67" t="str">
            <v>DUKUH SIMBEK RT 04/01</v>
          </cell>
          <cell r="T67" t="str">
            <v>PETANI</v>
          </cell>
          <cell r="U67">
            <v>350000</v>
          </cell>
          <cell r="Y67">
            <v>34</v>
          </cell>
          <cell r="Z67" t="str">
            <v>PK</v>
          </cell>
          <cell r="AA67" t="str">
            <v>Surat Keterangan Kepala Desa</v>
          </cell>
        </row>
        <row r="68">
          <cell r="A68">
            <v>54</v>
          </cell>
          <cell r="E68" t="str">
            <v>°`"</v>
          </cell>
          <cell r="I68" t="str">
            <v>°`"</v>
          </cell>
          <cell r="J68">
            <v>54</v>
          </cell>
          <cell r="K68" t="str">
            <v>MAD SIDIK</v>
          </cell>
          <cell r="L68" t="str">
            <v>3305010407450003</v>
          </cell>
          <cell r="O68">
            <v>2</v>
          </cell>
          <cell r="P68">
            <v>57</v>
          </cell>
          <cell r="S68" t="str">
            <v>DUKUH SIMBEK RT 04/01</v>
          </cell>
          <cell r="T68" t="str">
            <v>NELAYAN</v>
          </cell>
          <cell r="U68">
            <v>300000</v>
          </cell>
          <cell r="Y68">
            <v>42</v>
          </cell>
          <cell r="Z68" t="str">
            <v>PK</v>
          </cell>
          <cell r="AA68" t="str">
            <v>Surat Keterangan Kepala Desa</v>
          </cell>
        </row>
        <row r="69">
          <cell r="A69">
            <v>55</v>
          </cell>
          <cell r="E69" t="str">
            <v>°`"</v>
          </cell>
          <cell r="I69" t="str">
            <v>°`"</v>
          </cell>
          <cell r="J69">
            <v>55</v>
          </cell>
          <cell r="K69" t="str">
            <v>SUTARNO</v>
          </cell>
          <cell r="L69" t="str">
            <v>3305010708530001</v>
          </cell>
          <cell r="O69">
            <v>2</v>
          </cell>
          <cell r="P69">
            <v>37</v>
          </cell>
          <cell r="S69" t="str">
            <v>Dusun Karung  RT 04 RW 04</v>
          </cell>
          <cell r="T69" t="str">
            <v>PETANI</v>
          </cell>
          <cell r="U69">
            <v>450000</v>
          </cell>
          <cell r="Y69">
            <v>35</v>
          </cell>
          <cell r="Z69" t="str">
            <v>PK</v>
          </cell>
          <cell r="AA69" t="str">
            <v>Surat Keterangan Kepala Desa</v>
          </cell>
        </row>
        <row r="70">
          <cell r="A70">
            <v>56</v>
          </cell>
          <cell r="E70" t="str">
            <v>°`"</v>
          </cell>
          <cell r="I70" t="str">
            <v>°`"</v>
          </cell>
          <cell r="J70">
            <v>56</v>
          </cell>
          <cell r="K70" t="str">
            <v>WASIMIN</v>
          </cell>
          <cell r="L70" t="str">
            <v>330501050670002</v>
          </cell>
          <cell r="O70">
            <v>2</v>
          </cell>
          <cell r="P70">
            <v>56</v>
          </cell>
          <cell r="S70" t="str">
            <v>DUKUH SIMBEK RT 04/01</v>
          </cell>
          <cell r="T70" t="str">
            <v>PETANI</v>
          </cell>
          <cell r="U70">
            <v>350000</v>
          </cell>
          <cell r="Y70">
            <v>42</v>
          </cell>
          <cell r="Z70" t="str">
            <v>PK</v>
          </cell>
          <cell r="AA70" t="str">
            <v>Surat Keterangan Kepala Desa</v>
          </cell>
        </row>
        <row r="71">
          <cell r="A71">
            <v>57</v>
          </cell>
          <cell r="E71" t="str">
            <v>°`"</v>
          </cell>
          <cell r="I71" t="str">
            <v>°`"</v>
          </cell>
          <cell r="J71">
            <v>57</v>
          </cell>
          <cell r="K71" t="str">
            <v>KODIR</v>
          </cell>
          <cell r="L71" t="str">
            <v>3305010708530004</v>
          </cell>
          <cell r="O71">
            <v>2</v>
          </cell>
          <cell r="P71">
            <v>36</v>
          </cell>
          <cell r="S71" t="str">
            <v>Dusun Penusupan RT 05 RW 02</v>
          </cell>
          <cell r="T71" t="str">
            <v>PETANI</v>
          </cell>
          <cell r="U71">
            <v>300000</v>
          </cell>
          <cell r="Y71">
            <v>56</v>
          </cell>
          <cell r="Z71" t="str">
            <v>PK</v>
          </cell>
          <cell r="AA71" t="str">
            <v>Surat Keterangan Kepala Desa</v>
          </cell>
        </row>
        <row r="72">
          <cell r="A72">
            <v>58</v>
          </cell>
          <cell r="E72" t="str">
            <v>°`"</v>
          </cell>
          <cell r="I72" t="str">
            <v>°`"</v>
          </cell>
          <cell r="J72">
            <v>58</v>
          </cell>
          <cell r="K72" t="str">
            <v>KASIH YUNINGSIH</v>
          </cell>
          <cell r="L72" t="str">
            <v>3305014410730003</v>
          </cell>
          <cell r="O72">
            <v>3</v>
          </cell>
          <cell r="P72">
            <v>30</v>
          </cell>
          <cell r="S72" t="str">
            <v>DUKUH SIMBEK RT 04/01</v>
          </cell>
          <cell r="T72" t="str">
            <v>TANI</v>
          </cell>
          <cell r="U72">
            <v>250000</v>
          </cell>
          <cell r="Y72">
            <v>42</v>
          </cell>
          <cell r="Z72" t="str">
            <v>PK</v>
          </cell>
          <cell r="AA72" t="str">
            <v>Surat Keterangan Kepala Desa</v>
          </cell>
        </row>
        <row r="73">
          <cell r="A73">
            <v>59</v>
          </cell>
          <cell r="E73" t="str">
            <v>°`"</v>
          </cell>
          <cell r="I73" t="str">
            <v>°`"</v>
          </cell>
          <cell r="J73">
            <v>59</v>
          </cell>
          <cell r="K73" t="str">
            <v>SARONI</v>
          </cell>
          <cell r="L73" t="str">
            <v>3305010403670004</v>
          </cell>
          <cell r="O73">
            <v>3</v>
          </cell>
          <cell r="P73">
            <v>45</v>
          </cell>
          <cell r="S73" t="str">
            <v>Dusun Penusupan RT 05 RW 02</v>
          </cell>
          <cell r="T73" t="str">
            <v>NELAYAN</v>
          </cell>
          <cell r="U73">
            <v>450000</v>
          </cell>
          <cell r="Y73">
            <v>54</v>
          </cell>
          <cell r="Z73" t="str">
            <v>PK</v>
          </cell>
          <cell r="AA73" t="str">
            <v>Surat Keterangan Kepala Desa</v>
          </cell>
        </row>
        <row r="74">
          <cell r="A74">
            <v>60</v>
          </cell>
          <cell r="E74" t="str">
            <v>°`"</v>
          </cell>
          <cell r="I74" t="str">
            <v>°`"</v>
          </cell>
          <cell r="J74">
            <v>60</v>
          </cell>
          <cell r="K74" t="str">
            <v>NYAKUN</v>
          </cell>
          <cell r="L74" t="str">
            <v>3305010506400003</v>
          </cell>
          <cell r="O74">
            <v>2</v>
          </cell>
          <cell r="P74">
            <v>79</v>
          </cell>
          <cell r="S74" t="str">
            <v>Dusun Jemenar RT 01 RW 05</v>
          </cell>
          <cell r="T74" t="str">
            <v>PETANI</v>
          </cell>
          <cell r="U74">
            <v>300000</v>
          </cell>
          <cell r="Y74">
            <v>42</v>
          </cell>
          <cell r="Z74" t="str">
            <v>PK</v>
          </cell>
          <cell r="AA74" t="str">
            <v>Surat Keterangan Kepala Desa</v>
          </cell>
        </row>
        <row r="75">
          <cell r="A75">
            <v>61</v>
          </cell>
          <cell r="E75" t="str">
            <v>°`"</v>
          </cell>
          <cell r="I75" t="str">
            <v>°`"</v>
          </cell>
          <cell r="J75">
            <v>61</v>
          </cell>
          <cell r="K75" t="str">
            <v>ANI SUPARNI</v>
          </cell>
          <cell r="L75" t="str">
            <v>3305016502300006</v>
          </cell>
          <cell r="O75">
            <v>3</v>
          </cell>
          <cell r="P75">
            <v>35</v>
          </cell>
          <cell r="S75" t="str">
            <v>Dusun Jemenar RT 01 RW 05</v>
          </cell>
          <cell r="T75" t="str">
            <v>PETANI</v>
          </cell>
          <cell r="U75">
            <v>250000</v>
          </cell>
          <cell r="Y75">
            <v>48</v>
          </cell>
          <cell r="Z75" t="str">
            <v>PK</v>
          </cell>
          <cell r="AA75" t="str">
            <v>Surat Keterangan Kepala Desa</v>
          </cell>
        </row>
        <row r="76">
          <cell r="A76">
            <v>62</v>
          </cell>
          <cell r="E76" t="str">
            <v>°`"</v>
          </cell>
          <cell r="I76" t="str">
            <v>°`"</v>
          </cell>
          <cell r="J76">
            <v>62</v>
          </cell>
          <cell r="K76" t="str">
            <v>KASRAN</v>
          </cell>
          <cell r="L76" t="str">
            <v>3305011604760001</v>
          </cell>
          <cell r="O76">
            <v>3</v>
          </cell>
          <cell r="P76">
            <v>41</v>
          </cell>
          <cell r="S76" t="str">
            <v>Dusun Jemenar RT 01 RW 05</v>
          </cell>
          <cell r="T76" t="str">
            <v>PETANI</v>
          </cell>
          <cell r="U76">
            <v>400000</v>
          </cell>
          <cell r="Y76">
            <v>54</v>
          </cell>
          <cell r="Z76" t="str">
            <v>PK</v>
          </cell>
          <cell r="AA76" t="str">
            <v>Surat Keterangan Kepala Desa</v>
          </cell>
        </row>
        <row r="77">
          <cell r="A77">
            <v>63</v>
          </cell>
          <cell r="E77" t="str">
            <v>°`"</v>
          </cell>
          <cell r="I77" t="str">
            <v>°`"</v>
          </cell>
          <cell r="J77">
            <v>63</v>
          </cell>
          <cell r="K77" t="str">
            <v>SARJONO</v>
          </cell>
          <cell r="L77" t="str">
            <v>3305011306650002</v>
          </cell>
          <cell r="O77">
            <v>3</v>
          </cell>
          <cell r="P77">
            <v>40</v>
          </cell>
          <cell r="S77" t="str">
            <v>Dusun Jemenar RT 01 RW 05</v>
          </cell>
          <cell r="T77" t="str">
            <v>PETANI</v>
          </cell>
          <cell r="U77">
            <v>400000</v>
          </cell>
          <cell r="Y77">
            <v>42</v>
          </cell>
          <cell r="Z77" t="str">
            <v>PK</v>
          </cell>
          <cell r="AA77" t="str">
            <v>Surat Keterangan Kepala Desa</v>
          </cell>
        </row>
        <row r="78">
          <cell r="A78">
            <v>64</v>
          </cell>
          <cell r="E78" t="str">
            <v>°`"</v>
          </cell>
          <cell r="I78" t="str">
            <v>°`"</v>
          </cell>
          <cell r="J78">
            <v>64</v>
          </cell>
          <cell r="K78" t="str">
            <v>KASIRUN</v>
          </cell>
          <cell r="L78" t="str">
            <v>3305010407620006</v>
          </cell>
          <cell r="O78">
            <v>3</v>
          </cell>
          <cell r="P78">
            <v>37</v>
          </cell>
          <cell r="S78" t="str">
            <v>Dusun Simbek RT 03 RW 01</v>
          </cell>
          <cell r="T78" t="str">
            <v>PETANI</v>
          </cell>
          <cell r="U78">
            <v>400000</v>
          </cell>
          <cell r="Y78">
            <v>54</v>
          </cell>
          <cell r="Z78" t="str">
            <v>PK</v>
          </cell>
          <cell r="AA78" t="str">
            <v>Surat Keterangan Kepala Desa</v>
          </cell>
        </row>
        <row r="79">
          <cell r="A79">
            <v>65</v>
          </cell>
          <cell r="E79" t="str">
            <v>°`"</v>
          </cell>
          <cell r="I79" t="str">
            <v>°`"</v>
          </cell>
          <cell r="J79">
            <v>65</v>
          </cell>
          <cell r="K79" t="str">
            <v>SUPRIYANTO</v>
          </cell>
          <cell r="L79" t="str">
            <v>3305012003790002</v>
          </cell>
          <cell r="O79">
            <v>3</v>
          </cell>
          <cell r="P79">
            <v>35</v>
          </cell>
          <cell r="S79" t="str">
            <v>Dusun Jemenar RT 01 RW 05</v>
          </cell>
          <cell r="T79" t="str">
            <v>PETANI</v>
          </cell>
          <cell r="U79">
            <v>400000</v>
          </cell>
          <cell r="Y79">
            <v>42</v>
          </cell>
          <cell r="Z79" t="str">
            <v>PK</v>
          </cell>
          <cell r="AA79" t="str">
            <v>Surat Keterangan Kepala Desa</v>
          </cell>
        </row>
        <row r="80">
          <cell r="A80">
            <v>66</v>
          </cell>
          <cell r="E80" t="str">
            <v>°`"</v>
          </cell>
          <cell r="I80" t="str">
            <v>°`"</v>
          </cell>
          <cell r="J80">
            <v>66</v>
          </cell>
          <cell r="K80" t="str">
            <v>JEMI</v>
          </cell>
          <cell r="L80" t="str">
            <v>3305016109800004</v>
          </cell>
          <cell r="O80">
            <v>1</v>
          </cell>
          <cell r="P80">
            <v>65</v>
          </cell>
          <cell r="S80" t="str">
            <v>DUKUH  SIMBEK  RT 01/01</v>
          </cell>
          <cell r="T80" t="str">
            <v>PETANI</v>
          </cell>
          <cell r="U80">
            <v>300000</v>
          </cell>
          <cell r="Y80">
            <v>42</v>
          </cell>
          <cell r="Z80" t="str">
            <v>PK</v>
          </cell>
          <cell r="AA80" t="str">
            <v>Surat Keterangan Kepala Desa</v>
          </cell>
        </row>
        <row r="81">
          <cell r="A81">
            <v>67</v>
          </cell>
          <cell r="E81" t="str">
            <v>°`"</v>
          </cell>
          <cell r="I81" t="str">
            <v>°`"</v>
          </cell>
          <cell r="J81">
            <v>67</v>
          </cell>
          <cell r="K81" t="str">
            <v>KALIMAH</v>
          </cell>
          <cell r="L81" t="str">
            <v>3305012709780003</v>
          </cell>
          <cell r="O81">
            <v>1</v>
          </cell>
          <cell r="P81">
            <v>55</v>
          </cell>
          <cell r="S81" t="str">
            <v>DUKUH  SIMBEK  RT 01/01</v>
          </cell>
          <cell r="T81" t="str">
            <v>PETANI</v>
          </cell>
          <cell r="U81">
            <v>250000</v>
          </cell>
          <cell r="Y81">
            <v>42</v>
          </cell>
          <cell r="Z81" t="str">
            <v>PK</v>
          </cell>
          <cell r="AA81" t="str">
            <v>Surat Keterangan Kepala Desa</v>
          </cell>
        </row>
        <row r="82">
          <cell r="A82">
            <v>68</v>
          </cell>
          <cell r="E82" t="str">
            <v>°`"</v>
          </cell>
          <cell r="I82" t="str">
            <v>°`"</v>
          </cell>
          <cell r="J82">
            <v>68</v>
          </cell>
          <cell r="K82" t="str">
            <v>KASIKIN</v>
          </cell>
          <cell r="L82" t="str">
            <v>3305010507710006</v>
          </cell>
          <cell r="O82">
            <v>2</v>
          </cell>
          <cell r="P82">
            <v>42</v>
          </cell>
          <cell r="S82" t="str">
            <v>DUKUH  SIMBEK  RT 01/01</v>
          </cell>
          <cell r="T82" t="str">
            <v>NELAYAN</v>
          </cell>
          <cell r="U82">
            <v>350000</v>
          </cell>
          <cell r="Y82">
            <v>56</v>
          </cell>
          <cell r="Z82" t="str">
            <v>PK</v>
          </cell>
          <cell r="AA82" t="str">
            <v>Surat Keterangan Kepala Desa</v>
          </cell>
        </row>
        <row r="83">
          <cell r="A83">
            <v>69</v>
          </cell>
          <cell r="E83" t="str">
            <v>°`"</v>
          </cell>
          <cell r="I83" t="str">
            <v>°`"</v>
          </cell>
          <cell r="J83">
            <v>69</v>
          </cell>
          <cell r="K83" t="str">
            <v>SUKANTO</v>
          </cell>
          <cell r="L83" t="str">
            <v>3305011304840005</v>
          </cell>
          <cell r="O83">
            <v>2</v>
          </cell>
          <cell r="P83">
            <v>29</v>
          </cell>
          <cell r="S83" t="str">
            <v>DUKUH  SIMBEK  RT 01/01</v>
          </cell>
          <cell r="T83" t="str">
            <v>WIRASWASTA</v>
          </cell>
          <cell r="U83">
            <v>300000</v>
          </cell>
          <cell r="Y83">
            <v>48</v>
          </cell>
          <cell r="Z83" t="str">
            <v>PK</v>
          </cell>
          <cell r="AA83" t="str">
            <v>Surat Keterangan Kepala Desa</v>
          </cell>
        </row>
        <row r="84">
          <cell r="A84">
            <v>70</v>
          </cell>
          <cell r="E84" t="str">
            <v>°`"</v>
          </cell>
          <cell r="I84" t="str">
            <v>°`"</v>
          </cell>
          <cell r="J84">
            <v>70</v>
          </cell>
          <cell r="K84" t="str">
            <v>WASIKIN</v>
          </cell>
          <cell r="L84" t="str">
            <v>3305010406720001</v>
          </cell>
          <cell r="O84">
            <v>3</v>
          </cell>
          <cell r="P84">
            <v>41</v>
          </cell>
          <cell r="S84" t="str">
            <v>DUKUH  SIMBEK  RT 01/01</v>
          </cell>
          <cell r="T84" t="str">
            <v>WIRASWASTA</v>
          </cell>
          <cell r="U84">
            <v>350000</v>
          </cell>
          <cell r="Y84">
            <v>42</v>
          </cell>
          <cell r="Z84" t="str">
            <v>PK</v>
          </cell>
          <cell r="AA84" t="str">
            <v>Surat Keterangan Kepala Desa</v>
          </cell>
        </row>
        <row r="85">
          <cell r="A85">
            <v>71</v>
          </cell>
          <cell r="E85" t="str">
            <v>°`"</v>
          </cell>
          <cell r="I85" t="str">
            <v>°`"</v>
          </cell>
          <cell r="J85">
            <v>71</v>
          </cell>
          <cell r="K85" t="str">
            <v>SUTARYO</v>
          </cell>
          <cell r="L85" t="str">
            <v>3305011304770001</v>
          </cell>
          <cell r="O85">
            <v>2</v>
          </cell>
          <cell r="P85">
            <v>36</v>
          </cell>
          <cell r="S85" t="str">
            <v>DUKUH  SIMBEK  RT 01/01</v>
          </cell>
          <cell r="T85" t="str">
            <v>PETANI/PEKEBUN</v>
          </cell>
          <cell r="U85">
            <v>350000</v>
          </cell>
          <cell r="Y85">
            <v>48</v>
          </cell>
          <cell r="Z85" t="str">
            <v>PK</v>
          </cell>
          <cell r="AA85" t="str">
            <v>Surat Keterangan Kepala Desa</v>
          </cell>
        </row>
        <row r="86">
          <cell r="A86">
            <v>72</v>
          </cell>
          <cell r="E86" t="str">
            <v>°`"</v>
          </cell>
          <cell r="I86" t="str">
            <v>°`"</v>
          </cell>
          <cell r="J86">
            <v>72</v>
          </cell>
          <cell r="K86" t="str">
            <v>RIO RIANTO</v>
          </cell>
          <cell r="L86" t="str">
            <v>3305012404700002</v>
          </cell>
          <cell r="O86">
            <v>3</v>
          </cell>
          <cell r="P86">
            <v>43</v>
          </cell>
          <cell r="S86" t="str">
            <v>DUKUH  SIMBEK  RT 01/01</v>
          </cell>
          <cell r="T86" t="str">
            <v>NELAYAN</v>
          </cell>
          <cell r="U86">
            <v>400000</v>
          </cell>
          <cell r="Y86">
            <v>56</v>
          </cell>
          <cell r="Z86" t="str">
            <v>PK</v>
          </cell>
          <cell r="AA86" t="str">
            <v>Surat Keterangan Kepala Desa</v>
          </cell>
        </row>
        <row r="87">
          <cell r="A87">
            <v>73</v>
          </cell>
          <cell r="E87" t="str">
            <v>°`"</v>
          </cell>
          <cell r="I87" t="str">
            <v>°`"</v>
          </cell>
          <cell r="J87">
            <v>73</v>
          </cell>
          <cell r="K87" t="str">
            <v>SATIMAN</v>
          </cell>
          <cell r="L87" t="str">
            <v>3305010803520002</v>
          </cell>
          <cell r="O87">
            <v>3</v>
          </cell>
          <cell r="P87">
            <v>41</v>
          </cell>
          <cell r="S87" t="str">
            <v>DUKUH  SIMBEK  RT 01/01</v>
          </cell>
          <cell r="T87" t="str">
            <v>PETANI/PEKEBUN</v>
          </cell>
          <cell r="U87">
            <v>320000</v>
          </cell>
          <cell r="Y87">
            <v>42</v>
          </cell>
          <cell r="Z87" t="str">
            <v>PK</v>
          </cell>
          <cell r="AA87" t="str">
            <v>Surat Keterangan Kepala Desa</v>
          </cell>
        </row>
        <row r="88">
          <cell r="A88">
            <v>74</v>
          </cell>
          <cell r="E88" t="str">
            <v>°`"</v>
          </cell>
          <cell r="I88" t="str">
            <v>°`"</v>
          </cell>
          <cell r="J88">
            <v>74</v>
          </cell>
          <cell r="K88" t="str">
            <v>MUHRODIN</v>
          </cell>
          <cell r="L88" t="str">
            <v>3305011004710006</v>
          </cell>
          <cell r="O88" t="str">
            <v>3</v>
          </cell>
          <cell r="P88">
            <v>42</v>
          </cell>
          <cell r="S88" t="str">
            <v>Dusun Kalimanggar RT 01 RW 03</v>
          </cell>
          <cell r="T88" t="str">
            <v>PETANI</v>
          </cell>
          <cell r="U88">
            <v>350000</v>
          </cell>
          <cell r="Y88" t="str">
            <v>42</v>
          </cell>
          <cell r="Z88" t="str">
            <v>PK</v>
          </cell>
          <cell r="AA88" t="str">
            <v>Surat Keterangan Kepala Desa</v>
          </cell>
        </row>
        <row r="89">
          <cell r="A89">
            <v>75</v>
          </cell>
          <cell r="E89" t="str">
            <v>°`"</v>
          </cell>
          <cell r="I89" t="str">
            <v>°`"</v>
          </cell>
          <cell r="J89">
            <v>75</v>
          </cell>
          <cell r="K89" t="str">
            <v>LUSINAH</v>
          </cell>
          <cell r="L89" t="str">
            <v>3305013112580016</v>
          </cell>
          <cell r="O89">
            <v>3</v>
          </cell>
          <cell r="P89">
            <v>39</v>
          </cell>
          <cell r="S89" t="str">
            <v>Dusun Pecuren RT 01 TW 03</v>
          </cell>
          <cell r="T89" t="str">
            <v>PETANI</v>
          </cell>
          <cell r="U89">
            <v>400000</v>
          </cell>
          <cell r="Y89" t="str">
            <v>56</v>
          </cell>
          <cell r="Z89" t="str">
            <v>PK</v>
          </cell>
          <cell r="AA89" t="str">
            <v>Surat Keterangan Kepala Desa</v>
          </cell>
        </row>
        <row r="90">
          <cell r="A90">
            <v>76</v>
          </cell>
          <cell r="E90" t="str">
            <v>°`"</v>
          </cell>
          <cell r="I90" t="str">
            <v>°`"</v>
          </cell>
          <cell r="J90">
            <v>76</v>
          </cell>
          <cell r="K90" t="str">
            <v>SATINAH</v>
          </cell>
          <cell r="L90" t="str">
            <v>3305014111550001</v>
          </cell>
          <cell r="O90" t="str">
            <v>2</v>
          </cell>
          <cell r="P90">
            <v>58</v>
          </cell>
          <cell r="S90" t="str">
            <v>Dusun Pecuren RT 01 RW 03</v>
          </cell>
          <cell r="T90" t="str">
            <v>PETANI</v>
          </cell>
          <cell r="U90">
            <v>360000</v>
          </cell>
          <cell r="Y90" t="str">
            <v>36</v>
          </cell>
          <cell r="Z90" t="str">
            <v>PK</v>
          </cell>
          <cell r="AA90" t="str">
            <v>Surat Keterangan Kepala Desa</v>
          </cell>
        </row>
        <row r="91">
          <cell r="A91">
            <v>77</v>
          </cell>
          <cell r="E91" t="str">
            <v>°`"</v>
          </cell>
          <cell r="I91" t="str">
            <v>°`"</v>
          </cell>
          <cell r="J91">
            <v>77</v>
          </cell>
          <cell r="K91" t="str">
            <v>MAD KARSO</v>
          </cell>
          <cell r="L91" t="str">
            <v>3305012105560001</v>
          </cell>
          <cell r="O91" t="str">
            <v>2</v>
          </cell>
          <cell r="P91">
            <v>57</v>
          </cell>
          <cell r="S91" t="str">
            <v xml:space="preserve">Dusun Pecuren RT 01 RW 03 </v>
          </cell>
          <cell r="T91" t="str">
            <v>PETANI</v>
          </cell>
          <cell r="U91">
            <v>450000</v>
          </cell>
          <cell r="Y91" t="str">
            <v>42</v>
          </cell>
          <cell r="Z91" t="str">
            <v>PK</v>
          </cell>
          <cell r="AA91" t="str">
            <v>Surat Keterangan Kepala Desa</v>
          </cell>
        </row>
        <row r="92">
          <cell r="A92">
            <v>78</v>
          </cell>
          <cell r="E92" t="str">
            <v>°`"</v>
          </cell>
          <cell r="I92" t="str">
            <v>°`"</v>
          </cell>
          <cell r="J92">
            <v>78</v>
          </cell>
          <cell r="K92" t="str">
            <v>ROSIDIN</v>
          </cell>
          <cell r="L92" t="str">
            <v>3305011206870007</v>
          </cell>
          <cell r="O92" t="str">
            <v>2</v>
          </cell>
          <cell r="P92">
            <v>26</v>
          </cell>
          <cell r="S92" t="str">
            <v>Dusun Pecuren RT 01 RW 03</v>
          </cell>
          <cell r="T92" t="str">
            <v>NELAYAN</v>
          </cell>
          <cell r="U92">
            <v>400000</v>
          </cell>
          <cell r="Y92" t="str">
            <v>36</v>
          </cell>
          <cell r="Z92" t="str">
            <v>PK</v>
          </cell>
          <cell r="AA92" t="str">
            <v>Surat Keterangan Kepala Desa</v>
          </cell>
        </row>
        <row r="93">
          <cell r="A93">
            <v>79</v>
          </cell>
          <cell r="E93" t="str">
            <v>°`"</v>
          </cell>
          <cell r="I93" t="str">
            <v>°`"</v>
          </cell>
          <cell r="J93">
            <v>79</v>
          </cell>
          <cell r="K93" t="str">
            <v>SANEN</v>
          </cell>
          <cell r="L93" t="str">
            <v>3305010207530001</v>
          </cell>
          <cell r="O93" t="str">
            <v>6</v>
          </cell>
          <cell r="P93">
            <v>60</v>
          </cell>
          <cell r="S93" t="str">
            <v>Dusun Pecuren RT 01 RW 03</v>
          </cell>
          <cell r="T93" t="str">
            <v>NELAYAN</v>
          </cell>
          <cell r="U93">
            <v>450000</v>
          </cell>
          <cell r="Y93" t="str">
            <v>42</v>
          </cell>
          <cell r="Z93" t="str">
            <v>PK</v>
          </cell>
          <cell r="AA93" t="str">
            <v>Surat Keterangan Kepala Desa</v>
          </cell>
        </row>
        <row r="94">
          <cell r="A94">
            <v>80</v>
          </cell>
          <cell r="E94" t="str">
            <v>°`"</v>
          </cell>
          <cell r="I94" t="str">
            <v>°`"</v>
          </cell>
          <cell r="J94">
            <v>80</v>
          </cell>
          <cell r="K94" t="str">
            <v>SARIJEM</v>
          </cell>
          <cell r="L94" t="str">
            <v>3305016404350001</v>
          </cell>
          <cell r="O94" t="str">
            <v>4</v>
          </cell>
          <cell r="P94">
            <v>78</v>
          </cell>
          <cell r="S94" t="str">
            <v>Dusun Pecuren RT 01 RW 03</v>
          </cell>
          <cell r="T94" t="str">
            <v>PETANI</v>
          </cell>
          <cell r="U94">
            <v>300000</v>
          </cell>
          <cell r="Y94" t="str">
            <v>36</v>
          </cell>
          <cell r="Z94" t="str">
            <v>PK</v>
          </cell>
          <cell r="AA94" t="str">
            <v>Surat Keterangan Kepala Desa</v>
          </cell>
        </row>
        <row r="95">
          <cell r="A95">
            <v>81</v>
          </cell>
          <cell r="E95" t="str">
            <v>°`"</v>
          </cell>
          <cell r="I95" t="str">
            <v>°`"</v>
          </cell>
          <cell r="J95">
            <v>81</v>
          </cell>
          <cell r="K95" t="str">
            <v>SAIMUN</v>
          </cell>
          <cell r="L95" t="str">
            <v>3305010407650004</v>
          </cell>
          <cell r="O95">
            <v>3</v>
          </cell>
          <cell r="P95">
            <v>48</v>
          </cell>
          <cell r="S95" t="str">
            <v>Dusun Pecuren RT 01 RW 03</v>
          </cell>
          <cell r="T95" t="str">
            <v>PETANI</v>
          </cell>
          <cell r="U95">
            <v>450000</v>
          </cell>
          <cell r="Y95" t="str">
            <v>42</v>
          </cell>
          <cell r="Z95" t="str">
            <v>PK</v>
          </cell>
          <cell r="AA95" t="str">
            <v>Surat Keterangan Kepala Desa</v>
          </cell>
        </row>
        <row r="96">
          <cell r="A96">
            <v>82</v>
          </cell>
          <cell r="E96" t="str">
            <v>°`"</v>
          </cell>
          <cell r="I96" t="str">
            <v>°`"</v>
          </cell>
          <cell r="J96">
            <v>82</v>
          </cell>
          <cell r="K96" t="str">
            <v>KASIMIN</v>
          </cell>
          <cell r="L96" t="str">
            <v>3305012802810004</v>
          </cell>
          <cell r="O96" t="str">
            <v>3</v>
          </cell>
          <cell r="P96">
            <v>32</v>
          </cell>
          <cell r="S96" t="str">
            <v>Dukuh Kalimanggar RT 01 RW 03</v>
          </cell>
          <cell r="T96" t="str">
            <v>PETANI</v>
          </cell>
          <cell r="U96">
            <v>450000</v>
          </cell>
          <cell r="Y96" t="str">
            <v>36</v>
          </cell>
          <cell r="Z96" t="str">
            <v>PK</v>
          </cell>
          <cell r="AA96" t="str">
            <v>Surat Keterangan Kepala Desa</v>
          </cell>
        </row>
        <row r="97">
          <cell r="A97">
            <v>83</v>
          </cell>
          <cell r="E97" t="str">
            <v>°`"</v>
          </cell>
          <cell r="I97" t="str">
            <v>°`"</v>
          </cell>
          <cell r="J97">
            <v>83</v>
          </cell>
          <cell r="K97" t="str">
            <v>KATIM</v>
          </cell>
          <cell r="L97" t="str">
            <v>3305010702620005</v>
          </cell>
          <cell r="O97" t="str">
            <v>3</v>
          </cell>
          <cell r="P97">
            <v>51</v>
          </cell>
          <cell r="S97" t="str">
            <v>Dukuh Pecuren RT 01 RW 03</v>
          </cell>
          <cell r="T97" t="str">
            <v xml:space="preserve">PETANI </v>
          </cell>
          <cell r="U97">
            <v>400000</v>
          </cell>
          <cell r="Y97" t="str">
            <v>42</v>
          </cell>
          <cell r="Z97" t="str">
            <v>PK</v>
          </cell>
          <cell r="AA97" t="str">
            <v>Surat Keterangan Kepala Desa</v>
          </cell>
        </row>
        <row r="98">
          <cell r="A98">
            <v>84</v>
          </cell>
          <cell r="E98" t="str">
            <v>°`"</v>
          </cell>
          <cell r="I98" t="str">
            <v>°`"</v>
          </cell>
          <cell r="J98">
            <v>84</v>
          </cell>
          <cell r="K98" t="str">
            <v>TURIMIN</v>
          </cell>
          <cell r="L98" t="str">
            <v>3305010104810006</v>
          </cell>
          <cell r="O98" t="str">
            <v>4</v>
          </cell>
          <cell r="P98">
            <v>32</v>
          </cell>
          <cell r="S98" t="str">
            <v>Dusun Pecuren RT 01 RW 03</v>
          </cell>
          <cell r="T98" t="str">
            <v>PETANI</v>
          </cell>
          <cell r="U98">
            <v>400000</v>
          </cell>
          <cell r="Y98" t="str">
            <v>46</v>
          </cell>
          <cell r="Z98" t="str">
            <v>PK</v>
          </cell>
          <cell r="AA98" t="str">
            <v>Surat Keterangan Kepala Desa</v>
          </cell>
        </row>
        <row r="99">
          <cell r="A99">
            <v>85</v>
          </cell>
          <cell r="E99" t="str">
            <v>°`"</v>
          </cell>
          <cell r="I99" t="str">
            <v>°`"</v>
          </cell>
          <cell r="J99">
            <v>85</v>
          </cell>
          <cell r="K99" t="str">
            <v>KHASAN MAKHALI</v>
          </cell>
          <cell r="L99" t="str">
            <v>3305011203680003</v>
          </cell>
          <cell r="O99" t="str">
            <v>3</v>
          </cell>
          <cell r="P99">
            <v>45</v>
          </cell>
          <cell r="S99" t="str">
            <v>Dusun Tembelang RT 02 RW 03</v>
          </cell>
          <cell r="T99" t="str">
            <v>PETANI</v>
          </cell>
          <cell r="U99">
            <v>400000</v>
          </cell>
          <cell r="Y99" t="str">
            <v>42</v>
          </cell>
          <cell r="Z99" t="str">
            <v>PK</v>
          </cell>
          <cell r="AA99" t="str">
            <v>Surat Keterangan Kepala Desa</v>
          </cell>
        </row>
        <row r="100">
          <cell r="A100">
            <v>86</v>
          </cell>
          <cell r="E100" t="str">
            <v>°`"</v>
          </cell>
          <cell r="I100" t="str">
            <v>°`"</v>
          </cell>
          <cell r="J100">
            <v>86</v>
          </cell>
          <cell r="K100" t="str">
            <v>SATIYEM</v>
          </cell>
          <cell r="L100" t="str">
            <v>3305015407610001</v>
          </cell>
          <cell r="O100">
            <v>0</v>
          </cell>
          <cell r="P100">
            <v>52</v>
          </cell>
          <cell r="S100" t="str">
            <v>Dusun Tembelang RT 02 RW 03</v>
          </cell>
          <cell r="T100" t="str">
            <v>PETANI</v>
          </cell>
          <cell r="U100">
            <v>300000</v>
          </cell>
          <cell r="Y100" t="str">
            <v>36</v>
          </cell>
          <cell r="Z100" t="str">
            <v>PK</v>
          </cell>
          <cell r="AA100" t="str">
            <v>Surat Keterangan Kepala Desa</v>
          </cell>
        </row>
        <row r="101">
          <cell r="A101">
            <v>87</v>
          </cell>
          <cell r="E101" t="str">
            <v>°`"</v>
          </cell>
          <cell r="I101" t="str">
            <v>°`"</v>
          </cell>
          <cell r="J101">
            <v>87</v>
          </cell>
          <cell r="K101" t="str">
            <v>SUKINI</v>
          </cell>
          <cell r="L101" t="str">
            <v>3305014311730002</v>
          </cell>
          <cell r="O101" t="str">
            <v>2</v>
          </cell>
          <cell r="P101">
            <v>40</v>
          </cell>
          <cell r="S101" t="str">
            <v>Dusun Tembelang RT 02 RW 03</v>
          </cell>
          <cell r="T101" t="str">
            <v>PETANI</v>
          </cell>
          <cell r="U101">
            <v>350000</v>
          </cell>
          <cell r="Y101" t="str">
            <v>42</v>
          </cell>
          <cell r="Z101" t="str">
            <v>PK</v>
          </cell>
          <cell r="AA101" t="str">
            <v>Surat Keterangan Kepala Desa</v>
          </cell>
        </row>
        <row r="102">
          <cell r="A102">
            <v>88</v>
          </cell>
          <cell r="E102" t="str">
            <v>°`"</v>
          </cell>
          <cell r="I102" t="str">
            <v>°`"</v>
          </cell>
          <cell r="J102">
            <v>88</v>
          </cell>
          <cell r="K102" t="str">
            <v>PAYEM</v>
          </cell>
          <cell r="L102" t="str">
            <v>3305015200650005</v>
          </cell>
          <cell r="O102" t="str">
            <v>2</v>
          </cell>
          <cell r="P102">
            <v>48</v>
          </cell>
          <cell r="S102" t="str">
            <v>Dusun Tembelang RT 02 RW 03</v>
          </cell>
          <cell r="T102" t="str">
            <v>PETANI</v>
          </cell>
          <cell r="U102">
            <v>350000</v>
          </cell>
          <cell r="Y102" t="str">
            <v>36</v>
          </cell>
          <cell r="Z102" t="str">
            <v>PK</v>
          </cell>
          <cell r="AA102" t="str">
            <v>Surat Keterangan Kepala Desa</v>
          </cell>
        </row>
        <row r="103">
          <cell r="A103">
            <v>89</v>
          </cell>
          <cell r="E103" t="str">
            <v>°`"</v>
          </cell>
          <cell r="I103" t="str">
            <v>°`"</v>
          </cell>
          <cell r="J103">
            <v>89</v>
          </cell>
          <cell r="K103" t="str">
            <v>SARIMAN</v>
          </cell>
          <cell r="L103" t="str">
            <v>3305010409550001</v>
          </cell>
          <cell r="O103" t="str">
            <v>5</v>
          </cell>
          <cell r="P103">
            <v>58</v>
          </cell>
          <cell r="S103" t="str">
            <v>Dusun Tembelang RT 02 RW 03</v>
          </cell>
          <cell r="T103" t="str">
            <v>PETANI</v>
          </cell>
          <cell r="U103">
            <v>450000</v>
          </cell>
          <cell r="Y103" t="str">
            <v>46</v>
          </cell>
          <cell r="Z103" t="str">
            <v>PK</v>
          </cell>
          <cell r="AA103" t="str">
            <v>Surat Keterangan Kepala Desa</v>
          </cell>
        </row>
        <row r="104">
          <cell r="A104">
            <v>90</v>
          </cell>
          <cell r="E104" t="str">
            <v>°`"</v>
          </cell>
          <cell r="I104" t="str">
            <v>°`"</v>
          </cell>
          <cell r="J104">
            <v>90</v>
          </cell>
          <cell r="K104" t="str">
            <v>SOLIHUN</v>
          </cell>
          <cell r="L104" t="str">
            <v>3305010306850002</v>
          </cell>
          <cell r="O104" t="str">
            <v>2</v>
          </cell>
          <cell r="P104">
            <v>28</v>
          </cell>
          <cell r="S104" t="str">
            <v>Dusun Tembelang RT 02 RW 03</v>
          </cell>
          <cell r="T104" t="str">
            <v>WIRASWASTA</v>
          </cell>
          <cell r="U104">
            <v>400000</v>
          </cell>
          <cell r="Y104" t="str">
            <v>32</v>
          </cell>
          <cell r="Z104" t="str">
            <v>PK</v>
          </cell>
          <cell r="AA104" t="str">
            <v>Surat Keterangan Kepala Desa</v>
          </cell>
        </row>
        <row r="105">
          <cell r="A105">
            <v>91</v>
          </cell>
          <cell r="E105" t="str">
            <v>°`"</v>
          </cell>
          <cell r="I105" t="str">
            <v>°`"</v>
          </cell>
          <cell r="J105">
            <v>91</v>
          </cell>
          <cell r="K105" t="str">
            <v>SAWIYAH</v>
          </cell>
          <cell r="L105" t="str">
            <v>3305014407620006</v>
          </cell>
          <cell r="O105" t="str">
            <v>4</v>
          </cell>
          <cell r="P105">
            <v>51</v>
          </cell>
          <cell r="S105" t="str">
            <v>Dusun Tembelang RT 03 RW 03</v>
          </cell>
          <cell r="T105" t="str">
            <v>PETANI</v>
          </cell>
          <cell r="U105">
            <v>300000</v>
          </cell>
          <cell r="Y105" t="str">
            <v>36</v>
          </cell>
          <cell r="Z105" t="str">
            <v>PK</v>
          </cell>
          <cell r="AA105" t="str">
            <v>Surat Keterangan Kepala Desa</v>
          </cell>
        </row>
        <row r="106">
          <cell r="A106">
            <v>92</v>
          </cell>
          <cell r="E106" t="str">
            <v>°`"</v>
          </cell>
          <cell r="I106" t="str">
            <v>°`"</v>
          </cell>
          <cell r="J106">
            <v>92</v>
          </cell>
          <cell r="K106" t="str">
            <v>SAIFUL WARIS</v>
          </cell>
          <cell r="L106" t="str">
            <v>3305011409670001</v>
          </cell>
          <cell r="O106">
            <v>3</v>
          </cell>
          <cell r="P106">
            <v>46</v>
          </cell>
          <cell r="S106" t="str">
            <v>Dusun Tembelang RT 03 RW 03</v>
          </cell>
          <cell r="T106" t="str">
            <v>PETANI</v>
          </cell>
          <cell r="U106">
            <v>400000</v>
          </cell>
          <cell r="Y106" t="str">
            <v>42</v>
          </cell>
          <cell r="Z106" t="str">
            <v>PK</v>
          </cell>
          <cell r="AA106" t="str">
            <v>Surat Keterangan Kepala Desa</v>
          </cell>
        </row>
        <row r="107">
          <cell r="A107">
            <v>93</v>
          </cell>
          <cell r="J107">
            <v>93</v>
          </cell>
          <cell r="K107" t="str">
            <v>TASIKEM</v>
          </cell>
          <cell r="L107" t="str">
            <v>3305015006360001</v>
          </cell>
          <cell r="O107" t="str">
            <v>1</v>
          </cell>
          <cell r="P107">
            <v>53</v>
          </cell>
          <cell r="S107" t="str">
            <v>Dusun Tembelang RT 03 RW 03</v>
          </cell>
          <cell r="T107" t="str">
            <v>PETANI</v>
          </cell>
          <cell r="U107">
            <v>260000</v>
          </cell>
          <cell r="Y107" t="str">
            <v>36</v>
          </cell>
          <cell r="Z107" t="str">
            <v>PK</v>
          </cell>
          <cell r="AA107" t="str">
            <v>Surat Keterangan Kepala Desa</v>
          </cell>
        </row>
        <row r="108">
          <cell r="A108">
            <v>94</v>
          </cell>
          <cell r="J108">
            <v>94</v>
          </cell>
          <cell r="K108" t="str">
            <v>SAMIRUN</v>
          </cell>
          <cell r="L108" t="str">
            <v>3305011307730001</v>
          </cell>
          <cell r="O108" t="str">
            <v>4</v>
          </cell>
          <cell r="P108">
            <v>40</v>
          </cell>
          <cell r="S108" t="str">
            <v>Dusun Tembelang RT 03 RW 03</v>
          </cell>
          <cell r="T108" t="str">
            <v>PETANI</v>
          </cell>
          <cell r="U108">
            <v>400000</v>
          </cell>
          <cell r="Y108" t="str">
            <v>42</v>
          </cell>
          <cell r="Z108" t="str">
            <v>PK</v>
          </cell>
          <cell r="AA108" t="str">
            <v>Surat Keterangan Kepala Desa</v>
          </cell>
        </row>
        <row r="109">
          <cell r="A109">
            <v>95</v>
          </cell>
          <cell r="J109">
            <v>95</v>
          </cell>
          <cell r="K109" t="str">
            <v>KHOERON</v>
          </cell>
          <cell r="L109" t="str">
            <v>3305010403840002</v>
          </cell>
          <cell r="O109" t="str">
            <v>2</v>
          </cell>
          <cell r="P109">
            <v>29</v>
          </cell>
          <cell r="S109" t="str">
            <v>Dusun Tembelang RT 03 RW 03</v>
          </cell>
          <cell r="T109" t="str">
            <v>PETANI</v>
          </cell>
          <cell r="U109">
            <v>380000</v>
          </cell>
          <cell r="Y109" t="str">
            <v>36</v>
          </cell>
          <cell r="Z109" t="str">
            <v>PK</v>
          </cell>
          <cell r="AA109" t="str">
            <v>Surat Keterangan Kepala Desa</v>
          </cell>
        </row>
        <row r="110">
          <cell r="A110">
            <v>96</v>
          </cell>
          <cell r="J110">
            <v>96</v>
          </cell>
          <cell r="K110" t="str">
            <v xml:space="preserve">YASUM </v>
          </cell>
          <cell r="L110" t="str">
            <v>3305012609720002</v>
          </cell>
          <cell r="O110">
            <v>3</v>
          </cell>
          <cell r="P110">
            <v>41</v>
          </cell>
          <cell r="S110" t="str">
            <v>Dusun Tembelang RT 04 RW 03</v>
          </cell>
          <cell r="T110" t="str">
            <v>PETANI</v>
          </cell>
          <cell r="U110">
            <v>360000</v>
          </cell>
          <cell r="Y110" t="str">
            <v>36</v>
          </cell>
          <cell r="Z110" t="str">
            <v>PK</v>
          </cell>
          <cell r="AA110" t="str">
            <v>Surat Keterangan Kepala Desa</v>
          </cell>
        </row>
        <row r="111">
          <cell r="A111">
            <v>97</v>
          </cell>
          <cell r="J111">
            <v>97</v>
          </cell>
          <cell r="K111" t="str">
            <v>SUPARDI</v>
          </cell>
          <cell r="L111" t="str">
            <v>3305013112620019</v>
          </cell>
          <cell r="O111" t="str">
            <v>2</v>
          </cell>
          <cell r="P111">
            <v>51</v>
          </cell>
          <cell r="S111" t="str">
            <v>Dusun Tembelang RT 04 RW 03</v>
          </cell>
          <cell r="T111" t="str">
            <v>PETANI</v>
          </cell>
          <cell r="U111">
            <v>360000</v>
          </cell>
          <cell r="Y111" t="str">
            <v>40</v>
          </cell>
          <cell r="Z111" t="str">
            <v>PK</v>
          </cell>
          <cell r="AA111" t="str">
            <v>Surat Keterangan Kepala Desa</v>
          </cell>
        </row>
        <row r="112">
          <cell r="A112">
            <v>98</v>
          </cell>
          <cell r="J112">
            <v>98</v>
          </cell>
          <cell r="K112" t="str">
            <v>SANKAMAR</v>
          </cell>
          <cell r="L112" t="str">
            <v>3305010711440001</v>
          </cell>
          <cell r="O112" t="str">
            <v>4</v>
          </cell>
          <cell r="P112">
            <v>69</v>
          </cell>
          <cell r="S112" t="str">
            <v>Dusun Tembelang RT 04 RW 03</v>
          </cell>
          <cell r="T112" t="str">
            <v>NELAYAN</v>
          </cell>
          <cell r="U112">
            <v>400000</v>
          </cell>
          <cell r="Y112" t="str">
            <v>42</v>
          </cell>
          <cell r="Z112" t="str">
            <v>PK</v>
          </cell>
          <cell r="AA112" t="str">
            <v>Surat Keterangan Kepala Desa</v>
          </cell>
        </row>
        <row r="113">
          <cell r="A113">
            <v>99</v>
          </cell>
          <cell r="J113">
            <v>99</v>
          </cell>
          <cell r="K113" t="str">
            <v>KATU</v>
          </cell>
          <cell r="L113" t="str">
            <v>3305013222670004</v>
          </cell>
          <cell r="O113" t="str">
            <v>4</v>
          </cell>
          <cell r="P113">
            <v>46</v>
          </cell>
          <cell r="S113" t="str">
            <v>Dusun Tembelang RT 04 RW 03</v>
          </cell>
          <cell r="T113" t="str">
            <v>NELAYAN</v>
          </cell>
          <cell r="U113">
            <v>350000</v>
          </cell>
          <cell r="Y113" t="str">
            <v>42</v>
          </cell>
          <cell r="Z113" t="str">
            <v>PK</v>
          </cell>
          <cell r="AA113" t="str">
            <v>Surat Keterangan Kepala Desa</v>
          </cell>
        </row>
        <row r="114">
          <cell r="A114">
            <v>100</v>
          </cell>
          <cell r="J114">
            <v>100</v>
          </cell>
          <cell r="K114" t="str">
            <v>JASIYEM</v>
          </cell>
          <cell r="L114" t="str">
            <v>3305015702340001</v>
          </cell>
          <cell r="O114" t="str">
            <v>1</v>
          </cell>
          <cell r="P114">
            <v>79</v>
          </cell>
          <cell r="S114" t="str">
            <v>Dusun Tembelang RT 04 RW 03</v>
          </cell>
          <cell r="T114" t="str">
            <v>PETANI</v>
          </cell>
          <cell r="U114">
            <v>300000</v>
          </cell>
          <cell r="Y114" t="str">
            <v>36</v>
          </cell>
          <cell r="Z114" t="str">
            <v>PK</v>
          </cell>
          <cell r="AA114" t="str">
            <v>Surat Keterangan Kepala Desa</v>
          </cell>
        </row>
        <row r="115">
          <cell r="A115">
            <v>101</v>
          </cell>
          <cell r="J115">
            <v>101</v>
          </cell>
          <cell r="K115" t="str">
            <v>MARTAJI</v>
          </cell>
          <cell r="L115" t="str">
            <v>3305011210560002</v>
          </cell>
          <cell r="O115" t="str">
            <v xml:space="preserve">3 </v>
          </cell>
          <cell r="P115">
            <v>57</v>
          </cell>
          <cell r="S115" t="str">
            <v>Dusun Tembelang RT 04 RW 03</v>
          </cell>
          <cell r="T115" t="str">
            <v>PETANI</v>
          </cell>
          <cell r="U115">
            <v>450000</v>
          </cell>
          <cell r="Y115" t="str">
            <v>36</v>
          </cell>
          <cell r="Z115" t="str">
            <v>PK</v>
          </cell>
          <cell r="AA115" t="str">
            <v>Surat Keterangan Kepala Desa</v>
          </cell>
        </row>
        <row r="116">
          <cell r="A116">
            <v>102</v>
          </cell>
          <cell r="J116">
            <v>102</v>
          </cell>
          <cell r="K116" t="str">
            <v>DASIYEM</v>
          </cell>
          <cell r="L116" t="str">
            <v>3305016611760001</v>
          </cell>
          <cell r="O116" t="str">
            <v>2</v>
          </cell>
          <cell r="P116">
            <v>37</v>
          </cell>
          <cell r="S116" t="str">
            <v>Dusun Tembelang RT 04 RW 03</v>
          </cell>
          <cell r="T116" t="str">
            <v>PETANI</v>
          </cell>
          <cell r="U116">
            <v>400000</v>
          </cell>
          <cell r="Y116" t="str">
            <v>42</v>
          </cell>
          <cell r="Z116" t="str">
            <v>PK</v>
          </cell>
          <cell r="AA116" t="str">
            <v>Surat Keterangan Kepala Desa</v>
          </cell>
        </row>
        <row r="117">
          <cell r="A117">
            <v>103</v>
          </cell>
          <cell r="J117">
            <v>103</v>
          </cell>
          <cell r="K117" t="str">
            <v>MAD SUTARNO</v>
          </cell>
          <cell r="L117" t="str">
            <v>3305011807520002</v>
          </cell>
          <cell r="O117" t="str">
            <v>5</v>
          </cell>
          <cell r="P117">
            <v>61</v>
          </cell>
          <cell r="S117" t="str">
            <v>Dusun Tembelang RT 04 RW 03</v>
          </cell>
          <cell r="T117" t="str">
            <v>PETANI</v>
          </cell>
          <cell r="U117">
            <v>400000</v>
          </cell>
          <cell r="Y117" t="str">
            <v>38</v>
          </cell>
          <cell r="Z117" t="str">
            <v>PK</v>
          </cell>
          <cell r="AA117" t="str">
            <v>Surat Keterangan Kepala Desa</v>
          </cell>
        </row>
        <row r="118">
          <cell r="A118">
            <v>104</v>
          </cell>
          <cell r="J118">
            <v>104</v>
          </cell>
          <cell r="K118" t="str">
            <v>SAPAR</v>
          </cell>
          <cell r="L118" t="str">
            <v>3305012505780004</v>
          </cell>
          <cell r="O118" t="str">
            <v>2</v>
          </cell>
          <cell r="P118">
            <v>35</v>
          </cell>
          <cell r="S118" t="str">
            <v>Dusun Tembelang RT 04 RW 03</v>
          </cell>
          <cell r="T118" t="str">
            <v>NELAYAN</v>
          </cell>
          <cell r="U118">
            <v>350000</v>
          </cell>
          <cell r="Y118" t="str">
            <v>36</v>
          </cell>
          <cell r="Z118" t="str">
            <v>PK</v>
          </cell>
          <cell r="AA118" t="str">
            <v>Surat Keterangan Kepala Desa</v>
          </cell>
        </row>
        <row r="119">
          <cell r="A119">
            <v>105</v>
          </cell>
          <cell r="J119">
            <v>105</v>
          </cell>
          <cell r="K119" t="str">
            <v>KASIJAN</v>
          </cell>
          <cell r="L119" t="str">
            <v>3305012103610001</v>
          </cell>
          <cell r="O119" t="str">
            <v>3</v>
          </cell>
          <cell r="P119">
            <v>52</v>
          </cell>
          <cell r="S119" t="str">
            <v>Dusun Tembelang RT 04 RW 03</v>
          </cell>
          <cell r="T119" t="str">
            <v>NELAYAN</v>
          </cell>
          <cell r="U119">
            <v>450000</v>
          </cell>
          <cell r="Y119" t="str">
            <v>46</v>
          </cell>
          <cell r="Z119" t="str">
            <v>PK</v>
          </cell>
          <cell r="AA119" t="str">
            <v>Surat Keterangan Kepala Desa</v>
          </cell>
        </row>
        <row r="120">
          <cell r="A120">
            <v>106</v>
          </cell>
          <cell r="J120">
            <v>106</v>
          </cell>
          <cell r="K120" t="str">
            <v>AHMAD SOBIHIN</v>
          </cell>
          <cell r="L120" t="str">
            <v>3305013112730002</v>
          </cell>
          <cell r="O120" t="str">
            <v>5</v>
          </cell>
          <cell r="P120">
            <v>48</v>
          </cell>
          <cell r="S120" t="str">
            <v>Dusun Tembelang RT 04 RW 03</v>
          </cell>
          <cell r="T120" t="str">
            <v>PETANI</v>
          </cell>
          <cell r="U120">
            <v>350000</v>
          </cell>
          <cell r="Y120" t="str">
            <v>36</v>
          </cell>
          <cell r="Z120" t="str">
            <v>PK</v>
          </cell>
          <cell r="AA120" t="str">
            <v>Surat Keterangan Kepala Desa</v>
          </cell>
        </row>
        <row r="121">
          <cell r="A121">
            <v>107</v>
          </cell>
          <cell r="J121">
            <v>107</v>
          </cell>
          <cell r="K121" t="str">
            <v>SAMINI</v>
          </cell>
          <cell r="L121" t="str">
            <v>3305015104460001</v>
          </cell>
          <cell r="O121" t="str">
            <v>4</v>
          </cell>
          <cell r="P121">
            <v>67</v>
          </cell>
          <cell r="S121" t="str">
            <v>Dusun Tembelang RT 04 RW 03</v>
          </cell>
          <cell r="T121" t="str">
            <v>PETANI</v>
          </cell>
          <cell r="U121">
            <v>300000</v>
          </cell>
          <cell r="Y121" t="str">
            <v>32</v>
          </cell>
          <cell r="Z121" t="str">
            <v>PK</v>
          </cell>
          <cell r="AA121" t="str">
            <v>Surat Keterangan Kepala Desa</v>
          </cell>
        </row>
        <row r="122">
          <cell r="A122">
            <v>108</v>
          </cell>
          <cell r="J122">
            <v>108</v>
          </cell>
          <cell r="K122" t="str">
            <v>MINARSIH</v>
          </cell>
          <cell r="L122" t="str">
            <v>3305016510660002</v>
          </cell>
          <cell r="O122" t="str">
            <v>3</v>
          </cell>
          <cell r="P122">
            <v>47</v>
          </cell>
          <cell r="S122" t="str">
            <v>Dusun Tembelang RT 04 RW 03</v>
          </cell>
          <cell r="T122" t="str">
            <v>PETANI</v>
          </cell>
          <cell r="U122">
            <v>300000</v>
          </cell>
          <cell r="Y122" t="str">
            <v>36</v>
          </cell>
          <cell r="Z122" t="str">
            <v>PK</v>
          </cell>
          <cell r="AA122" t="str">
            <v>Surat Keterangan Kepala Desa</v>
          </cell>
        </row>
        <row r="123">
          <cell r="A123">
            <v>109</v>
          </cell>
          <cell r="J123">
            <v>109</v>
          </cell>
          <cell r="K123" t="str">
            <v>WARSITO</v>
          </cell>
          <cell r="L123" t="str">
            <v>3305011203780003</v>
          </cell>
          <cell r="O123" t="str">
            <v>3</v>
          </cell>
          <cell r="P123">
            <v>35</v>
          </cell>
          <cell r="S123" t="str">
            <v>Dusun Tembelang RT 04 RW 03</v>
          </cell>
          <cell r="T123" t="str">
            <v>PETANI</v>
          </cell>
          <cell r="U123">
            <v>400000</v>
          </cell>
          <cell r="Y123" t="str">
            <v>42</v>
          </cell>
          <cell r="Z123" t="str">
            <v>PK</v>
          </cell>
          <cell r="AA123" t="str">
            <v>Surat Keterangan Kepala Desa</v>
          </cell>
        </row>
        <row r="124">
          <cell r="A124">
            <v>110</v>
          </cell>
          <cell r="J124">
            <v>110</v>
          </cell>
          <cell r="K124" t="str">
            <v>KASIYEM</v>
          </cell>
          <cell r="L124" t="str">
            <v>3305015007570002</v>
          </cell>
          <cell r="O124" t="str">
            <v>1</v>
          </cell>
          <cell r="P124">
            <v>56</v>
          </cell>
          <cell r="S124" t="str">
            <v>Dusun Tembelang RT 04 RW 03</v>
          </cell>
          <cell r="T124" t="str">
            <v>PETANI</v>
          </cell>
          <cell r="U124">
            <v>300000</v>
          </cell>
          <cell r="Y124" t="str">
            <v>40</v>
          </cell>
          <cell r="Z124" t="str">
            <v>PK</v>
          </cell>
          <cell r="AA124" t="str">
            <v>Surat Keterangan Kepala Desa</v>
          </cell>
        </row>
        <row r="125">
          <cell r="A125">
            <v>111</v>
          </cell>
          <cell r="E125" t="str">
            <v>°`"</v>
          </cell>
          <cell r="I125" t="str">
            <v>°`"</v>
          </cell>
          <cell r="J125">
            <v>111</v>
          </cell>
          <cell r="K125" t="str">
            <v>NASRUDIN</v>
          </cell>
          <cell r="L125" t="str">
            <v>3305011108480001</v>
          </cell>
          <cell r="O125" t="str">
            <v>7</v>
          </cell>
          <cell r="P125">
            <v>65</v>
          </cell>
          <cell r="S125" t="str">
            <v>Dusun Tembelang RT 04 RW 03</v>
          </cell>
          <cell r="T125" t="str">
            <v>PETANI</v>
          </cell>
          <cell r="U125">
            <v>300000</v>
          </cell>
          <cell r="Y125" t="str">
            <v>32</v>
          </cell>
          <cell r="Z125" t="str">
            <v>PK</v>
          </cell>
          <cell r="AA125" t="str">
            <v>Surat Keterangan Kepala Desa</v>
          </cell>
        </row>
        <row r="126">
          <cell r="A126">
            <v>112</v>
          </cell>
          <cell r="E126" t="str">
            <v>°`"</v>
          </cell>
          <cell r="I126" t="str">
            <v>°`"</v>
          </cell>
          <cell r="J126">
            <v>112</v>
          </cell>
          <cell r="K126" t="str">
            <v>MANGSURUDIN</v>
          </cell>
          <cell r="L126" t="str">
            <v>3305011509700002</v>
          </cell>
          <cell r="O126" t="str">
            <v>3</v>
          </cell>
          <cell r="P126">
            <v>43</v>
          </cell>
          <cell r="S126" t="str">
            <v>Dusun Tembelang RT 04 RW 03</v>
          </cell>
          <cell r="T126" t="str">
            <v>PETANI</v>
          </cell>
          <cell r="U126">
            <v>450000</v>
          </cell>
          <cell r="Y126" t="str">
            <v>42</v>
          </cell>
          <cell r="Z126" t="str">
            <v>PK</v>
          </cell>
          <cell r="AA126" t="str">
            <v>Surat Keterangan Kepala Desa</v>
          </cell>
        </row>
        <row r="127">
          <cell r="A127">
            <v>113</v>
          </cell>
          <cell r="E127" t="str">
            <v>°`"</v>
          </cell>
          <cell r="I127" t="str">
            <v>°`"</v>
          </cell>
          <cell r="J127">
            <v>113</v>
          </cell>
          <cell r="K127" t="str">
            <v>SUKINO</v>
          </cell>
          <cell r="L127" t="str">
            <v>3305012311590001</v>
          </cell>
          <cell r="O127" t="str">
            <v>3</v>
          </cell>
          <cell r="P127">
            <v>54</v>
          </cell>
          <cell r="S127" t="str">
            <v>Dusun Tembelang RT 04 RW 03</v>
          </cell>
          <cell r="T127" t="str">
            <v>PETANI</v>
          </cell>
          <cell r="U127">
            <v>400000</v>
          </cell>
          <cell r="Y127" t="str">
            <v>42</v>
          </cell>
          <cell r="Z127" t="str">
            <v>PK</v>
          </cell>
          <cell r="AA127" t="str">
            <v>Surat Keterangan Kepala Desa</v>
          </cell>
        </row>
        <row r="128">
          <cell r="A128">
            <v>114</v>
          </cell>
          <cell r="E128" t="str">
            <v>°`"</v>
          </cell>
          <cell r="I128" t="str">
            <v>°`"</v>
          </cell>
          <cell r="J128">
            <v>114</v>
          </cell>
          <cell r="K128" t="str">
            <v>SAMISO</v>
          </cell>
          <cell r="L128" t="str">
            <v>3305012010800002</v>
          </cell>
          <cell r="O128" t="str">
            <v>4</v>
          </cell>
          <cell r="P128">
            <v>33</v>
          </cell>
          <cell r="S128" t="str">
            <v>Dusun Gunung Gadung RT 05 RW 05</v>
          </cell>
          <cell r="T128" t="str">
            <v>PETANI</v>
          </cell>
          <cell r="U128">
            <v>350000</v>
          </cell>
          <cell r="Y128" t="str">
            <v>56</v>
          </cell>
          <cell r="Z128" t="str">
            <v>PK</v>
          </cell>
          <cell r="AA128" t="str">
            <v>Surat Keterangan Kepala Desa</v>
          </cell>
        </row>
        <row r="129">
          <cell r="A129">
            <v>115</v>
          </cell>
          <cell r="E129" t="str">
            <v>°`"</v>
          </cell>
          <cell r="I129" t="str">
            <v>°`"</v>
          </cell>
          <cell r="J129">
            <v>115</v>
          </cell>
          <cell r="K129" t="str">
            <v>SAROTUN</v>
          </cell>
          <cell r="L129" t="str">
            <v>3305012006330003</v>
          </cell>
          <cell r="O129" t="str">
            <v>2</v>
          </cell>
          <cell r="P129">
            <v>80</v>
          </cell>
          <cell r="S129" t="str">
            <v>Dusun Gunung Gadung RT 05 RW 05</v>
          </cell>
          <cell r="T129" t="str">
            <v>WIRASWASTA</v>
          </cell>
          <cell r="U129">
            <v>680000</v>
          </cell>
          <cell r="Y129">
            <v>45</v>
          </cell>
          <cell r="Z129" t="str">
            <v>PK</v>
          </cell>
          <cell r="AA129" t="str">
            <v>Surat Keterangan Kepala Desa</v>
          </cell>
        </row>
        <row r="130">
          <cell r="A130">
            <v>116</v>
          </cell>
          <cell r="E130" t="str">
            <v>°`"</v>
          </cell>
          <cell r="I130" t="str">
            <v>°`"</v>
          </cell>
          <cell r="J130">
            <v>116</v>
          </cell>
          <cell r="K130" t="str">
            <v>YAHDI ASRORI</v>
          </cell>
          <cell r="L130" t="str">
            <v>3305010209650001</v>
          </cell>
          <cell r="O130" t="str">
            <v>5</v>
          </cell>
          <cell r="P130">
            <v>48</v>
          </cell>
          <cell r="S130" t="str">
            <v>Dusun Gunung Gadung RT 05 RW 05</v>
          </cell>
          <cell r="T130" t="str">
            <v>PETANI</v>
          </cell>
          <cell r="U130">
            <v>350000</v>
          </cell>
          <cell r="Y130" t="str">
            <v>42</v>
          </cell>
          <cell r="Z130" t="str">
            <v>PK</v>
          </cell>
          <cell r="AA130" t="str">
            <v>Surat Keterangan Kepala Desa</v>
          </cell>
        </row>
        <row r="131">
          <cell r="A131">
            <v>117</v>
          </cell>
          <cell r="E131" t="str">
            <v>°`"</v>
          </cell>
          <cell r="I131" t="str">
            <v>°`"</v>
          </cell>
          <cell r="J131">
            <v>117</v>
          </cell>
          <cell r="K131" t="str">
            <v>KHOIRUL ANAM</v>
          </cell>
          <cell r="L131" t="str">
            <v>3305012407750001</v>
          </cell>
          <cell r="O131" t="str">
            <v>2</v>
          </cell>
          <cell r="P131">
            <v>38</v>
          </cell>
          <cell r="S131" t="str">
            <v>Dusun Gunung Gadung RT 05 RW 05</v>
          </cell>
          <cell r="T131" t="str">
            <v>WIRASWASTA</v>
          </cell>
          <cell r="U131">
            <v>350000</v>
          </cell>
          <cell r="Y131" t="str">
            <v>36</v>
          </cell>
          <cell r="Z131" t="str">
            <v>PK</v>
          </cell>
          <cell r="AA131" t="str">
            <v>Surat Keterangan Kepala Desa</v>
          </cell>
        </row>
        <row r="132">
          <cell r="A132">
            <v>118</v>
          </cell>
          <cell r="E132" t="str">
            <v>°`"</v>
          </cell>
          <cell r="I132" t="str">
            <v>°`"</v>
          </cell>
          <cell r="J132">
            <v>118</v>
          </cell>
          <cell r="K132" t="str">
            <v>KASIEM</v>
          </cell>
          <cell r="L132" t="str">
            <v>3305015003810005</v>
          </cell>
          <cell r="O132" t="str">
            <v>2</v>
          </cell>
          <cell r="P132">
            <v>32</v>
          </cell>
          <cell r="S132" t="str">
            <v>Dusun Gunung Gadung RT 05 RW 05</v>
          </cell>
          <cell r="T132" t="str">
            <v>PETANI</v>
          </cell>
          <cell r="U132">
            <v>320000</v>
          </cell>
          <cell r="Y132" t="str">
            <v>36</v>
          </cell>
          <cell r="Z132" t="str">
            <v>PK</v>
          </cell>
          <cell r="AA132" t="str">
            <v>Surat Keterangan Kepala Desa</v>
          </cell>
        </row>
        <row r="133">
          <cell r="A133">
            <v>119</v>
          </cell>
          <cell r="E133" t="str">
            <v>°`"</v>
          </cell>
          <cell r="I133" t="str">
            <v>°`"</v>
          </cell>
          <cell r="J133">
            <v>119</v>
          </cell>
          <cell r="K133" t="str">
            <v>SODIK AL KAMIN</v>
          </cell>
          <cell r="L133" t="str">
            <v>3305010402640002</v>
          </cell>
          <cell r="O133" t="str">
            <v>3</v>
          </cell>
          <cell r="P133">
            <v>73</v>
          </cell>
          <cell r="S133" t="str">
            <v>Argopeni RT 05 RW 05</v>
          </cell>
          <cell r="T133" t="str">
            <v>PETANI</v>
          </cell>
          <cell r="U133">
            <v>450000</v>
          </cell>
          <cell r="Y133" t="str">
            <v>45</v>
          </cell>
          <cell r="Z133" t="str">
            <v>PK</v>
          </cell>
          <cell r="AA133" t="str">
            <v>Surat Keterangan Kepala Desa</v>
          </cell>
        </row>
        <row r="134">
          <cell r="A134">
            <v>120</v>
          </cell>
          <cell r="E134" t="str">
            <v>°`"</v>
          </cell>
          <cell r="I134" t="str">
            <v>°`"</v>
          </cell>
          <cell r="J134">
            <v>120</v>
          </cell>
          <cell r="K134" t="str">
            <v>HASYIM</v>
          </cell>
          <cell r="L134" t="str">
            <v>3305011612530001</v>
          </cell>
          <cell r="O134" t="str">
            <v>7</v>
          </cell>
          <cell r="P134">
            <v>60</v>
          </cell>
          <cell r="S134" t="str">
            <v>Argopeni RT 05 RW 05</v>
          </cell>
          <cell r="T134" t="str">
            <v>PETANI</v>
          </cell>
          <cell r="U134">
            <v>450000</v>
          </cell>
          <cell r="Y134" t="str">
            <v>56</v>
          </cell>
          <cell r="Z134" t="str">
            <v>PK</v>
          </cell>
          <cell r="AA134" t="str">
            <v>Surat Keterangan Kepala Desa</v>
          </cell>
        </row>
        <row r="135">
          <cell r="A135">
            <v>121</v>
          </cell>
          <cell r="E135" t="str">
            <v>°`"</v>
          </cell>
          <cell r="I135" t="str">
            <v>°`"</v>
          </cell>
          <cell r="J135">
            <v>121</v>
          </cell>
          <cell r="K135" t="str">
            <v>RIDIN</v>
          </cell>
          <cell r="L135" t="str">
            <v>3305012010640001</v>
          </cell>
          <cell r="O135" t="str">
            <v>3</v>
          </cell>
          <cell r="P135">
            <v>49</v>
          </cell>
          <cell r="S135" t="str">
            <v>DK Gununggadung RT 05 RW 05</v>
          </cell>
          <cell r="T135" t="str">
            <v>PETANI</v>
          </cell>
          <cell r="U135">
            <v>320000</v>
          </cell>
          <cell r="Y135" t="str">
            <v>42</v>
          </cell>
          <cell r="Z135" t="str">
            <v>PK</v>
          </cell>
          <cell r="AA135" t="str">
            <v>Surat Keterangan Kepala Desa</v>
          </cell>
        </row>
        <row r="136">
          <cell r="A136">
            <v>122</v>
          </cell>
          <cell r="E136" t="str">
            <v>°`"</v>
          </cell>
          <cell r="I136" t="str">
            <v>°`"</v>
          </cell>
          <cell r="J136">
            <v>122</v>
          </cell>
          <cell r="K136" t="str">
            <v>AHMAD NUR NGARIFIN AL AMIN</v>
          </cell>
          <cell r="L136" t="str">
            <v>3305010109860009</v>
          </cell>
          <cell r="O136" t="str">
            <v>2</v>
          </cell>
          <cell r="P136">
            <v>27</v>
          </cell>
          <cell r="S136" t="str">
            <v>Dusun Gunung Gadung RT 05 RW 05</v>
          </cell>
          <cell r="T136" t="str">
            <v>PETANI</v>
          </cell>
          <cell r="U136">
            <v>400000</v>
          </cell>
          <cell r="Y136" t="str">
            <v>42</v>
          </cell>
          <cell r="Z136" t="str">
            <v>PK</v>
          </cell>
          <cell r="AA136" t="str">
            <v>Surat Keterangan Kepala Desa</v>
          </cell>
        </row>
        <row r="137">
          <cell r="A137">
            <v>123</v>
          </cell>
          <cell r="E137" t="str">
            <v>°`"</v>
          </cell>
          <cell r="I137" t="str">
            <v>°`"</v>
          </cell>
          <cell r="J137">
            <v>123</v>
          </cell>
          <cell r="K137" t="str">
            <v>RUSWANTO</v>
          </cell>
          <cell r="L137" t="str">
            <v>3305012804820002</v>
          </cell>
          <cell r="O137" t="str">
            <v>3</v>
          </cell>
          <cell r="P137">
            <v>31</v>
          </cell>
          <cell r="S137" t="str">
            <v>Dusun Gadung RT 05 RW 05</v>
          </cell>
          <cell r="T137" t="str">
            <v>WIRASWASTA</v>
          </cell>
          <cell r="U137">
            <v>350000</v>
          </cell>
          <cell r="Y137" t="str">
            <v>36</v>
          </cell>
          <cell r="Z137" t="str">
            <v>PK</v>
          </cell>
          <cell r="AA137" t="str">
            <v>Surat Keterangan Kepala Desa</v>
          </cell>
        </row>
        <row r="138">
          <cell r="A138">
            <v>124</v>
          </cell>
          <cell r="E138" t="str">
            <v>°`"</v>
          </cell>
          <cell r="I138" t="str">
            <v>°`"</v>
          </cell>
          <cell r="J138">
            <v>124</v>
          </cell>
          <cell r="K138" t="str">
            <v xml:space="preserve">AHMAD ALI SODIKIN </v>
          </cell>
          <cell r="L138" t="str">
            <v>3305012105780001</v>
          </cell>
          <cell r="O138" t="str">
            <v>3</v>
          </cell>
          <cell r="P138">
            <v>33</v>
          </cell>
          <cell r="S138" t="str">
            <v>Dusun Gunung Gadung RT 05 RW 05</v>
          </cell>
          <cell r="T138" t="str">
            <v>PETANI</v>
          </cell>
          <cell r="U138">
            <v>450000</v>
          </cell>
          <cell r="Y138" t="str">
            <v>56</v>
          </cell>
          <cell r="Z138" t="str">
            <v>PK</v>
          </cell>
          <cell r="AA138" t="str">
            <v>Surat Keterangan Kepala Desa</v>
          </cell>
        </row>
        <row r="139">
          <cell r="A139">
            <v>125</v>
          </cell>
          <cell r="E139" t="str">
            <v>°`"</v>
          </cell>
          <cell r="I139" t="str">
            <v>°`"</v>
          </cell>
          <cell r="J139">
            <v>125</v>
          </cell>
          <cell r="K139" t="str">
            <v>SARTIMIN</v>
          </cell>
          <cell r="L139" t="str">
            <v>3305010302820002</v>
          </cell>
          <cell r="O139" t="str">
            <v>1</v>
          </cell>
          <cell r="P139">
            <v>31</v>
          </cell>
          <cell r="S139" t="str">
            <v>Dusun Gunung Gadung RT 05 RW 05</v>
          </cell>
          <cell r="T139" t="str">
            <v>WIRASWASTA</v>
          </cell>
          <cell r="U139">
            <v>500000</v>
          </cell>
          <cell r="Y139" t="str">
            <v>36</v>
          </cell>
          <cell r="Z139" t="str">
            <v>PK</v>
          </cell>
          <cell r="AA139" t="str">
            <v>Surat Keterangan Kepala Desa</v>
          </cell>
        </row>
        <row r="140">
          <cell r="A140">
            <v>126</v>
          </cell>
          <cell r="E140" t="str">
            <v>°`"</v>
          </cell>
          <cell r="I140" t="str">
            <v>°`"</v>
          </cell>
          <cell r="J140">
            <v>126</v>
          </cell>
          <cell r="K140" t="str">
            <v>NAISAH</v>
          </cell>
          <cell r="L140" t="str">
            <v>3305015912620001</v>
          </cell>
          <cell r="O140" t="str">
            <v>2</v>
          </cell>
          <cell r="P140">
            <v>51</v>
          </cell>
          <cell r="S140" t="str">
            <v>Dusun Gunung Gadung RT 05 RW 05</v>
          </cell>
          <cell r="T140" t="str">
            <v>PETANI</v>
          </cell>
          <cell r="U140">
            <v>250000</v>
          </cell>
          <cell r="Y140" t="str">
            <v>36</v>
          </cell>
          <cell r="Z140" t="str">
            <v>PK</v>
          </cell>
          <cell r="AA140" t="str">
            <v>Surat Keterangan Kepala Desa</v>
          </cell>
        </row>
        <row r="141">
          <cell r="A141">
            <v>127</v>
          </cell>
          <cell r="E141" t="str">
            <v>°`"</v>
          </cell>
          <cell r="I141" t="str">
            <v>°`"</v>
          </cell>
          <cell r="J141">
            <v>127</v>
          </cell>
          <cell r="K141" t="str">
            <v>MUHRODIN</v>
          </cell>
          <cell r="L141" t="str">
            <v>3305010205610002</v>
          </cell>
          <cell r="O141">
            <v>3</v>
          </cell>
          <cell r="P141">
            <v>52</v>
          </cell>
          <cell r="S141" t="str">
            <v>Dusun Gunung Gadung RT 05 RW 05</v>
          </cell>
          <cell r="T141" t="str">
            <v>PETANI</v>
          </cell>
          <cell r="U141">
            <v>450000</v>
          </cell>
          <cell r="Y141" t="str">
            <v>42</v>
          </cell>
          <cell r="Z141" t="str">
            <v>PK</v>
          </cell>
          <cell r="AA141" t="str">
            <v>Surat Keterangan Kepala Desa</v>
          </cell>
        </row>
        <row r="142">
          <cell r="A142">
            <v>128</v>
          </cell>
          <cell r="E142" t="str">
            <v>°`"</v>
          </cell>
          <cell r="I142" t="str">
            <v>°`"</v>
          </cell>
          <cell r="J142">
            <v>128</v>
          </cell>
          <cell r="K142" t="str">
            <v>MISRO</v>
          </cell>
          <cell r="L142" t="str">
            <v>3305010610790003</v>
          </cell>
          <cell r="O142" t="str">
            <v>2</v>
          </cell>
          <cell r="P142">
            <v>34</v>
          </cell>
          <cell r="S142" t="str">
            <v>Argopeni RT 02 RW 05</v>
          </cell>
          <cell r="T142" t="str">
            <v>PETANI</v>
          </cell>
          <cell r="U142">
            <v>350000</v>
          </cell>
          <cell r="Y142">
            <v>0</v>
          </cell>
          <cell r="Z142" t="str">
            <v>PK</v>
          </cell>
          <cell r="AA142" t="str">
            <v>Surat Keterangan Kepala Desa</v>
          </cell>
        </row>
        <row r="143">
          <cell r="A143">
            <v>129</v>
          </cell>
          <cell r="E143" t="str">
            <v>°`"</v>
          </cell>
          <cell r="I143" t="str">
            <v>°`"</v>
          </cell>
          <cell r="J143">
            <v>129</v>
          </cell>
          <cell r="K143" t="str">
            <v>RASIM</v>
          </cell>
          <cell r="L143" t="str">
            <v>3305011301780006</v>
          </cell>
          <cell r="O143" t="str">
            <v>3</v>
          </cell>
          <cell r="P143">
            <v>33</v>
          </cell>
          <cell r="S143" t="str">
            <v>DK Gunung Gadung RT 02 RW 05</v>
          </cell>
          <cell r="T143" t="str">
            <v>NELAYAN</v>
          </cell>
          <cell r="U143">
            <v>350000</v>
          </cell>
          <cell r="Y143">
            <v>0</v>
          </cell>
          <cell r="Z143" t="str">
            <v>PK</v>
          </cell>
          <cell r="AA143" t="str">
            <v>Surat Keterangan Kepala Desa</v>
          </cell>
        </row>
        <row r="144">
          <cell r="A144">
            <v>130</v>
          </cell>
          <cell r="E144" t="str">
            <v>°`"</v>
          </cell>
          <cell r="I144" t="str">
            <v>°`"</v>
          </cell>
          <cell r="J144">
            <v>130</v>
          </cell>
          <cell r="K144" t="str">
            <v>KASIYEM</v>
          </cell>
          <cell r="L144" t="str">
            <v>3305014206540001</v>
          </cell>
          <cell r="O144" t="str">
            <v>1</v>
          </cell>
          <cell r="P144">
            <v>59</v>
          </cell>
          <cell r="S144" t="str">
            <v>Argopeni RT 02 RW 05</v>
          </cell>
          <cell r="T144" t="str">
            <v>WIRASWASTA</v>
          </cell>
          <cell r="U144">
            <v>350000</v>
          </cell>
          <cell r="Y144" t="str">
            <v>56</v>
          </cell>
          <cell r="Z144" t="str">
            <v>PK</v>
          </cell>
          <cell r="AA144" t="str">
            <v>Surat Keterangan Kepala Desa</v>
          </cell>
        </row>
        <row r="145">
          <cell r="A145">
            <v>131</v>
          </cell>
          <cell r="E145" t="str">
            <v>°`"</v>
          </cell>
          <cell r="I145" t="str">
            <v>°`"</v>
          </cell>
          <cell r="J145">
            <v>131</v>
          </cell>
          <cell r="K145" t="str">
            <v>M CHOERONI</v>
          </cell>
          <cell r="L145" t="str">
            <v>3305011212400002</v>
          </cell>
          <cell r="O145" t="str">
            <v>1</v>
          </cell>
          <cell r="P145">
            <v>73</v>
          </cell>
          <cell r="S145" t="str">
            <v>Dusun Grumung RT 02 RW 05</v>
          </cell>
          <cell r="T145" t="str">
            <v>PETANI</v>
          </cell>
          <cell r="U145">
            <v>400000</v>
          </cell>
          <cell r="Y145" t="str">
            <v>56</v>
          </cell>
          <cell r="Z145" t="str">
            <v>PK</v>
          </cell>
          <cell r="AA145" t="str">
            <v>Surat Keterangan Kepala Desa</v>
          </cell>
        </row>
        <row r="146">
          <cell r="A146">
            <v>132</v>
          </cell>
          <cell r="E146" t="str">
            <v>°`"</v>
          </cell>
          <cell r="I146" t="str">
            <v>°`"</v>
          </cell>
          <cell r="J146">
            <v>132</v>
          </cell>
          <cell r="K146" t="str">
            <v>KAYEM</v>
          </cell>
          <cell r="L146" t="str">
            <v>3305015405730001</v>
          </cell>
          <cell r="O146" t="str">
            <v>3</v>
          </cell>
          <cell r="P146">
            <v>83</v>
          </cell>
          <cell r="S146" t="str">
            <v>DK Grumung RT 02 RW 05</v>
          </cell>
          <cell r="T146" t="str">
            <v>PETANI</v>
          </cell>
          <cell r="U146">
            <v>450000</v>
          </cell>
          <cell r="Y146" t="str">
            <v>42</v>
          </cell>
          <cell r="Z146" t="str">
            <v>PK</v>
          </cell>
          <cell r="AA146" t="str">
            <v>Surat Keterangan Kepala Desa</v>
          </cell>
        </row>
        <row r="147">
          <cell r="A147">
            <v>133</v>
          </cell>
          <cell r="E147" t="str">
            <v>°`"</v>
          </cell>
          <cell r="I147" t="str">
            <v>°`"</v>
          </cell>
          <cell r="J147">
            <v>133</v>
          </cell>
          <cell r="K147" t="str">
            <v xml:space="preserve">DAMUN </v>
          </cell>
          <cell r="L147" t="str">
            <v>3305010608480721</v>
          </cell>
          <cell r="O147">
            <v>3</v>
          </cell>
          <cell r="P147">
            <v>65</v>
          </cell>
          <cell r="S147" t="str">
            <v>DK Grumung RT 02 RW 05</v>
          </cell>
          <cell r="T147" t="str">
            <v>PETANI</v>
          </cell>
          <cell r="U147">
            <v>450000</v>
          </cell>
          <cell r="Y147">
            <v>0</v>
          </cell>
          <cell r="Z147" t="str">
            <v>PK</v>
          </cell>
          <cell r="AA147" t="str">
            <v>Surat Keterangan Kepala Desa</v>
          </cell>
        </row>
        <row r="148">
          <cell r="A148">
            <v>134</v>
          </cell>
          <cell r="E148" t="str">
            <v>°`"</v>
          </cell>
          <cell r="I148" t="str">
            <v>°`"</v>
          </cell>
          <cell r="J148">
            <v>134</v>
          </cell>
          <cell r="K148" t="str">
            <v>RASIDI</v>
          </cell>
          <cell r="L148" t="str">
            <v>3305012806760005</v>
          </cell>
          <cell r="O148" t="str">
            <v>1</v>
          </cell>
          <cell r="P148">
            <v>37</v>
          </cell>
          <cell r="S148" t="str">
            <v>Dusun Grumung RT 02 RW 05</v>
          </cell>
          <cell r="T148" t="str">
            <v>WIRASWASTA</v>
          </cell>
          <cell r="U148">
            <v>450000</v>
          </cell>
          <cell r="Y148">
            <v>0</v>
          </cell>
          <cell r="Z148" t="str">
            <v>PK</v>
          </cell>
          <cell r="AA148" t="str">
            <v>Surat Keterangan Kepala Desa</v>
          </cell>
        </row>
        <row r="149">
          <cell r="A149">
            <v>135</v>
          </cell>
          <cell r="E149" t="str">
            <v>°`"</v>
          </cell>
          <cell r="I149" t="str">
            <v>°`"</v>
          </cell>
          <cell r="J149">
            <v>135</v>
          </cell>
          <cell r="K149" t="str">
            <v>NGALIMI</v>
          </cell>
          <cell r="L149" t="str">
            <v>3305011910450001</v>
          </cell>
          <cell r="O149">
            <v>3</v>
          </cell>
          <cell r="P149">
            <v>68</v>
          </cell>
          <cell r="S149" t="str">
            <v>Argopeni RT 02 RW 05</v>
          </cell>
          <cell r="T149" t="str">
            <v>WIRASWASTA</v>
          </cell>
          <cell r="U149">
            <v>300000</v>
          </cell>
          <cell r="Y149" t="str">
            <v>42</v>
          </cell>
          <cell r="Z149" t="str">
            <v>PK</v>
          </cell>
          <cell r="AA149" t="str">
            <v>Surat Keterangan Kepala Desa</v>
          </cell>
        </row>
        <row r="150">
          <cell r="A150">
            <v>136</v>
          </cell>
          <cell r="E150" t="str">
            <v>°`"</v>
          </cell>
          <cell r="I150" t="str">
            <v>°`"</v>
          </cell>
          <cell r="J150">
            <v>136</v>
          </cell>
          <cell r="K150" t="str">
            <v>MARSUM</v>
          </cell>
          <cell r="L150" t="str">
            <v>3305012308610001</v>
          </cell>
          <cell r="O150" t="str">
            <v>4</v>
          </cell>
          <cell r="P150">
            <v>52</v>
          </cell>
          <cell r="S150" t="str">
            <v>Dusun Klesem RT 01 RW 04</v>
          </cell>
          <cell r="T150" t="str">
            <v>WIRASWASTA</v>
          </cell>
          <cell r="U150">
            <v>350000</v>
          </cell>
          <cell r="Y150">
            <v>0</v>
          </cell>
          <cell r="Z150" t="str">
            <v>PK</v>
          </cell>
          <cell r="AA150" t="str">
            <v>Surat Keterangan Kepala Desa</v>
          </cell>
        </row>
        <row r="151">
          <cell r="A151">
            <v>137</v>
          </cell>
          <cell r="E151" t="str">
            <v>°`"</v>
          </cell>
          <cell r="I151" t="str">
            <v>°`"</v>
          </cell>
          <cell r="J151">
            <v>137</v>
          </cell>
          <cell r="K151" t="str">
            <v>SAMIJO</v>
          </cell>
          <cell r="L151" t="str">
            <v>3305012205440001</v>
          </cell>
          <cell r="O151" t="str">
            <v>3</v>
          </cell>
          <cell r="P151">
            <v>69</v>
          </cell>
          <cell r="S151" t="str">
            <v>Argopeni RT 01 RW 04</v>
          </cell>
          <cell r="T151" t="str">
            <v>PETANI</v>
          </cell>
          <cell r="U151">
            <v>300000</v>
          </cell>
          <cell r="Y151">
            <v>0</v>
          </cell>
          <cell r="Z151" t="str">
            <v>PK</v>
          </cell>
          <cell r="AA151" t="str">
            <v>Surat Keterangan Kepala Desa</v>
          </cell>
        </row>
        <row r="152">
          <cell r="A152">
            <v>138</v>
          </cell>
          <cell r="E152" t="str">
            <v>°`"</v>
          </cell>
          <cell r="I152" t="str">
            <v>°`"</v>
          </cell>
          <cell r="J152">
            <v>138</v>
          </cell>
          <cell r="K152" t="str">
            <v>SARIFAH</v>
          </cell>
          <cell r="L152" t="str">
            <v>3305015206640006</v>
          </cell>
          <cell r="O152" t="str">
            <v>2</v>
          </cell>
          <cell r="P152">
            <v>73</v>
          </cell>
          <cell r="S152" t="str">
            <v>Argopeni RT 01 RW 04</v>
          </cell>
          <cell r="T152" t="str">
            <v>PETANI</v>
          </cell>
          <cell r="U152">
            <v>300000</v>
          </cell>
          <cell r="Y152">
            <v>0</v>
          </cell>
          <cell r="Z152" t="str">
            <v>PK</v>
          </cell>
          <cell r="AA152" t="str">
            <v>Surat Keterangan Kepala Desa</v>
          </cell>
        </row>
        <row r="153">
          <cell r="A153">
            <v>139</v>
          </cell>
          <cell r="E153" t="str">
            <v>°`"</v>
          </cell>
          <cell r="I153" t="str">
            <v>°`"</v>
          </cell>
          <cell r="J153">
            <v>139</v>
          </cell>
          <cell r="K153" t="str">
            <v>SUWARNO</v>
          </cell>
          <cell r="L153" t="str">
            <v>3305010709650004</v>
          </cell>
          <cell r="O153" t="str">
            <v>3</v>
          </cell>
          <cell r="P153">
            <v>48</v>
          </cell>
          <cell r="S153" t="str">
            <v>Argopeni RT 01 RW 04</v>
          </cell>
          <cell r="T153" t="str">
            <v>PETANI</v>
          </cell>
          <cell r="U153">
            <v>350000</v>
          </cell>
          <cell r="Y153">
            <v>0</v>
          </cell>
          <cell r="Z153" t="str">
            <v>PK</v>
          </cell>
          <cell r="AA153" t="str">
            <v>Surat Keterangan Kepala Desa</v>
          </cell>
        </row>
        <row r="154">
          <cell r="A154">
            <v>140</v>
          </cell>
          <cell r="E154" t="str">
            <v>°`"</v>
          </cell>
          <cell r="I154" t="str">
            <v>°`"</v>
          </cell>
          <cell r="J154">
            <v>140</v>
          </cell>
          <cell r="K154" t="str">
            <v>SUPRIYANTO</v>
          </cell>
          <cell r="L154" t="str">
            <v>3305010301830003</v>
          </cell>
          <cell r="O154" t="str">
            <v>2</v>
          </cell>
          <cell r="P154">
            <v>30</v>
          </cell>
          <cell r="S154" t="str">
            <v>DK Klesem RT 01 RW 04</v>
          </cell>
          <cell r="T154" t="str">
            <v>PETANI</v>
          </cell>
          <cell r="U154">
            <v>350000</v>
          </cell>
          <cell r="Y154">
            <v>0</v>
          </cell>
          <cell r="Z154" t="str">
            <v>PK</v>
          </cell>
          <cell r="AA154" t="str">
            <v>Surat Keterangan Kepala Desa</v>
          </cell>
        </row>
        <row r="155">
          <cell r="A155">
            <v>141</v>
          </cell>
          <cell r="E155" t="str">
            <v>°`"</v>
          </cell>
          <cell r="I155" t="str">
            <v>°`"</v>
          </cell>
          <cell r="J155">
            <v>141</v>
          </cell>
          <cell r="K155" t="str">
            <v>SIPON</v>
          </cell>
          <cell r="L155" t="str">
            <v>3305010809840001</v>
          </cell>
          <cell r="O155" t="str">
            <v>2</v>
          </cell>
          <cell r="P155">
            <v>29</v>
          </cell>
          <cell r="S155" t="str">
            <v>Dusun Klesem RT 01 RW 04</v>
          </cell>
          <cell r="T155" t="str">
            <v>PETANI</v>
          </cell>
          <cell r="U155">
            <v>300000</v>
          </cell>
          <cell r="Y155">
            <v>0</v>
          </cell>
          <cell r="Z155" t="str">
            <v>PK</v>
          </cell>
          <cell r="AA155" t="str">
            <v>Surat Keterangan Kepala Desa</v>
          </cell>
        </row>
        <row r="156">
          <cell r="A156">
            <v>142</v>
          </cell>
          <cell r="E156" t="str">
            <v>°`"</v>
          </cell>
          <cell r="I156" t="str">
            <v>°`"</v>
          </cell>
          <cell r="J156">
            <v>142</v>
          </cell>
          <cell r="K156" t="str">
            <v>ROSIYAH</v>
          </cell>
          <cell r="L156" t="str">
            <v>3305015307780005</v>
          </cell>
          <cell r="O156" t="str">
            <v>3</v>
          </cell>
          <cell r="P156">
            <v>33</v>
          </cell>
          <cell r="S156" t="str">
            <v>DK Klesem RT 01 RW 04</v>
          </cell>
          <cell r="T156" t="str">
            <v>PETANI</v>
          </cell>
          <cell r="U156">
            <v>300000</v>
          </cell>
          <cell r="Y156">
            <v>0</v>
          </cell>
          <cell r="Z156" t="str">
            <v>PK</v>
          </cell>
          <cell r="AA156" t="str">
            <v>Surat Keterangan Kepala Desa</v>
          </cell>
        </row>
        <row r="157">
          <cell r="A157">
            <v>143</v>
          </cell>
          <cell r="E157" t="str">
            <v>°`"</v>
          </cell>
          <cell r="I157" t="str">
            <v>°`"</v>
          </cell>
          <cell r="J157">
            <v>143</v>
          </cell>
          <cell r="K157" t="str">
            <v>SATEM</v>
          </cell>
          <cell r="L157" t="str">
            <v>330505202660001</v>
          </cell>
          <cell r="O157" t="str">
            <v>2</v>
          </cell>
          <cell r="P157">
            <v>47</v>
          </cell>
          <cell r="S157" t="str">
            <v>Dukuh Gajah Rt 01 Rw 02</v>
          </cell>
          <cell r="T157" t="str">
            <v>TANI</v>
          </cell>
          <cell r="U157">
            <v>300000</v>
          </cell>
          <cell r="Y157" t="str">
            <v>32</v>
          </cell>
          <cell r="Z157" t="str">
            <v>PK</v>
          </cell>
          <cell r="AA157" t="str">
            <v>Surat Keterangan Kepala Desa</v>
          </cell>
        </row>
        <row r="158">
          <cell r="A158">
            <v>144</v>
          </cell>
          <cell r="E158" t="str">
            <v>°`"</v>
          </cell>
          <cell r="I158" t="str">
            <v>°`"</v>
          </cell>
          <cell r="J158">
            <v>144</v>
          </cell>
          <cell r="K158" t="str">
            <v>AHMAD KASBULOH</v>
          </cell>
          <cell r="L158" t="str">
            <v>3305012701640001</v>
          </cell>
          <cell r="O158" t="str">
            <v>3</v>
          </cell>
          <cell r="P158">
            <v>49</v>
          </cell>
          <cell r="S158" t="str">
            <v>Dukuh Gajah Rt 01 Rw 02</v>
          </cell>
          <cell r="T158" t="str">
            <v>NELAYAN</v>
          </cell>
          <cell r="U158">
            <v>400000</v>
          </cell>
          <cell r="Y158" t="str">
            <v>42</v>
          </cell>
          <cell r="Z158" t="str">
            <v>PK</v>
          </cell>
          <cell r="AA158" t="str">
            <v>Surat Keterangan Kepala Desa</v>
          </cell>
        </row>
        <row r="159">
          <cell r="A159">
            <v>145</v>
          </cell>
          <cell r="E159" t="str">
            <v>°`"</v>
          </cell>
          <cell r="I159" t="str">
            <v>°`"</v>
          </cell>
          <cell r="J159">
            <v>145</v>
          </cell>
          <cell r="K159" t="str">
            <v>SAMAN SAMIJO</v>
          </cell>
          <cell r="L159" t="str">
            <v>3305011603560003</v>
          </cell>
          <cell r="O159" t="str">
            <v>1</v>
          </cell>
          <cell r="P159">
            <v>57</v>
          </cell>
          <cell r="S159" t="str">
            <v>Dukuh Gajah Rt 01 Rw 02</v>
          </cell>
          <cell r="T159" t="str">
            <v>NELAYAN</v>
          </cell>
          <cell r="U159">
            <v>350000</v>
          </cell>
          <cell r="Y159" t="str">
            <v>42</v>
          </cell>
          <cell r="Z159" t="str">
            <v>PK</v>
          </cell>
          <cell r="AA159" t="str">
            <v>Surat Keterangan Kepala Desa</v>
          </cell>
        </row>
        <row r="160">
          <cell r="A160">
            <v>146</v>
          </cell>
          <cell r="E160" t="str">
            <v>°`"</v>
          </cell>
          <cell r="I160" t="str">
            <v>°`"</v>
          </cell>
          <cell r="J160">
            <v>146</v>
          </cell>
          <cell r="K160" t="str">
            <v>SARIMPEN</v>
          </cell>
          <cell r="L160" t="str">
            <v>3305015103680001</v>
          </cell>
          <cell r="O160" t="str">
            <v>1</v>
          </cell>
          <cell r="P160">
            <v>45</v>
          </cell>
          <cell r="S160" t="str">
            <v>Dukuh Gajah Rt 01 Rw 02</v>
          </cell>
          <cell r="T160" t="str">
            <v>TANI</v>
          </cell>
          <cell r="U160">
            <v>350000</v>
          </cell>
          <cell r="Y160" t="str">
            <v>42</v>
          </cell>
          <cell r="Z160" t="str">
            <v>PK</v>
          </cell>
          <cell r="AA160" t="str">
            <v>Surat Keterangan Kepala Desa</v>
          </cell>
        </row>
        <row r="161">
          <cell r="A161">
            <v>147</v>
          </cell>
          <cell r="E161" t="str">
            <v>°`"</v>
          </cell>
          <cell r="I161" t="str">
            <v>°`"</v>
          </cell>
          <cell r="J161">
            <v>147</v>
          </cell>
          <cell r="K161" t="str">
            <v>DAWUD</v>
          </cell>
          <cell r="L161" t="str">
            <v>3305011403510001</v>
          </cell>
          <cell r="O161" t="str">
            <v>3</v>
          </cell>
          <cell r="P161">
            <v>62</v>
          </cell>
          <cell r="S161" t="str">
            <v>Dukuh Gajah Rt 01 Rw 02</v>
          </cell>
          <cell r="T161" t="str">
            <v>TANI</v>
          </cell>
          <cell r="U161">
            <v>350000</v>
          </cell>
          <cell r="Y161" t="str">
            <v>42</v>
          </cell>
          <cell r="Z161" t="str">
            <v>PK</v>
          </cell>
          <cell r="AA161" t="str">
            <v>Surat Keterangan Kepala Desa</v>
          </cell>
        </row>
        <row r="162">
          <cell r="A162">
            <v>148</v>
          </cell>
          <cell r="E162" t="str">
            <v>°`"</v>
          </cell>
          <cell r="I162" t="str">
            <v>°`"</v>
          </cell>
          <cell r="J162">
            <v>148</v>
          </cell>
          <cell r="K162" t="str">
            <v>KARSO</v>
          </cell>
          <cell r="L162" t="str">
            <v>3305011102730004</v>
          </cell>
          <cell r="O162" t="str">
            <v>4</v>
          </cell>
          <cell r="P162">
            <v>40</v>
          </cell>
          <cell r="S162" t="str">
            <v>Argopeni Rt 05 Rw 02</v>
          </cell>
          <cell r="T162" t="str">
            <v>NELAYAN</v>
          </cell>
          <cell r="U162">
            <v>450000</v>
          </cell>
          <cell r="Y162" t="str">
            <v>42</v>
          </cell>
          <cell r="Z162" t="str">
            <v>PK</v>
          </cell>
          <cell r="AA162" t="str">
            <v>Surat Keterangan Kepala Desa</v>
          </cell>
        </row>
        <row r="163">
          <cell r="A163">
            <v>149</v>
          </cell>
          <cell r="E163" t="str">
            <v>°`"</v>
          </cell>
          <cell r="I163" t="str">
            <v>°`"</v>
          </cell>
          <cell r="J163">
            <v>149</v>
          </cell>
          <cell r="K163" t="str">
            <v>WASIYEM</v>
          </cell>
          <cell r="L163" t="str">
            <v>3305014709620003</v>
          </cell>
          <cell r="O163" t="str">
            <v>6</v>
          </cell>
          <cell r="P163">
            <v>51</v>
          </cell>
          <cell r="S163" t="str">
            <v>Argopeni Rt 05 Rw 02</v>
          </cell>
          <cell r="T163" t="str">
            <v>TANI</v>
          </cell>
          <cell r="U163">
            <v>540000</v>
          </cell>
          <cell r="Y163" t="str">
            <v>46</v>
          </cell>
          <cell r="Z163" t="str">
            <v>PK</v>
          </cell>
          <cell r="AA163" t="str">
            <v>Surat Keterangan Kepala Desa</v>
          </cell>
        </row>
        <row r="164">
          <cell r="A164">
            <v>150</v>
          </cell>
          <cell r="E164" t="str">
            <v>°`"</v>
          </cell>
          <cell r="I164" t="str">
            <v>°`"</v>
          </cell>
          <cell r="J164">
            <v>150</v>
          </cell>
          <cell r="K164" t="str">
            <v>MADN NGARPIN</v>
          </cell>
          <cell r="L164" t="str">
            <v>3305010705370002</v>
          </cell>
          <cell r="O164" t="str">
            <v>2</v>
          </cell>
          <cell r="P164">
            <v>76</v>
          </cell>
          <cell r="S164" t="str">
            <v>Argopeni Rt 05 Rw 02</v>
          </cell>
          <cell r="T164" t="str">
            <v>TANI</v>
          </cell>
          <cell r="U164">
            <v>350000</v>
          </cell>
          <cell r="Y164" t="str">
            <v>32</v>
          </cell>
          <cell r="Z164" t="str">
            <v>PK</v>
          </cell>
          <cell r="AA164" t="str">
            <v>Surat Keterangan Kepala Desa</v>
          </cell>
        </row>
        <row r="165">
          <cell r="A165">
            <v>151</v>
          </cell>
          <cell r="E165" t="str">
            <v>°`"</v>
          </cell>
          <cell r="I165" t="str">
            <v>°`"</v>
          </cell>
          <cell r="J165">
            <v>151</v>
          </cell>
          <cell r="K165" t="str">
            <v>KARSONO</v>
          </cell>
          <cell r="L165" t="str">
            <v>3305011109540002</v>
          </cell>
          <cell r="O165" t="str">
            <v>3</v>
          </cell>
          <cell r="P165">
            <v>59</v>
          </cell>
          <cell r="S165" t="str">
            <v>Argopeni Rt 05 Rw 02</v>
          </cell>
          <cell r="T165" t="str">
            <v>NELAYAN</v>
          </cell>
          <cell r="U165">
            <v>350000</v>
          </cell>
          <cell r="Y165" t="str">
            <v>42</v>
          </cell>
          <cell r="Z165" t="str">
            <v>PK</v>
          </cell>
          <cell r="AA165" t="str">
            <v>Surat Keterangan Kepala Desa</v>
          </cell>
        </row>
        <row r="166">
          <cell r="A166">
            <v>152</v>
          </cell>
          <cell r="E166" t="str">
            <v>°`"</v>
          </cell>
          <cell r="I166" t="str">
            <v>°`"</v>
          </cell>
          <cell r="J166">
            <v>152</v>
          </cell>
          <cell r="K166" t="str">
            <v>CHAERUDIN</v>
          </cell>
          <cell r="L166" t="str">
            <v>3305012008580001</v>
          </cell>
          <cell r="O166" t="str">
            <v>1</v>
          </cell>
          <cell r="P166">
            <v>55</v>
          </cell>
          <cell r="S166" t="str">
            <v>Argopeni Rt 05 Rw 02</v>
          </cell>
          <cell r="T166" t="str">
            <v>NELAYAN</v>
          </cell>
          <cell r="U166">
            <v>350000</v>
          </cell>
          <cell r="Y166" t="str">
            <v>32</v>
          </cell>
          <cell r="Z166" t="str">
            <v>PK</v>
          </cell>
          <cell r="AA166" t="str">
            <v>Surat Keterangan Kepala Desa</v>
          </cell>
        </row>
        <row r="167">
          <cell r="A167">
            <v>153</v>
          </cell>
          <cell r="E167" t="str">
            <v>°`"</v>
          </cell>
          <cell r="I167" t="str">
            <v>°`"</v>
          </cell>
          <cell r="J167">
            <v>153</v>
          </cell>
          <cell r="K167" t="str">
            <v>GIANTO</v>
          </cell>
          <cell r="L167" t="str">
            <v>3305010510730001</v>
          </cell>
          <cell r="O167" t="str">
            <v>3</v>
          </cell>
          <cell r="P167">
            <v>40</v>
          </cell>
          <cell r="S167" t="str">
            <v>Argopeni Rt 05 Rw 02</v>
          </cell>
          <cell r="T167" t="str">
            <v>NELAYAN</v>
          </cell>
          <cell r="U167">
            <v>400000</v>
          </cell>
          <cell r="Y167" t="str">
            <v>42</v>
          </cell>
          <cell r="Z167" t="str">
            <v>PK</v>
          </cell>
          <cell r="AA167" t="str">
            <v>Surat Keterangan Kepala Desa</v>
          </cell>
        </row>
        <row r="168">
          <cell r="A168">
            <v>154</v>
          </cell>
          <cell r="E168" t="str">
            <v>°`"</v>
          </cell>
          <cell r="I168" t="str">
            <v>°`"</v>
          </cell>
          <cell r="J168">
            <v>154</v>
          </cell>
          <cell r="K168" t="str">
            <v>KASIH</v>
          </cell>
          <cell r="L168" t="str">
            <v>3305014801380004</v>
          </cell>
          <cell r="O168" t="str">
            <v>0</v>
          </cell>
          <cell r="P168">
            <v>75</v>
          </cell>
          <cell r="S168" t="str">
            <v>Argopeni Rt 05 Rw 02</v>
          </cell>
          <cell r="T168" t="str">
            <v>TANI</v>
          </cell>
          <cell r="U168">
            <v>125000</v>
          </cell>
          <cell r="Y168" t="str">
            <v>26</v>
          </cell>
          <cell r="Z168" t="str">
            <v>PK</v>
          </cell>
          <cell r="AA168" t="str">
            <v>Surat Keterangan Kepala Desa</v>
          </cell>
        </row>
        <row r="169">
          <cell r="A169">
            <v>155</v>
          </cell>
          <cell r="E169" t="str">
            <v>°`"</v>
          </cell>
          <cell r="I169" t="str">
            <v>°`"</v>
          </cell>
          <cell r="J169">
            <v>155</v>
          </cell>
          <cell r="K169" t="str">
            <v>SURATNO</v>
          </cell>
          <cell r="L169" t="str">
            <v>33050110002860004</v>
          </cell>
          <cell r="O169" t="str">
            <v>1</v>
          </cell>
          <cell r="P169">
            <v>27</v>
          </cell>
          <cell r="S169" t="str">
            <v>Argopeni Rt 05 Rw 02</v>
          </cell>
          <cell r="T169" t="str">
            <v>SWASTA</v>
          </cell>
          <cell r="U169">
            <v>250000</v>
          </cell>
          <cell r="Y169" t="str">
            <v>32</v>
          </cell>
          <cell r="Z169" t="str">
            <v>PK</v>
          </cell>
          <cell r="AA169" t="str">
            <v>Surat Keterangan Kepala Desa</v>
          </cell>
        </row>
        <row r="170">
          <cell r="A170">
            <v>156</v>
          </cell>
          <cell r="E170" t="str">
            <v>°`"</v>
          </cell>
          <cell r="I170" t="str">
            <v>°`"</v>
          </cell>
          <cell r="J170">
            <v>156</v>
          </cell>
          <cell r="K170" t="str">
            <v>WARSIH</v>
          </cell>
          <cell r="L170" t="str">
            <v>3305014906630001</v>
          </cell>
          <cell r="O170" t="str">
            <v>4</v>
          </cell>
          <cell r="P170">
            <v>50</v>
          </cell>
          <cell r="S170" t="str">
            <v>Argopeni Rt 05 Rw 02</v>
          </cell>
          <cell r="T170" t="str">
            <v>TANI</v>
          </cell>
          <cell r="U170">
            <v>350000</v>
          </cell>
          <cell r="Y170" t="str">
            <v>40</v>
          </cell>
          <cell r="Z170" t="str">
            <v>PK</v>
          </cell>
          <cell r="AA170" t="str">
            <v>Surat Keterangan Kepala Desa</v>
          </cell>
        </row>
        <row r="171">
          <cell r="A171">
            <v>157</v>
          </cell>
          <cell r="E171" t="str">
            <v>°`"</v>
          </cell>
          <cell r="I171" t="str">
            <v>°`"</v>
          </cell>
          <cell r="J171">
            <v>157</v>
          </cell>
          <cell r="K171" t="str">
            <v>DIRAN MADARIS</v>
          </cell>
          <cell r="L171" t="str">
            <v>3305012707610001</v>
          </cell>
          <cell r="O171" t="str">
            <v>2</v>
          </cell>
          <cell r="P171">
            <v>52</v>
          </cell>
          <cell r="S171" t="str">
            <v>Argopeni Rt 05 Rw 02</v>
          </cell>
          <cell r="T171" t="str">
            <v>NELAYAN</v>
          </cell>
          <cell r="U171">
            <v>350000</v>
          </cell>
          <cell r="Y171" t="str">
            <v>32</v>
          </cell>
          <cell r="Z171" t="str">
            <v>PK</v>
          </cell>
          <cell r="AA171" t="str">
            <v>Surat Keterangan Kepala Desa</v>
          </cell>
        </row>
        <row r="172">
          <cell r="A172">
            <v>158</v>
          </cell>
          <cell r="E172" t="str">
            <v>°`"</v>
          </cell>
          <cell r="I172" t="str">
            <v>°`"</v>
          </cell>
          <cell r="J172">
            <v>158</v>
          </cell>
          <cell r="K172" t="str">
            <v>SIROJUDIN</v>
          </cell>
          <cell r="L172" t="str">
            <v>3305010904630004</v>
          </cell>
          <cell r="O172" t="str">
            <v>5</v>
          </cell>
          <cell r="P172">
            <v>50</v>
          </cell>
          <cell r="S172" t="str">
            <v>Argopeni Rt 05 Rw 02</v>
          </cell>
          <cell r="T172" t="str">
            <v>TANI</v>
          </cell>
          <cell r="U172">
            <v>400000</v>
          </cell>
          <cell r="Y172" t="str">
            <v>40</v>
          </cell>
          <cell r="Z172" t="str">
            <v>PK</v>
          </cell>
          <cell r="AA172" t="str">
            <v>Surat Keterangan Kepala Desa</v>
          </cell>
        </row>
        <row r="173">
          <cell r="A173">
            <v>159</v>
          </cell>
          <cell r="E173" t="str">
            <v>°`"</v>
          </cell>
          <cell r="I173" t="str">
            <v>°`"</v>
          </cell>
          <cell r="J173">
            <v>159</v>
          </cell>
          <cell r="K173" t="str">
            <v>ROTUN</v>
          </cell>
          <cell r="L173" t="str">
            <v>3305012009840001</v>
          </cell>
          <cell r="O173" t="str">
            <v>4</v>
          </cell>
          <cell r="P173">
            <v>29</v>
          </cell>
          <cell r="S173" t="str">
            <v>Argopeni Rt 05 Rw 02</v>
          </cell>
          <cell r="T173" t="str">
            <v>TANI</v>
          </cell>
          <cell r="U173">
            <v>450000</v>
          </cell>
          <cell r="Y173" t="str">
            <v>40</v>
          </cell>
          <cell r="Z173" t="str">
            <v>PK</v>
          </cell>
          <cell r="AA173" t="str">
            <v>Surat Keterangan Kepala Desa</v>
          </cell>
        </row>
        <row r="174">
          <cell r="A174">
            <v>160</v>
          </cell>
          <cell r="E174" t="str">
            <v>°`"</v>
          </cell>
          <cell r="I174" t="str">
            <v>°`"</v>
          </cell>
          <cell r="J174">
            <v>160</v>
          </cell>
          <cell r="K174" t="str">
            <v>WASIMIN</v>
          </cell>
          <cell r="L174" t="str">
            <v>3305011005610001</v>
          </cell>
          <cell r="O174" t="str">
            <v>3</v>
          </cell>
          <cell r="P174">
            <v>52</v>
          </cell>
          <cell r="S174" t="str">
            <v>Argopeni Rt 05 Rw 02</v>
          </cell>
          <cell r="T174" t="str">
            <v>NELAYAN</v>
          </cell>
          <cell r="U174">
            <v>450000</v>
          </cell>
          <cell r="Y174" t="str">
            <v>46</v>
          </cell>
          <cell r="Z174" t="str">
            <v>PK</v>
          </cell>
          <cell r="AA174" t="str">
            <v>Surat Keterangan Kepala Desa</v>
          </cell>
        </row>
        <row r="175">
          <cell r="A175">
            <v>161</v>
          </cell>
          <cell r="E175" t="str">
            <v>°`"</v>
          </cell>
          <cell r="I175" t="str">
            <v>°`"</v>
          </cell>
          <cell r="J175">
            <v>161</v>
          </cell>
          <cell r="K175" t="str">
            <v>RASIYAH</v>
          </cell>
          <cell r="L175" t="str">
            <v>3305015211600004</v>
          </cell>
          <cell r="O175" t="str">
            <v>1</v>
          </cell>
          <cell r="P175">
            <v>53</v>
          </cell>
          <cell r="S175" t="str">
            <v>Argopeni Rt 05 Rw 02</v>
          </cell>
          <cell r="T175" t="str">
            <v>TANI</v>
          </cell>
          <cell r="U175">
            <v>200000</v>
          </cell>
          <cell r="Y175" t="str">
            <v>30</v>
          </cell>
          <cell r="Z175" t="str">
            <v>PK</v>
          </cell>
          <cell r="AA175" t="str">
            <v>Surat Keterangan Kepala Desa</v>
          </cell>
        </row>
        <row r="176">
          <cell r="A176">
            <v>162</v>
          </cell>
          <cell r="E176" t="str">
            <v>°`"</v>
          </cell>
          <cell r="I176" t="str">
            <v>°`"</v>
          </cell>
          <cell r="J176">
            <v>162</v>
          </cell>
          <cell r="K176" t="str">
            <v>SAREN SUMARTO</v>
          </cell>
          <cell r="L176" t="str">
            <v>3305010204560003</v>
          </cell>
          <cell r="O176" t="str">
            <v>4</v>
          </cell>
          <cell r="P176">
            <v>57</v>
          </cell>
          <cell r="S176" t="str">
            <v>Argopeni Rt 05 Rw 04</v>
          </cell>
          <cell r="T176" t="str">
            <v>TANI</v>
          </cell>
          <cell r="U176">
            <v>250000</v>
          </cell>
          <cell r="Y176" t="str">
            <v>46</v>
          </cell>
          <cell r="Z176" t="str">
            <v>PK</v>
          </cell>
          <cell r="AA176" t="str">
            <v>Surat Keterangan Kepala Desa</v>
          </cell>
        </row>
        <row r="177">
          <cell r="A177">
            <v>163</v>
          </cell>
          <cell r="E177" t="str">
            <v>°`"</v>
          </cell>
          <cell r="I177" t="str">
            <v>°`"</v>
          </cell>
          <cell r="J177">
            <v>163</v>
          </cell>
          <cell r="K177" t="str">
            <v>ANDI IFANTO</v>
          </cell>
          <cell r="L177" t="str">
            <v>3305012907870003</v>
          </cell>
          <cell r="O177" t="str">
            <v>2</v>
          </cell>
          <cell r="P177">
            <v>26</v>
          </cell>
          <cell r="S177" t="str">
            <v>Argopeni Rt 05 Rw 04</v>
          </cell>
          <cell r="T177" t="str">
            <v>SWASTA</v>
          </cell>
          <cell r="U177">
            <v>350000</v>
          </cell>
          <cell r="Y177" t="str">
            <v>42</v>
          </cell>
          <cell r="Z177" t="str">
            <v>PK</v>
          </cell>
          <cell r="AA177" t="str">
            <v>Surat Keterangan Kepala Desa</v>
          </cell>
        </row>
        <row r="178">
          <cell r="A178">
            <v>164</v>
          </cell>
          <cell r="E178" t="str">
            <v>°`"</v>
          </cell>
          <cell r="I178" t="str">
            <v>°`"</v>
          </cell>
          <cell r="J178">
            <v>164</v>
          </cell>
          <cell r="K178" t="str">
            <v>ARIF NUR HIDAYAH</v>
          </cell>
          <cell r="L178" t="str">
            <v>3305012310750003</v>
          </cell>
          <cell r="O178">
            <v>3</v>
          </cell>
          <cell r="P178">
            <v>38</v>
          </cell>
          <cell r="S178" t="str">
            <v>Argopeni Rt 05 Rw 04</v>
          </cell>
          <cell r="T178" t="str">
            <v>TANI</v>
          </cell>
          <cell r="U178">
            <v>340000</v>
          </cell>
          <cell r="Y178" t="str">
            <v>36</v>
          </cell>
          <cell r="Z178" t="str">
            <v>PK</v>
          </cell>
          <cell r="AA178" t="str">
            <v>Surat Keterangan Kepala Desa</v>
          </cell>
        </row>
        <row r="179">
          <cell r="A179">
            <v>165</v>
          </cell>
          <cell r="E179" t="str">
            <v>°`"</v>
          </cell>
          <cell r="I179" t="str">
            <v>°`"</v>
          </cell>
          <cell r="J179">
            <v>165</v>
          </cell>
          <cell r="K179" t="str">
            <v>KARYANTO</v>
          </cell>
          <cell r="L179" t="str">
            <v>3305010504880003</v>
          </cell>
          <cell r="O179" t="str">
            <v>2</v>
          </cell>
          <cell r="P179">
            <v>33</v>
          </cell>
          <cell r="S179" t="str">
            <v>Argopeni Rt 05 Rw 04</v>
          </cell>
          <cell r="T179" t="str">
            <v>SWASTA</v>
          </cell>
          <cell r="U179">
            <v>400000</v>
          </cell>
          <cell r="Y179" t="str">
            <v>46</v>
          </cell>
          <cell r="Z179" t="str">
            <v>PK</v>
          </cell>
          <cell r="AA179" t="str">
            <v>Surat Keterangan Kepala Desa</v>
          </cell>
        </row>
        <row r="180">
          <cell r="A180">
            <v>166</v>
          </cell>
          <cell r="E180" t="str">
            <v>°`"</v>
          </cell>
          <cell r="I180" t="str">
            <v>°`"</v>
          </cell>
          <cell r="J180">
            <v>166</v>
          </cell>
          <cell r="K180" t="str">
            <v>PAIJO</v>
          </cell>
          <cell r="L180" t="str">
            <v>3305012204640002</v>
          </cell>
          <cell r="O180" t="str">
            <v>5</v>
          </cell>
          <cell r="P180">
            <v>49</v>
          </cell>
          <cell r="S180" t="str">
            <v>Argopeni Rt 05 Rw 04</v>
          </cell>
          <cell r="T180" t="str">
            <v>TSNI</v>
          </cell>
          <cell r="U180">
            <v>350000</v>
          </cell>
          <cell r="Y180" t="str">
            <v>40</v>
          </cell>
          <cell r="Z180" t="str">
            <v>PK</v>
          </cell>
          <cell r="AA180" t="str">
            <v>Surat Keterangan Kepala Desa</v>
          </cell>
        </row>
        <row r="181">
          <cell r="A181">
            <v>167</v>
          </cell>
          <cell r="E181" t="str">
            <v>°`"</v>
          </cell>
          <cell r="I181" t="str">
            <v>°`"</v>
          </cell>
          <cell r="J181">
            <v>167</v>
          </cell>
          <cell r="K181" t="str">
            <v>MADRUDIN</v>
          </cell>
          <cell r="L181" t="str">
            <v>3305010608580002</v>
          </cell>
          <cell r="O181" t="str">
            <v>2</v>
          </cell>
          <cell r="P181">
            <v>55</v>
          </cell>
          <cell r="S181" t="str">
            <v>Argopeni Rt 05 Rw 04</v>
          </cell>
          <cell r="T181" t="str">
            <v>TANI</v>
          </cell>
          <cell r="U181">
            <v>300000</v>
          </cell>
          <cell r="Y181" t="str">
            <v>46</v>
          </cell>
          <cell r="Z181" t="str">
            <v>PK</v>
          </cell>
          <cell r="AA181" t="str">
            <v>Surat Keterangan Kepala Desa</v>
          </cell>
        </row>
        <row r="182">
          <cell r="A182">
            <v>168</v>
          </cell>
          <cell r="E182" t="str">
            <v>°`"</v>
          </cell>
          <cell r="I182" t="str">
            <v>°`"</v>
          </cell>
          <cell r="J182">
            <v>168</v>
          </cell>
          <cell r="K182" t="str">
            <v>SUTRISNO</v>
          </cell>
          <cell r="L182" t="str">
            <v>3305011007840006</v>
          </cell>
          <cell r="O182">
            <v>3</v>
          </cell>
          <cell r="P182">
            <v>64</v>
          </cell>
          <cell r="S182" t="str">
            <v>Argopeni Rt 05 Rw 04</v>
          </cell>
          <cell r="T182" t="str">
            <v>PETANI</v>
          </cell>
          <cell r="U182">
            <v>250000</v>
          </cell>
          <cell r="Y182" t="str">
            <v>40</v>
          </cell>
          <cell r="Z182" t="str">
            <v>PK</v>
          </cell>
          <cell r="AA182" t="str">
            <v>Surat Keterangan Kepala Desa</v>
          </cell>
        </row>
        <row r="183">
          <cell r="A183">
            <v>169</v>
          </cell>
          <cell r="E183" t="str">
            <v>°`"</v>
          </cell>
          <cell r="I183" t="str">
            <v>°`"</v>
          </cell>
          <cell r="J183">
            <v>169</v>
          </cell>
          <cell r="K183" t="str">
            <v>SENEN SUWITO</v>
          </cell>
          <cell r="L183" t="str">
            <v>3305011010690004</v>
          </cell>
          <cell r="O183" t="str">
            <v>2</v>
          </cell>
          <cell r="P183">
            <v>73</v>
          </cell>
          <cell r="S183" t="str">
            <v>Argopeni Rt 05 Rw 04</v>
          </cell>
          <cell r="T183" t="str">
            <v>PETANI</v>
          </cell>
          <cell r="U183">
            <v>350000</v>
          </cell>
          <cell r="Y183" t="str">
            <v>36</v>
          </cell>
          <cell r="Z183" t="str">
            <v>PK</v>
          </cell>
          <cell r="AA183" t="str">
            <v>Surat Keterangan Kepala Desa</v>
          </cell>
        </row>
        <row r="184">
          <cell r="A184">
            <v>170</v>
          </cell>
          <cell r="E184" t="str">
            <v>°`"</v>
          </cell>
          <cell r="I184" t="str">
            <v>°`"</v>
          </cell>
          <cell r="J184">
            <v>170</v>
          </cell>
          <cell r="K184" t="str">
            <v>MUHERI</v>
          </cell>
          <cell r="L184" t="str">
            <v>3305012510550001</v>
          </cell>
          <cell r="O184">
            <v>3</v>
          </cell>
          <cell r="P184">
            <v>77</v>
          </cell>
          <cell r="S184" t="str">
            <v>Dukuh Penusupan RT 04 RW 02</v>
          </cell>
          <cell r="T184" t="str">
            <v>PETANI</v>
          </cell>
          <cell r="U184">
            <v>250000</v>
          </cell>
          <cell r="Y184" t="str">
            <v>40</v>
          </cell>
          <cell r="Z184" t="str">
            <v>PK</v>
          </cell>
          <cell r="AA184" t="str">
            <v>Surat Keterangan Kepala Desa</v>
          </cell>
        </row>
        <row r="185">
          <cell r="A185">
            <v>171</v>
          </cell>
          <cell r="E185" t="str">
            <v>°`"</v>
          </cell>
          <cell r="I185" t="str">
            <v>°`"</v>
          </cell>
          <cell r="J185">
            <v>171</v>
          </cell>
          <cell r="K185" t="str">
            <v>SAMISO</v>
          </cell>
          <cell r="L185" t="str">
            <v>3305010107690011</v>
          </cell>
          <cell r="O185" t="str">
            <v>3</v>
          </cell>
          <cell r="P185">
            <v>44</v>
          </cell>
          <cell r="S185" t="str">
            <v>Dukuh Penusupan RT 04 RW 02</v>
          </cell>
          <cell r="T185" t="str">
            <v>NELAYAN</v>
          </cell>
          <cell r="U185">
            <v>350000</v>
          </cell>
          <cell r="Y185" t="str">
            <v>36</v>
          </cell>
          <cell r="Z185" t="str">
            <v>PK</v>
          </cell>
          <cell r="AA185" t="str">
            <v>Surat Keterangan Kepala Desa</v>
          </cell>
        </row>
        <row r="186">
          <cell r="A186">
            <v>172</v>
          </cell>
          <cell r="E186" t="str">
            <v>°`"</v>
          </cell>
          <cell r="I186" t="str">
            <v>°`"</v>
          </cell>
          <cell r="J186">
            <v>172</v>
          </cell>
          <cell r="K186" t="str">
            <v>MA'SUM</v>
          </cell>
          <cell r="L186" t="str">
            <v>3305011303610001</v>
          </cell>
          <cell r="O186" t="str">
            <v>4</v>
          </cell>
          <cell r="P186">
            <v>52</v>
          </cell>
          <cell r="S186" t="str">
            <v>Dukuh Penusupan RT 04 RW 02</v>
          </cell>
          <cell r="T186" t="str">
            <v>PETANI</v>
          </cell>
          <cell r="U186">
            <v>400000</v>
          </cell>
          <cell r="Y186" t="str">
            <v>42</v>
          </cell>
          <cell r="Z186" t="str">
            <v>PK</v>
          </cell>
          <cell r="AA186" t="str">
            <v>Surat Keterangan Kepala Desa</v>
          </cell>
        </row>
        <row r="187">
          <cell r="A187">
            <v>173</v>
          </cell>
          <cell r="E187" t="str">
            <v>°`"</v>
          </cell>
          <cell r="I187" t="str">
            <v>°`"</v>
          </cell>
          <cell r="J187">
            <v>173</v>
          </cell>
          <cell r="K187" t="str">
            <v>KASINI</v>
          </cell>
          <cell r="L187" t="str">
            <v>3305016204640005</v>
          </cell>
          <cell r="O187">
            <v>3</v>
          </cell>
          <cell r="P187">
            <v>49</v>
          </cell>
          <cell r="S187" t="str">
            <v>Dukuh Penusupan RT 04 RW 02</v>
          </cell>
          <cell r="T187" t="str">
            <v>PETANI</v>
          </cell>
          <cell r="U187">
            <v>360000</v>
          </cell>
          <cell r="Y187" t="str">
            <v>42</v>
          </cell>
          <cell r="Z187" t="str">
            <v>PK</v>
          </cell>
          <cell r="AA187" t="str">
            <v>Surat Keterangan Kepala Desa</v>
          </cell>
        </row>
        <row r="188">
          <cell r="A188">
            <v>174</v>
          </cell>
          <cell r="E188" t="str">
            <v>°`"</v>
          </cell>
          <cell r="I188" t="str">
            <v>°`"</v>
          </cell>
          <cell r="J188">
            <v>174</v>
          </cell>
          <cell r="K188" t="str">
            <v>KASPIN</v>
          </cell>
          <cell r="L188" t="str">
            <v>3305010804680001</v>
          </cell>
          <cell r="O188" t="str">
            <v>3</v>
          </cell>
          <cell r="P188">
            <v>45</v>
          </cell>
          <cell r="S188" t="str">
            <v>Dukuh Penusupan RT 04 RW 02</v>
          </cell>
          <cell r="T188" t="str">
            <v>NELAYAN</v>
          </cell>
          <cell r="U188">
            <v>350000</v>
          </cell>
          <cell r="Y188" t="str">
            <v>42</v>
          </cell>
          <cell r="Z188" t="str">
            <v>PK</v>
          </cell>
          <cell r="AA188" t="str">
            <v>Surat Keterangan Kepala Desa</v>
          </cell>
        </row>
        <row r="189">
          <cell r="A189">
            <v>175</v>
          </cell>
          <cell r="E189" t="str">
            <v>°`"</v>
          </cell>
          <cell r="I189" t="str">
            <v>°`"</v>
          </cell>
          <cell r="J189">
            <v>175</v>
          </cell>
          <cell r="K189" t="str">
            <v>TASINI</v>
          </cell>
          <cell r="L189" t="str">
            <v>3305015010550003</v>
          </cell>
          <cell r="O189" t="str">
            <v>3</v>
          </cell>
          <cell r="P189">
            <v>58</v>
          </cell>
          <cell r="S189" t="str">
            <v>Dukuh Jemenar RT 03 RW 04</v>
          </cell>
          <cell r="T189" t="str">
            <v>PETANI</v>
          </cell>
          <cell r="U189">
            <v>250000</v>
          </cell>
          <cell r="Y189" t="str">
            <v>42</v>
          </cell>
          <cell r="Z189" t="str">
            <v>PK</v>
          </cell>
          <cell r="AA189" t="str">
            <v>Surat Keterangan Kepala Desa</v>
          </cell>
        </row>
        <row r="190">
          <cell r="A190">
            <v>176</v>
          </cell>
          <cell r="E190" t="str">
            <v>°`"</v>
          </cell>
          <cell r="I190" t="str">
            <v>°`"</v>
          </cell>
          <cell r="J190">
            <v>176</v>
          </cell>
          <cell r="K190" t="str">
            <v>SUTIYO</v>
          </cell>
          <cell r="L190" t="str">
            <v>3305012003780010</v>
          </cell>
          <cell r="O190" t="str">
            <v>1</v>
          </cell>
          <cell r="P190">
            <v>35</v>
          </cell>
          <cell r="S190" t="str">
            <v>Dukuh Jemenar RT 03 RW 04</v>
          </cell>
          <cell r="T190" t="str">
            <v>PETANI</v>
          </cell>
          <cell r="U190">
            <v>350000</v>
          </cell>
          <cell r="Y190" t="str">
            <v>36</v>
          </cell>
          <cell r="Z190" t="str">
            <v>PK</v>
          </cell>
          <cell r="AA190" t="str">
            <v>Surat Keterangan Kepala Desa</v>
          </cell>
        </row>
        <row r="191">
          <cell r="A191">
            <v>177</v>
          </cell>
          <cell r="E191" t="str">
            <v>°`"</v>
          </cell>
          <cell r="I191" t="str">
            <v>°`"</v>
          </cell>
          <cell r="J191">
            <v>177</v>
          </cell>
          <cell r="K191" t="str">
            <v>SAMIARTO</v>
          </cell>
          <cell r="L191" t="str">
            <v>3305011404500002</v>
          </cell>
          <cell r="O191" t="str">
            <v>3</v>
          </cell>
          <cell r="P191">
            <v>63</v>
          </cell>
          <cell r="S191" t="str">
            <v>Dukuh Jemenar RT 03 RW 04</v>
          </cell>
          <cell r="T191" t="str">
            <v xml:space="preserve">PETANI </v>
          </cell>
          <cell r="U191">
            <v>450000</v>
          </cell>
          <cell r="Y191" t="str">
            <v>42</v>
          </cell>
          <cell r="Z191" t="str">
            <v>PK</v>
          </cell>
          <cell r="AA191" t="str">
            <v>Surat Keterangan Kepala Desa</v>
          </cell>
        </row>
        <row r="192">
          <cell r="A192">
            <v>178</v>
          </cell>
          <cell r="E192" t="str">
            <v>°`"</v>
          </cell>
          <cell r="I192" t="str">
            <v>°`"</v>
          </cell>
          <cell r="J192">
            <v>178</v>
          </cell>
          <cell r="K192" t="str">
            <v>MAIMIN</v>
          </cell>
          <cell r="L192" t="str">
            <v>3305011405470001</v>
          </cell>
          <cell r="O192" t="str">
            <v>5</v>
          </cell>
          <cell r="P192">
            <v>66</v>
          </cell>
          <cell r="S192" t="str">
            <v>Dukuh Jemenar RT 03 RW 04</v>
          </cell>
          <cell r="T192" t="str">
            <v>PETANI</v>
          </cell>
          <cell r="U192">
            <v>400000</v>
          </cell>
          <cell r="Y192" t="str">
            <v>42</v>
          </cell>
          <cell r="Z192" t="str">
            <v>PK</v>
          </cell>
          <cell r="AA192" t="str">
            <v>Surat Keterangan Kepala Desa</v>
          </cell>
        </row>
        <row r="193">
          <cell r="A193">
            <v>179</v>
          </cell>
          <cell r="E193" t="str">
            <v>°`"</v>
          </cell>
          <cell r="I193" t="str">
            <v>°`"</v>
          </cell>
          <cell r="J193">
            <v>179</v>
          </cell>
          <cell r="K193" t="str">
            <v>SAIMIN</v>
          </cell>
          <cell r="L193" t="str">
            <v>3305010103710001</v>
          </cell>
          <cell r="O193" t="str">
            <v>3</v>
          </cell>
          <cell r="P193">
            <v>42</v>
          </cell>
          <cell r="S193" t="str">
            <v>Dukuh Jemenar RT 03 RW 04</v>
          </cell>
          <cell r="T193" t="str">
            <v>PETANI</v>
          </cell>
          <cell r="U193">
            <v>300000</v>
          </cell>
          <cell r="Y193" t="str">
            <v>36</v>
          </cell>
          <cell r="Z193" t="str">
            <v>PK</v>
          </cell>
          <cell r="AA193" t="str">
            <v>Surat Keterangan Kepala Desa</v>
          </cell>
        </row>
        <row r="194">
          <cell r="A194">
            <v>180</v>
          </cell>
          <cell r="E194" t="str">
            <v>°`"</v>
          </cell>
          <cell r="I194" t="str">
            <v>°`"</v>
          </cell>
          <cell r="J194">
            <v>180</v>
          </cell>
          <cell r="K194" t="str">
            <v>MADARJO</v>
          </cell>
          <cell r="L194" t="str">
            <v>3305011303530006</v>
          </cell>
          <cell r="O194" t="str">
            <v>5</v>
          </cell>
          <cell r="P194">
            <v>60</v>
          </cell>
          <cell r="S194" t="str">
            <v>Dukuh Jemenar RT 03 RW 04</v>
          </cell>
          <cell r="T194" t="str">
            <v>PETANI</v>
          </cell>
          <cell r="U194">
            <v>400000</v>
          </cell>
          <cell r="Y194" t="str">
            <v>42</v>
          </cell>
          <cell r="Z194" t="str">
            <v>PK</v>
          </cell>
          <cell r="AA194" t="str">
            <v>Surat Keterangan Kepala Desa</v>
          </cell>
        </row>
        <row r="195">
          <cell r="A195">
            <v>181</v>
          </cell>
          <cell r="E195" t="str">
            <v>°`"</v>
          </cell>
          <cell r="I195" t="str">
            <v>°`"</v>
          </cell>
          <cell r="J195">
            <v>181</v>
          </cell>
          <cell r="K195" t="str">
            <v>SEHUDIN</v>
          </cell>
          <cell r="L195" t="str">
            <v>3305012006700005</v>
          </cell>
          <cell r="O195" t="str">
            <v>3</v>
          </cell>
          <cell r="P195">
            <v>43</v>
          </cell>
          <cell r="S195" t="str">
            <v>Dukuh Jemenar RT 03 RW 04</v>
          </cell>
          <cell r="T195" t="str">
            <v>PETANI</v>
          </cell>
          <cell r="U195">
            <v>300000</v>
          </cell>
          <cell r="Y195" t="str">
            <v>36</v>
          </cell>
          <cell r="Z195" t="str">
            <v>PK</v>
          </cell>
          <cell r="AA195" t="str">
            <v>Surat Keterangan Kepala Desa</v>
          </cell>
        </row>
        <row r="196">
          <cell r="A196">
            <v>182</v>
          </cell>
          <cell r="E196" t="str">
            <v>°`"</v>
          </cell>
          <cell r="I196" t="str">
            <v>°`"</v>
          </cell>
          <cell r="J196">
            <v>182</v>
          </cell>
          <cell r="K196" t="str">
            <v>SUTIYAH</v>
          </cell>
          <cell r="L196" t="str">
            <v>3305015005790008</v>
          </cell>
          <cell r="O196" t="str">
            <v>2</v>
          </cell>
          <cell r="P196">
            <v>34</v>
          </cell>
          <cell r="S196" t="str">
            <v>Dukuh Siluwuk RT 04 RW 04</v>
          </cell>
          <cell r="T196" t="str">
            <v>WIRASWATA</v>
          </cell>
          <cell r="U196">
            <v>400000</v>
          </cell>
          <cell r="Y196" t="str">
            <v>42</v>
          </cell>
          <cell r="Z196" t="str">
            <v>PK</v>
          </cell>
          <cell r="AA196" t="str">
            <v>Surat Keterangan Kepala Desa</v>
          </cell>
        </row>
        <row r="197">
          <cell r="A197">
            <v>183</v>
          </cell>
          <cell r="E197" t="str">
            <v>°`"</v>
          </cell>
          <cell r="I197" t="str">
            <v>°`"</v>
          </cell>
          <cell r="J197">
            <v>183</v>
          </cell>
          <cell r="K197" t="str">
            <v>SURAREJA</v>
          </cell>
          <cell r="L197" t="str">
            <v>3305012202480001</v>
          </cell>
          <cell r="O197" t="str">
            <v>2</v>
          </cell>
          <cell r="P197">
            <v>65</v>
          </cell>
          <cell r="S197" t="str">
            <v>Dukuh Siluwuk RT 04 RW 04</v>
          </cell>
          <cell r="T197" t="str">
            <v>PETANI</v>
          </cell>
          <cell r="U197">
            <v>350000</v>
          </cell>
          <cell r="Y197" t="str">
            <v>42</v>
          </cell>
          <cell r="Z197" t="str">
            <v>PK</v>
          </cell>
          <cell r="AA197" t="str">
            <v>Surat Keterangan Kepala Desa</v>
          </cell>
        </row>
        <row r="198">
          <cell r="A198">
            <v>184</v>
          </cell>
          <cell r="E198" t="str">
            <v>°`"</v>
          </cell>
          <cell r="I198" t="str">
            <v>°`"</v>
          </cell>
          <cell r="J198">
            <v>184</v>
          </cell>
          <cell r="K198" t="str">
            <v>SLAMET</v>
          </cell>
          <cell r="L198" t="str">
            <v>3305011311560002</v>
          </cell>
          <cell r="O198" t="str">
            <v>2</v>
          </cell>
          <cell r="P198">
            <v>57</v>
          </cell>
          <cell r="S198" t="str">
            <v>Dukuh Siluwuk RT 04 RW 04</v>
          </cell>
          <cell r="T198" t="str">
            <v>PETANI</v>
          </cell>
          <cell r="U198">
            <v>400000</v>
          </cell>
          <cell r="Y198" t="str">
            <v>32</v>
          </cell>
          <cell r="Z198" t="str">
            <v>PK</v>
          </cell>
          <cell r="AA198" t="str">
            <v>Surat Keterangan Kepala Desa</v>
          </cell>
        </row>
        <row r="199">
          <cell r="A199">
            <v>185</v>
          </cell>
          <cell r="E199" t="str">
            <v>°`"</v>
          </cell>
          <cell r="I199" t="str">
            <v>°`"</v>
          </cell>
          <cell r="J199">
            <v>185</v>
          </cell>
          <cell r="K199" t="str">
            <v>WAGIMIN</v>
          </cell>
          <cell r="L199" t="str">
            <v>3305012810860001</v>
          </cell>
          <cell r="O199" t="str">
            <v>2</v>
          </cell>
          <cell r="P199">
            <v>27</v>
          </cell>
          <cell r="S199" t="str">
            <v>Dukuh Siluwuk RT 04 RW 04</v>
          </cell>
          <cell r="T199" t="str">
            <v>PETANI</v>
          </cell>
          <cell r="U199">
            <v>300000</v>
          </cell>
          <cell r="Y199" t="str">
            <v>36</v>
          </cell>
          <cell r="Z199" t="str">
            <v>PK</v>
          </cell>
          <cell r="AA199" t="str">
            <v>Surat Keterangan Kepala Desa</v>
          </cell>
        </row>
        <row r="200">
          <cell r="A200">
            <v>186</v>
          </cell>
          <cell r="E200" t="str">
            <v>°`"</v>
          </cell>
          <cell r="I200" t="str">
            <v>°`"</v>
          </cell>
          <cell r="J200">
            <v>186</v>
          </cell>
          <cell r="K200" t="str">
            <v>KARYADI</v>
          </cell>
          <cell r="L200" t="str">
            <v>3305012507580001</v>
          </cell>
          <cell r="O200" t="str">
            <v>1</v>
          </cell>
          <cell r="P200">
            <v>55</v>
          </cell>
          <cell r="S200" t="str">
            <v>Dukuh Siluwuk RT 04 RW 04</v>
          </cell>
          <cell r="T200" t="str">
            <v>PETANI</v>
          </cell>
          <cell r="U200">
            <v>350000</v>
          </cell>
          <cell r="Y200" t="str">
            <v>36</v>
          </cell>
          <cell r="Z200" t="str">
            <v>PK</v>
          </cell>
          <cell r="AA200" t="str">
            <v>Surat Keterangan Kepala Desa</v>
          </cell>
        </row>
        <row r="201">
          <cell r="A201">
            <v>187</v>
          </cell>
          <cell r="E201" t="str">
            <v>°`"</v>
          </cell>
          <cell r="I201" t="str">
            <v>°`"</v>
          </cell>
          <cell r="J201">
            <v>187</v>
          </cell>
          <cell r="K201" t="str">
            <v>SAIMIN</v>
          </cell>
          <cell r="L201" t="str">
            <v>3305013112562068</v>
          </cell>
          <cell r="O201" t="str">
            <v>2</v>
          </cell>
          <cell r="P201">
            <v>57</v>
          </cell>
          <cell r="S201" t="str">
            <v>Dukuh Siluwuk RT 04 RW 04</v>
          </cell>
          <cell r="T201" t="str">
            <v>PETANI</v>
          </cell>
          <cell r="U201">
            <v>350000</v>
          </cell>
          <cell r="Y201" t="str">
            <v>46</v>
          </cell>
          <cell r="Z201" t="str">
            <v>PK</v>
          </cell>
          <cell r="AA201" t="str">
            <v>Surat Keterangan Kepala Desa</v>
          </cell>
        </row>
        <row r="202">
          <cell r="A202">
            <v>188</v>
          </cell>
          <cell r="E202" t="str">
            <v>°`"</v>
          </cell>
          <cell r="I202" t="str">
            <v>°`"</v>
          </cell>
          <cell r="J202">
            <v>188</v>
          </cell>
          <cell r="K202" t="str">
            <v>SUPARNO S</v>
          </cell>
          <cell r="L202" t="str">
            <v>3305011601620001</v>
          </cell>
          <cell r="O202" t="str">
            <v>2</v>
          </cell>
          <cell r="P202">
            <v>51</v>
          </cell>
          <cell r="S202" t="str">
            <v>Dukuh Siluwuk RT 04 RW 04</v>
          </cell>
          <cell r="T202" t="str">
            <v>NELAYAN</v>
          </cell>
          <cell r="U202">
            <v>350000</v>
          </cell>
          <cell r="Y202" t="str">
            <v>30</v>
          </cell>
          <cell r="Z202" t="str">
            <v>PK</v>
          </cell>
          <cell r="AA202" t="str">
            <v>Surat Keterangan Kepala Desa</v>
          </cell>
        </row>
        <row r="203">
          <cell r="A203">
            <v>189</v>
          </cell>
          <cell r="E203" t="str">
            <v>°`"</v>
          </cell>
          <cell r="I203" t="str">
            <v>°`"</v>
          </cell>
          <cell r="J203">
            <v>189</v>
          </cell>
          <cell r="K203" t="str">
            <v>JASIMAN</v>
          </cell>
          <cell r="L203" t="str">
            <v>33050112064450007</v>
          </cell>
          <cell r="O203" t="str">
            <v>2</v>
          </cell>
          <cell r="P203">
            <v>68</v>
          </cell>
          <cell r="S203" t="str">
            <v>Dukuh Siluwuk RT 04 RW 04</v>
          </cell>
          <cell r="T203" t="str">
            <v>PETANI</v>
          </cell>
          <cell r="U203">
            <v>350000</v>
          </cell>
          <cell r="Y203" t="str">
            <v>40</v>
          </cell>
          <cell r="Z203" t="str">
            <v>PK</v>
          </cell>
          <cell r="AA203" t="str">
            <v>Surat Keterangan Kepala Desa</v>
          </cell>
        </row>
        <row r="204">
          <cell r="A204">
            <v>190</v>
          </cell>
          <cell r="E204" t="str">
            <v>°`"</v>
          </cell>
          <cell r="I204" t="str">
            <v>°`"</v>
          </cell>
          <cell r="J204">
            <v>190</v>
          </cell>
          <cell r="K204" t="str">
            <v>SUMARLAN</v>
          </cell>
          <cell r="L204" t="str">
            <v>3305011606710002</v>
          </cell>
          <cell r="O204">
            <v>3</v>
          </cell>
          <cell r="P204">
            <v>46</v>
          </cell>
          <cell r="S204" t="str">
            <v>Dusun Karung  RT 02 RW 04</v>
          </cell>
          <cell r="T204" t="str">
            <v>NELAYAN</v>
          </cell>
          <cell r="U204">
            <v>350000</v>
          </cell>
          <cell r="Y204" t="str">
            <v>42</v>
          </cell>
          <cell r="Z204" t="str">
            <v>PK</v>
          </cell>
          <cell r="AA204" t="str">
            <v>Surat Keterangan Kepala Desa</v>
          </cell>
        </row>
        <row r="205">
          <cell r="A205">
            <v>191</v>
          </cell>
          <cell r="E205" t="str">
            <v>°`"</v>
          </cell>
          <cell r="I205" t="str">
            <v>°`"</v>
          </cell>
          <cell r="J205">
            <v>191</v>
          </cell>
          <cell r="K205" t="str">
            <v>PAJEM</v>
          </cell>
          <cell r="L205" t="str">
            <v>3305014308660003</v>
          </cell>
          <cell r="O205" t="str">
            <v>5</v>
          </cell>
          <cell r="P205">
            <v>47</v>
          </cell>
          <cell r="S205" t="str">
            <v>Dusun Karung  RT 02 RW 04</v>
          </cell>
          <cell r="T205" t="str">
            <v>PETANI/PEKEBUN</v>
          </cell>
          <cell r="U205">
            <v>350000</v>
          </cell>
          <cell r="Y205" t="str">
            <v>38</v>
          </cell>
          <cell r="Z205" t="str">
            <v>PK</v>
          </cell>
          <cell r="AA205" t="str">
            <v>Surat Keterangan Kepala Desa</v>
          </cell>
        </row>
        <row r="206">
          <cell r="A206">
            <v>192</v>
          </cell>
          <cell r="E206" t="str">
            <v>°`"</v>
          </cell>
          <cell r="I206" t="str">
            <v>°`"</v>
          </cell>
          <cell r="J206">
            <v>192</v>
          </cell>
          <cell r="K206" t="str">
            <v>MARTANI</v>
          </cell>
          <cell r="L206" t="str">
            <v>3305011409610002</v>
          </cell>
          <cell r="O206" t="str">
            <v>3</v>
          </cell>
          <cell r="P206">
            <v>52</v>
          </cell>
          <cell r="S206" t="str">
            <v>Dusun Karung  RT 02 RW 04</v>
          </cell>
          <cell r="T206" t="str">
            <v>PETANI/PEKEBUN</v>
          </cell>
          <cell r="U206">
            <v>340000</v>
          </cell>
          <cell r="Y206" t="str">
            <v>48</v>
          </cell>
          <cell r="Z206" t="str">
            <v>PK</v>
          </cell>
          <cell r="AA206" t="str">
            <v>Surat Keterangan Kepala Desa</v>
          </cell>
        </row>
        <row r="207">
          <cell r="A207">
            <v>193</v>
          </cell>
          <cell r="E207" t="str">
            <v>°`"</v>
          </cell>
          <cell r="I207" t="str">
            <v>°`"</v>
          </cell>
          <cell r="J207">
            <v>193</v>
          </cell>
          <cell r="K207" t="str">
            <v>MARIJAN CHAELANI</v>
          </cell>
          <cell r="L207" t="str">
            <v>3305011606720006</v>
          </cell>
          <cell r="O207" t="str">
            <v>3</v>
          </cell>
          <cell r="P207">
            <v>41</v>
          </cell>
          <cell r="S207" t="str">
            <v>Dusun Karung  RT 02 RW 04</v>
          </cell>
          <cell r="T207" t="str">
            <v>PETANI/PEKEBUN</v>
          </cell>
          <cell r="U207">
            <v>300000</v>
          </cell>
          <cell r="Y207" t="str">
            <v>38</v>
          </cell>
          <cell r="Z207" t="str">
            <v>PK</v>
          </cell>
          <cell r="AA207" t="str">
            <v>Surat Keterangan Kepala Desa</v>
          </cell>
        </row>
        <row r="208">
          <cell r="A208">
            <v>194</v>
          </cell>
          <cell r="E208" t="str">
            <v>°`"</v>
          </cell>
          <cell r="I208" t="str">
            <v>°`"</v>
          </cell>
          <cell r="J208">
            <v>194</v>
          </cell>
          <cell r="K208" t="str">
            <v>EDI KASRANTO</v>
          </cell>
          <cell r="L208" t="str">
            <v>3305012007680002</v>
          </cell>
          <cell r="O208" t="str">
            <v>4</v>
          </cell>
          <cell r="P208">
            <v>45</v>
          </cell>
          <cell r="S208" t="str">
            <v>Dusun Karung  RT 02 RW 04</v>
          </cell>
          <cell r="T208" t="str">
            <v>PETANI/PEKEBUN</v>
          </cell>
          <cell r="U208">
            <v>400000</v>
          </cell>
          <cell r="Y208" t="str">
            <v>38</v>
          </cell>
          <cell r="Z208" t="str">
            <v>PK</v>
          </cell>
          <cell r="AA208" t="str">
            <v>Surat Keterangan Kepala Desa</v>
          </cell>
        </row>
        <row r="209">
          <cell r="A209">
            <v>195</v>
          </cell>
          <cell r="E209" t="str">
            <v>°`"</v>
          </cell>
          <cell r="I209" t="str">
            <v>°`"</v>
          </cell>
          <cell r="J209">
            <v>195</v>
          </cell>
          <cell r="K209" t="str">
            <v>DARMI PURWANINGRUM</v>
          </cell>
          <cell r="L209" t="str">
            <v>3305016412720001</v>
          </cell>
          <cell r="O209" t="str">
            <v>2</v>
          </cell>
          <cell r="P209">
            <v>41</v>
          </cell>
          <cell r="S209" t="str">
            <v>Dusun Karung  RT 02 RW 04</v>
          </cell>
          <cell r="T209" t="str">
            <v>SWASTA</v>
          </cell>
          <cell r="U209">
            <v>400000</v>
          </cell>
          <cell r="Y209" t="str">
            <v>42</v>
          </cell>
          <cell r="Z209" t="str">
            <v>PK</v>
          </cell>
          <cell r="AA209" t="str">
            <v>Surat Keterangan Kepala Desa</v>
          </cell>
        </row>
        <row r="210">
          <cell r="A210">
            <v>196</v>
          </cell>
          <cell r="E210" t="str">
            <v>°`"</v>
          </cell>
          <cell r="I210" t="str">
            <v>°`"</v>
          </cell>
          <cell r="J210">
            <v>196</v>
          </cell>
          <cell r="K210" t="str">
            <v>PARKONI</v>
          </cell>
          <cell r="L210" t="str">
            <v>3305010206500003</v>
          </cell>
          <cell r="O210" t="str">
            <v>4</v>
          </cell>
          <cell r="P210">
            <v>63</v>
          </cell>
          <cell r="S210" t="str">
            <v>Dusun Karung  RT 02 RW 04</v>
          </cell>
          <cell r="T210" t="str">
            <v>PETANI/PEKEBUN</v>
          </cell>
          <cell r="U210">
            <v>300000</v>
          </cell>
          <cell r="Y210" t="str">
            <v>38</v>
          </cell>
          <cell r="Z210" t="str">
            <v>PK</v>
          </cell>
          <cell r="AA210" t="str">
            <v>Surat Keterangan Kepala Desa</v>
          </cell>
        </row>
        <row r="211">
          <cell r="A211">
            <v>197</v>
          </cell>
          <cell r="E211" t="str">
            <v>°`"</v>
          </cell>
          <cell r="I211" t="str">
            <v>°`"</v>
          </cell>
          <cell r="J211">
            <v>197</v>
          </cell>
          <cell r="K211" t="str">
            <v>SAMEN</v>
          </cell>
          <cell r="L211" t="str">
            <v>3305015101690002</v>
          </cell>
          <cell r="O211" t="str">
            <v>3</v>
          </cell>
          <cell r="P211">
            <v>44</v>
          </cell>
          <cell r="S211" t="str">
            <v>Dusun Karung  RT 02 RW 04</v>
          </cell>
          <cell r="T211" t="str">
            <v>PETANI/PEKEBUN</v>
          </cell>
          <cell r="U211">
            <v>350000</v>
          </cell>
          <cell r="Y211" t="str">
            <v>48</v>
          </cell>
          <cell r="Z211" t="str">
            <v>PK</v>
          </cell>
          <cell r="AA211" t="str">
            <v>Surat Keterangan Kepala Desa</v>
          </cell>
        </row>
        <row r="212">
          <cell r="A212">
            <v>198</v>
          </cell>
          <cell r="E212" t="str">
            <v>°`"</v>
          </cell>
          <cell r="I212" t="str">
            <v>°`"</v>
          </cell>
          <cell r="J212">
            <v>198</v>
          </cell>
          <cell r="K212" t="str">
            <v>KUSMAN</v>
          </cell>
          <cell r="L212" t="str">
            <v>3305011804540002</v>
          </cell>
          <cell r="O212" t="str">
            <v>1</v>
          </cell>
          <cell r="P212">
            <v>59</v>
          </cell>
          <cell r="S212" t="str">
            <v>Dusun Karung  RT 02 RW 04</v>
          </cell>
          <cell r="T212" t="str">
            <v>PETANI</v>
          </cell>
          <cell r="U212">
            <v>300000</v>
          </cell>
          <cell r="Y212" t="str">
            <v>32</v>
          </cell>
          <cell r="Z212" t="str">
            <v>PK</v>
          </cell>
          <cell r="AA212" t="str">
            <v>Surat Keterangan Kepala Desa</v>
          </cell>
        </row>
        <row r="213">
          <cell r="A213">
            <v>199</v>
          </cell>
          <cell r="E213" t="str">
            <v>°`"</v>
          </cell>
          <cell r="I213" t="str">
            <v>°`"</v>
          </cell>
          <cell r="J213">
            <v>199</v>
          </cell>
          <cell r="K213" t="str">
            <v>SATIMAN</v>
          </cell>
          <cell r="L213" t="str">
            <v>330501020578000</v>
          </cell>
          <cell r="O213" t="str">
            <v>2</v>
          </cell>
          <cell r="P213">
            <v>56</v>
          </cell>
          <cell r="S213" t="str">
            <v>Dusun Karung  RT 02 RW 04</v>
          </cell>
          <cell r="T213" t="str">
            <v>PETANI/PEKEBUN</v>
          </cell>
          <cell r="U213">
            <v>350000</v>
          </cell>
          <cell r="Y213" t="str">
            <v>32</v>
          </cell>
          <cell r="Z213" t="str">
            <v>PK</v>
          </cell>
          <cell r="AA213" t="str">
            <v>Surat Keterangan Kepala Desa</v>
          </cell>
        </row>
        <row r="214">
          <cell r="A214">
            <v>200</v>
          </cell>
          <cell r="E214" t="str">
            <v>°`"</v>
          </cell>
          <cell r="I214" t="str">
            <v>°`"</v>
          </cell>
          <cell r="J214">
            <v>200</v>
          </cell>
          <cell r="K214" t="str">
            <v>SARTO GATI PAMUNGKAS</v>
          </cell>
          <cell r="L214" t="str">
            <v>330501603850006</v>
          </cell>
          <cell r="O214" t="str">
            <v>2</v>
          </cell>
          <cell r="P214">
            <v>28</v>
          </cell>
          <cell r="S214" t="str">
            <v>Dusun Karung  RT 02 RW 04</v>
          </cell>
          <cell r="T214" t="str">
            <v>NELAYAN</v>
          </cell>
          <cell r="U214">
            <v>400000</v>
          </cell>
          <cell r="Y214" t="str">
            <v>38</v>
          </cell>
          <cell r="Z214" t="str">
            <v>PK</v>
          </cell>
          <cell r="AA214" t="str">
            <v>Surat Keterangan Kepala Desa</v>
          </cell>
        </row>
        <row r="215">
          <cell r="A215">
            <v>201</v>
          </cell>
          <cell r="E215" t="str">
            <v>°`"</v>
          </cell>
          <cell r="I215" t="str">
            <v>°`"</v>
          </cell>
          <cell r="J215">
            <v>201</v>
          </cell>
          <cell r="K215" t="str">
            <v>SUWANTO</v>
          </cell>
          <cell r="L215" t="str">
            <v>3305011204520004</v>
          </cell>
          <cell r="O215" t="str">
            <v>2</v>
          </cell>
          <cell r="P215">
            <v>61</v>
          </cell>
          <cell r="S215" t="str">
            <v>Dusun Karung  RT 02 RW 04</v>
          </cell>
          <cell r="T215" t="str">
            <v>PETANI</v>
          </cell>
          <cell r="U215">
            <v>340000</v>
          </cell>
          <cell r="Y215" t="str">
            <v>34</v>
          </cell>
          <cell r="Z215" t="str">
            <v>PK</v>
          </cell>
          <cell r="AA215" t="str">
            <v>Surat Keterangan Kepala Desa</v>
          </cell>
        </row>
        <row r="216">
          <cell r="A216">
            <v>202</v>
          </cell>
          <cell r="E216" t="str">
            <v>°`"</v>
          </cell>
          <cell r="I216" t="str">
            <v>°`"</v>
          </cell>
          <cell r="J216">
            <v>202</v>
          </cell>
          <cell r="K216" t="str">
            <v>YATMO</v>
          </cell>
          <cell r="L216" t="str">
            <v>3305011602710001</v>
          </cell>
          <cell r="O216">
            <v>3</v>
          </cell>
          <cell r="P216">
            <v>42</v>
          </cell>
          <cell r="S216" t="str">
            <v>Dusun Karung  RT 02 RW 04</v>
          </cell>
          <cell r="T216" t="str">
            <v>PETANI</v>
          </cell>
          <cell r="U216">
            <v>350000</v>
          </cell>
          <cell r="Y216" t="str">
            <v>48</v>
          </cell>
          <cell r="Z216" t="str">
            <v>PK</v>
          </cell>
          <cell r="AA216" t="str">
            <v>Surat Keterangan Kepala Desa</v>
          </cell>
        </row>
        <row r="217">
          <cell r="A217">
            <v>203</v>
          </cell>
          <cell r="E217" t="str">
            <v>°`"</v>
          </cell>
          <cell r="I217" t="str">
            <v>°`"</v>
          </cell>
          <cell r="J217">
            <v>203</v>
          </cell>
          <cell r="K217" t="str">
            <v>LAELATUN</v>
          </cell>
          <cell r="L217" t="str">
            <v>3305015026770001</v>
          </cell>
          <cell r="O217" t="str">
            <v>3</v>
          </cell>
          <cell r="P217">
            <v>36</v>
          </cell>
          <cell r="S217" t="str">
            <v>Dusun Karung  RT 02 RW 04</v>
          </cell>
          <cell r="T217" t="str">
            <v>WIRASWASTA</v>
          </cell>
          <cell r="U217">
            <v>350000</v>
          </cell>
          <cell r="Y217" t="str">
            <v>38</v>
          </cell>
          <cell r="Z217" t="str">
            <v>PK</v>
          </cell>
          <cell r="AA217" t="str">
            <v>Surat Keterangan Kepala Desa</v>
          </cell>
        </row>
        <row r="218">
          <cell r="A218">
            <v>204</v>
          </cell>
          <cell r="E218" t="str">
            <v>°`"</v>
          </cell>
          <cell r="I218" t="str">
            <v>°`"</v>
          </cell>
          <cell r="J218">
            <v>204</v>
          </cell>
          <cell r="K218" t="str">
            <v>PARIKEM</v>
          </cell>
          <cell r="L218" t="str">
            <v>3305015108670001</v>
          </cell>
          <cell r="O218" t="str">
            <v>5</v>
          </cell>
          <cell r="P218">
            <v>46</v>
          </cell>
          <cell r="S218" t="str">
            <v>Dusun Karung  RT 02 RW 04</v>
          </cell>
          <cell r="T218" t="str">
            <v>WIRASWASTA</v>
          </cell>
          <cell r="U218">
            <v>350000</v>
          </cell>
          <cell r="Y218" t="str">
            <v>38</v>
          </cell>
          <cell r="Z218" t="str">
            <v>PK</v>
          </cell>
          <cell r="AA218" t="str">
            <v>Surat Keterangan Kepala Desa</v>
          </cell>
        </row>
        <row r="219">
          <cell r="A219">
            <v>205</v>
          </cell>
          <cell r="E219" t="str">
            <v>°`"</v>
          </cell>
          <cell r="I219" t="str">
            <v>°`"</v>
          </cell>
          <cell r="J219">
            <v>205</v>
          </cell>
          <cell r="K219" t="str">
            <v>SANUSIN SADIR</v>
          </cell>
          <cell r="L219" t="str">
            <v>3305013004510002</v>
          </cell>
          <cell r="O219" t="str">
            <v>1</v>
          </cell>
          <cell r="P219">
            <v>62</v>
          </cell>
          <cell r="S219" t="str">
            <v>Dusun Paduraksa RT 03 RW 05</v>
          </cell>
          <cell r="T219" t="str">
            <v>PETANI</v>
          </cell>
          <cell r="U219">
            <v>400000</v>
          </cell>
          <cell r="Y219" t="str">
            <v>52</v>
          </cell>
          <cell r="Z219" t="str">
            <v>PK</v>
          </cell>
          <cell r="AA219" t="str">
            <v>Surat Keterangan Kepala Desa</v>
          </cell>
        </row>
        <row r="220">
          <cell r="A220">
            <v>206</v>
          </cell>
          <cell r="E220" t="str">
            <v>°`"</v>
          </cell>
          <cell r="I220" t="str">
            <v>°`"</v>
          </cell>
          <cell r="J220">
            <v>206</v>
          </cell>
          <cell r="K220" t="str">
            <v>PARSONO</v>
          </cell>
          <cell r="L220" t="str">
            <v>3305012707830002</v>
          </cell>
          <cell r="O220" t="str">
            <v>3</v>
          </cell>
          <cell r="P220">
            <v>30</v>
          </cell>
          <cell r="S220" t="str">
            <v>Dusun Paduraksa RT 03 RW 05</v>
          </cell>
          <cell r="T220" t="str">
            <v>GURU</v>
          </cell>
          <cell r="U220">
            <v>600000</v>
          </cell>
          <cell r="Y220" t="str">
            <v>42</v>
          </cell>
          <cell r="Z220" t="str">
            <v>PK</v>
          </cell>
          <cell r="AA220" t="str">
            <v>Surat Keterangan Kepala Desa</v>
          </cell>
        </row>
        <row r="221">
          <cell r="A221">
            <v>207</v>
          </cell>
          <cell r="E221" t="str">
            <v>°`"</v>
          </cell>
          <cell r="I221" t="str">
            <v>°`"</v>
          </cell>
          <cell r="J221">
            <v>207</v>
          </cell>
          <cell r="K221" t="str">
            <v>KASIRAH</v>
          </cell>
          <cell r="L221" t="str">
            <v>3305014405650006</v>
          </cell>
          <cell r="O221" t="str">
            <v>1</v>
          </cell>
          <cell r="P221">
            <v>48</v>
          </cell>
          <cell r="S221" t="str">
            <v>Dusun Paduraksa RT 03 RW 05</v>
          </cell>
          <cell r="T221" t="str">
            <v>PETANI</v>
          </cell>
          <cell r="U221">
            <v>300000</v>
          </cell>
          <cell r="Y221" t="str">
            <v>36</v>
          </cell>
          <cell r="Z221" t="str">
            <v>PK</v>
          </cell>
          <cell r="AA221" t="str">
            <v>Surat Keterangan Kepala Desa</v>
          </cell>
        </row>
        <row r="222">
          <cell r="A222">
            <v>208</v>
          </cell>
          <cell r="E222" t="str">
            <v>°`"</v>
          </cell>
          <cell r="I222" t="str">
            <v>°`"</v>
          </cell>
          <cell r="J222">
            <v>208</v>
          </cell>
          <cell r="K222" t="str">
            <v>SIRAD</v>
          </cell>
          <cell r="L222" t="str">
            <v>3305013005620001</v>
          </cell>
          <cell r="O222" t="str">
            <v>3</v>
          </cell>
          <cell r="P222">
            <v>51</v>
          </cell>
          <cell r="S222" t="str">
            <v>Dusun Paduraksa RT 03 RW 05</v>
          </cell>
          <cell r="T222" t="str">
            <v>PETANI</v>
          </cell>
          <cell r="U222">
            <v>500000</v>
          </cell>
          <cell r="Y222" t="str">
            <v>36</v>
          </cell>
          <cell r="Z222" t="str">
            <v>PK</v>
          </cell>
          <cell r="AA222" t="str">
            <v>Surat Keterangan Kepala Desa</v>
          </cell>
        </row>
        <row r="223">
          <cell r="A223">
            <v>209</v>
          </cell>
          <cell r="E223" t="str">
            <v>°`"</v>
          </cell>
          <cell r="I223" t="str">
            <v>°`"</v>
          </cell>
          <cell r="J223">
            <v>209</v>
          </cell>
          <cell r="K223" t="str">
            <v>MASRIHUDIN</v>
          </cell>
          <cell r="L223" t="str">
            <v>3305011506830002</v>
          </cell>
          <cell r="O223" t="str">
            <v>2</v>
          </cell>
          <cell r="P223">
            <v>30</v>
          </cell>
          <cell r="S223" t="str">
            <v>Dusun Paduraksa RT 03 RW 05</v>
          </cell>
          <cell r="T223" t="str">
            <v>PETANI</v>
          </cell>
          <cell r="U223">
            <v>400000</v>
          </cell>
          <cell r="Y223" t="str">
            <v>32</v>
          </cell>
          <cell r="Z223" t="str">
            <v>PK</v>
          </cell>
          <cell r="AA223" t="str">
            <v>Surat Keterangan Kepala Desa</v>
          </cell>
        </row>
        <row r="224">
          <cell r="A224">
            <v>210</v>
          </cell>
          <cell r="E224" t="str">
            <v>°`"</v>
          </cell>
          <cell r="I224" t="str">
            <v>°`"</v>
          </cell>
          <cell r="J224">
            <v>210</v>
          </cell>
          <cell r="K224" t="str">
            <v>SAPAR</v>
          </cell>
          <cell r="L224" t="str">
            <v>3305011606770007</v>
          </cell>
          <cell r="O224" t="str">
            <v>5</v>
          </cell>
          <cell r="P224">
            <v>36</v>
          </cell>
          <cell r="S224" t="str">
            <v>Dusun Paduraksa RT 03 RW 05</v>
          </cell>
          <cell r="T224" t="str">
            <v>PETANI</v>
          </cell>
          <cell r="U224">
            <v>450000</v>
          </cell>
          <cell r="Y224" t="str">
            <v>42</v>
          </cell>
          <cell r="Z224" t="str">
            <v>PK</v>
          </cell>
          <cell r="AA224" t="str">
            <v>Surat Keterangan Kepala Desa</v>
          </cell>
        </row>
        <row r="225">
          <cell r="A225">
            <v>211</v>
          </cell>
          <cell r="E225" t="str">
            <v>°`"</v>
          </cell>
          <cell r="I225" t="str">
            <v>°`"</v>
          </cell>
          <cell r="J225">
            <v>211</v>
          </cell>
          <cell r="K225" t="str">
            <v>SANBARDI</v>
          </cell>
          <cell r="L225" t="str">
            <v>3305012507450002</v>
          </cell>
          <cell r="O225" t="str">
            <v>3</v>
          </cell>
          <cell r="P225">
            <v>68</v>
          </cell>
          <cell r="S225" t="str">
            <v>Dusun Paduraksa RT 03 RW 05</v>
          </cell>
          <cell r="T225" t="str">
            <v>PETANI</v>
          </cell>
          <cell r="U225">
            <v>400000</v>
          </cell>
          <cell r="Y225" t="str">
            <v>42</v>
          </cell>
          <cell r="Z225" t="str">
            <v>PK</v>
          </cell>
          <cell r="AA225" t="str">
            <v>Surat Keterangan Kepala Desa</v>
          </cell>
        </row>
        <row r="226">
          <cell r="A226">
            <v>212</v>
          </cell>
          <cell r="E226" t="str">
            <v>°`"</v>
          </cell>
          <cell r="I226" t="str">
            <v>°`"</v>
          </cell>
          <cell r="J226">
            <v>212</v>
          </cell>
          <cell r="K226" t="str">
            <v>MISWAN</v>
          </cell>
          <cell r="L226" t="str">
            <v>3305011610780004</v>
          </cell>
          <cell r="O226" t="str">
            <v>3</v>
          </cell>
          <cell r="P226">
            <v>35</v>
          </cell>
          <cell r="S226" t="str">
            <v>Dusun Paduraksa RT 03 RW 05</v>
          </cell>
          <cell r="T226" t="str">
            <v>PETANI</v>
          </cell>
          <cell r="U226">
            <v>300000</v>
          </cell>
          <cell r="Y226" t="str">
            <v>36</v>
          </cell>
          <cell r="Z226" t="str">
            <v>PK</v>
          </cell>
          <cell r="AA226" t="str">
            <v>Surat Keterangan Kepala Desa</v>
          </cell>
        </row>
        <row r="227">
          <cell r="A227">
            <v>213</v>
          </cell>
          <cell r="E227" t="str">
            <v>°`"</v>
          </cell>
          <cell r="I227" t="str">
            <v>°`"</v>
          </cell>
          <cell r="J227">
            <v>213</v>
          </cell>
          <cell r="K227" t="str">
            <v>MISWANTO</v>
          </cell>
          <cell r="L227" t="str">
            <v>3305010607860004</v>
          </cell>
          <cell r="O227" t="str">
            <v>4</v>
          </cell>
          <cell r="P227">
            <v>27</v>
          </cell>
          <cell r="S227" t="str">
            <v>Dusun Paduraksa RT 03 RW 05</v>
          </cell>
          <cell r="T227" t="str">
            <v>PETANI</v>
          </cell>
          <cell r="U227">
            <v>400000</v>
          </cell>
          <cell r="Y227" t="str">
            <v>42</v>
          </cell>
          <cell r="Z227" t="str">
            <v>PK</v>
          </cell>
          <cell r="AA227" t="str">
            <v>Surat Keterangan Kepala Desa</v>
          </cell>
        </row>
        <row r="228">
          <cell r="A228">
            <v>214</v>
          </cell>
          <cell r="E228" t="str">
            <v>°`"</v>
          </cell>
          <cell r="I228" t="str">
            <v>°`"</v>
          </cell>
          <cell r="J228">
            <v>214</v>
          </cell>
          <cell r="K228" t="str">
            <v>YUNI ASMIYATI</v>
          </cell>
          <cell r="L228" t="str">
            <v>3305015006920001</v>
          </cell>
          <cell r="O228" t="str">
            <v>2</v>
          </cell>
          <cell r="P228">
            <v>21</v>
          </cell>
          <cell r="S228" t="str">
            <v>Dusun Paduraksa RT 03 RW 05</v>
          </cell>
          <cell r="T228" t="str">
            <v>PETANI</v>
          </cell>
          <cell r="U228">
            <v>350000</v>
          </cell>
          <cell r="Y228" t="str">
            <v>36</v>
          </cell>
          <cell r="Z228" t="str">
            <v>PK</v>
          </cell>
          <cell r="AA228" t="str">
            <v>Surat Keterangan Kepala Desa</v>
          </cell>
        </row>
        <row r="229">
          <cell r="A229">
            <v>215</v>
          </cell>
          <cell r="E229" t="str">
            <v>°`"</v>
          </cell>
          <cell r="I229" t="str">
            <v>°`"</v>
          </cell>
          <cell r="J229">
            <v>215</v>
          </cell>
          <cell r="K229" t="str">
            <v>SYARIFUDIN</v>
          </cell>
          <cell r="L229" t="str">
            <v>3305012511500002</v>
          </cell>
          <cell r="O229" t="str">
            <v>6</v>
          </cell>
          <cell r="P229">
            <v>63</v>
          </cell>
          <cell r="S229" t="str">
            <v>Dusun Paduraksa RT 03 RW 05</v>
          </cell>
          <cell r="T229" t="str">
            <v>PETANI</v>
          </cell>
          <cell r="U229">
            <v>400000</v>
          </cell>
          <cell r="Y229" t="str">
            <v>36</v>
          </cell>
          <cell r="Z229" t="str">
            <v>PK</v>
          </cell>
          <cell r="AA229" t="str">
            <v>Surat Keterangan Kepala Desa</v>
          </cell>
        </row>
        <row r="230">
          <cell r="A230">
            <v>216</v>
          </cell>
          <cell r="E230" t="str">
            <v>°`"</v>
          </cell>
          <cell r="I230" t="str">
            <v>°`"</v>
          </cell>
          <cell r="J230">
            <v>216</v>
          </cell>
          <cell r="K230" t="str">
            <v>PONIMUN</v>
          </cell>
          <cell r="L230" t="str">
            <v>3305010312740001</v>
          </cell>
          <cell r="O230" t="str">
            <v>3</v>
          </cell>
          <cell r="P230">
            <v>39</v>
          </cell>
          <cell r="S230" t="str">
            <v>Dukuh Mengkreng RT 02 RW 02</v>
          </cell>
          <cell r="T230" t="str">
            <v>NELAYAN/PERIKANAN</v>
          </cell>
          <cell r="U230">
            <v>400000</v>
          </cell>
          <cell r="Y230" t="str">
            <v>38</v>
          </cell>
          <cell r="Z230" t="str">
            <v>PK</v>
          </cell>
          <cell r="AA230" t="str">
            <v>Surat Keterangan Kepala Desa</v>
          </cell>
        </row>
        <row r="231">
          <cell r="A231">
            <v>217</v>
          </cell>
          <cell r="E231" t="str">
            <v>°`"</v>
          </cell>
          <cell r="I231" t="str">
            <v>°`"</v>
          </cell>
          <cell r="J231">
            <v>217</v>
          </cell>
          <cell r="K231" t="str">
            <v>SATIR</v>
          </cell>
          <cell r="L231" t="str">
            <v>3305010512410001</v>
          </cell>
          <cell r="O231" t="str">
            <v>2</v>
          </cell>
          <cell r="P231">
            <v>72</v>
          </cell>
          <cell r="S231" t="str">
            <v>Dukuh Mengkreng RT 02 RW 02</v>
          </cell>
          <cell r="T231" t="str">
            <v>PETANI/PEKEBUN</v>
          </cell>
          <cell r="U231">
            <v>350000</v>
          </cell>
          <cell r="Y231" t="str">
            <v>48</v>
          </cell>
          <cell r="Z231" t="str">
            <v>PK</v>
          </cell>
          <cell r="AA231" t="str">
            <v>Surat Keterangan Kepala Desa</v>
          </cell>
        </row>
        <row r="232">
          <cell r="A232">
            <v>218</v>
          </cell>
          <cell r="E232" t="str">
            <v>°`"</v>
          </cell>
          <cell r="I232" t="str">
            <v>°`"</v>
          </cell>
          <cell r="J232">
            <v>218</v>
          </cell>
          <cell r="K232" t="str">
            <v>MISRAN</v>
          </cell>
          <cell r="L232" t="str">
            <v>3305011509700001</v>
          </cell>
          <cell r="O232" t="str">
            <v>3</v>
          </cell>
          <cell r="P232">
            <v>43</v>
          </cell>
          <cell r="S232" t="str">
            <v>Dukuh Mengkreng RT 02 RW 02</v>
          </cell>
          <cell r="T232" t="str">
            <v>PETANI/PEKEBUN</v>
          </cell>
          <cell r="U232">
            <v>350000</v>
          </cell>
          <cell r="Y232" t="str">
            <v>32</v>
          </cell>
          <cell r="Z232" t="str">
            <v>PK</v>
          </cell>
          <cell r="AA232" t="str">
            <v>Surat Keterangan Kepala Desa</v>
          </cell>
        </row>
        <row r="233">
          <cell r="A233">
            <v>219</v>
          </cell>
          <cell r="E233" t="str">
            <v>°`"</v>
          </cell>
          <cell r="I233" t="str">
            <v>°`"</v>
          </cell>
          <cell r="J233">
            <v>219</v>
          </cell>
          <cell r="K233" t="str">
            <v>DIMIN</v>
          </cell>
          <cell r="L233" t="str">
            <v>3305011203680002</v>
          </cell>
          <cell r="O233" t="str">
            <v>3</v>
          </cell>
          <cell r="P233">
            <v>45</v>
          </cell>
          <cell r="S233" t="str">
            <v>Dukuh Mengkreng RT 02 RW 02</v>
          </cell>
          <cell r="T233" t="str">
            <v>NELAYAN</v>
          </cell>
          <cell r="U233">
            <v>400000</v>
          </cell>
          <cell r="Y233" t="str">
            <v>38</v>
          </cell>
          <cell r="Z233" t="str">
            <v>PK</v>
          </cell>
          <cell r="AA233" t="str">
            <v>Surat Keterangan Kepala Desa</v>
          </cell>
        </row>
        <row r="234">
          <cell r="A234">
            <v>220</v>
          </cell>
          <cell r="E234" t="str">
            <v>°`"</v>
          </cell>
          <cell r="I234" t="str">
            <v>°`"</v>
          </cell>
          <cell r="J234">
            <v>220</v>
          </cell>
          <cell r="K234" t="str">
            <v>SALIMIN</v>
          </cell>
          <cell r="L234" t="str">
            <v>3305011510510001</v>
          </cell>
          <cell r="O234" t="str">
            <v>1</v>
          </cell>
          <cell r="P234">
            <v>62</v>
          </cell>
          <cell r="S234" t="str">
            <v>Dukuh Mengkreng RT 02 RW 02</v>
          </cell>
          <cell r="T234" t="str">
            <v>NELAYAN</v>
          </cell>
          <cell r="U234">
            <v>350000</v>
          </cell>
          <cell r="Y234" t="str">
            <v>48</v>
          </cell>
          <cell r="Z234" t="str">
            <v>PK</v>
          </cell>
          <cell r="AA234" t="str">
            <v>Surat Keterangan Kepala Desa</v>
          </cell>
        </row>
        <row r="235">
          <cell r="A235">
            <v>221</v>
          </cell>
          <cell r="E235" t="str">
            <v>°`"</v>
          </cell>
          <cell r="I235" t="str">
            <v>°`"</v>
          </cell>
          <cell r="J235">
            <v>221</v>
          </cell>
          <cell r="K235" t="str">
            <v>ROKHIMIN</v>
          </cell>
          <cell r="L235" t="str">
            <v>3305011411360001</v>
          </cell>
          <cell r="O235" t="str">
            <v>2</v>
          </cell>
          <cell r="P235">
            <v>77</v>
          </cell>
          <cell r="S235" t="str">
            <v>Dukuh Mengkreng RT 02 RW 02</v>
          </cell>
          <cell r="T235" t="str">
            <v>NELAYAN</v>
          </cell>
          <cell r="U235">
            <v>350000</v>
          </cell>
          <cell r="Y235" t="str">
            <v>38</v>
          </cell>
          <cell r="Z235" t="str">
            <v>PK</v>
          </cell>
          <cell r="AA235" t="str">
            <v>Surat Keterangan Kepala Desa</v>
          </cell>
        </row>
        <row r="236">
          <cell r="A236">
            <v>222</v>
          </cell>
          <cell r="E236" t="str">
            <v>°`"</v>
          </cell>
          <cell r="I236" t="str">
            <v>°`"</v>
          </cell>
          <cell r="J236">
            <v>222</v>
          </cell>
          <cell r="K236" t="str">
            <v>KASAM</v>
          </cell>
          <cell r="L236" t="str">
            <v>3305010201830001</v>
          </cell>
          <cell r="O236" t="str">
            <v>2</v>
          </cell>
          <cell r="P236">
            <v>30</v>
          </cell>
          <cell r="S236" t="str">
            <v>Dukuh Mengkreng RT 02 RW 02</v>
          </cell>
          <cell r="T236" t="str">
            <v>NELAYAN</v>
          </cell>
          <cell r="U236">
            <v>400000</v>
          </cell>
          <cell r="Y236" t="str">
            <v>48</v>
          </cell>
          <cell r="Z236" t="str">
            <v>PK</v>
          </cell>
          <cell r="AA236" t="str">
            <v>Surat Keterangan Kepala Desa</v>
          </cell>
        </row>
        <row r="237">
          <cell r="A237">
            <v>223</v>
          </cell>
          <cell r="E237" t="str">
            <v>°`"</v>
          </cell>
          <cell r="I237" t="str">
            <v>°`"</v>
          </cell>
          <cell r="J237">
            <v>223</v>
          </cell>
          <cell r="K237" t="str">
            <v>SODIKIN</v>
          </cell>
          <cell r="L237" t="str">
            <v>3305011507730006</v>
          </cell>
          <cell r="O237" t="str">
            <v>2</v>
          </cell>
          <cell r="P237">
            <v>40</v>
          </cell>
          <cell r="S237" t="str">
            <v>Dukuh Mengkreng RT 02 RW 02</v>
          </cell>
          <cell r="T237" t="str">
            <v>NELAYAN</v>
          </cell>
          <cell r="U237">
            <v>400000</v>
          </cell>
          <cell r="Y237" t="str">
            <v>42</v>
          </cell>
          <cell r="Z237" t="str">
            <v>PK</v>
          </cell>
          <cell r="AA237" t="str">
            <v>Surat Keterangan Kepala Desa</v>
          </cell>
        </row>
        <row r="238">
          <cell r="A238">
            <v>224</v>
          </cell>
          <cell r="E238" t="str">
            <v>°`"</v>
          </cell>
          <cell r="I238" t="str">
            <v>°`"</v>
          </cell>
          <cell r="J238">
            <v>224</v>
          </cell>
          <cell r="K238" t="str">
            <v>AHMAD SETIAWAN</v>
          </cell>
          <cell r="L238" t="str">
            <v>3305013112620007</v>
          </cell>
          <cell r="O238" t="str">
            <v>5</v>
          </cell>
          <cell r="P238">
            <v>51</v>
          </cell>
          <cell r="S238" t="str">
            <v>Dukuh Mengkreng RT 02 RW 02</v>
          </cell>
          <cell r="T238" t="str">
            <v>BURUH</v>
          </cell>
          <cell r="U238">
            <v>350000</v>
          </cell>
          <cell r="Y238" t="str">
            <v>36</v>
          </cell>
          <cell r="Z238" t="str">
            <v>PK</v>
          </cell>
          <cell r="AA238" t="str">
            <v>Surat Keterangan Kepala Desa</v>
          </cell>
        </row>
        <row r="239">
          <cell r="A239">
            <v>225</v>
          </cell>
          <cell r="E239" t="str">
            <v>°`"</v>
          </cell>
          <cell r="I239" t="str">
            <v>°`"</v>
          </cell>
          <cell r="J239">
            <v>225</v>
          </cell>
          <cell r="K239" t="str">
            <v>S.HB.NURYANTO</v>
          </cell>
          <cell r="L239" t="str">
            <v>3305011306550001</v>
          </cell>
          <cell r="O239" t="str">
            <v>2</v>
          </cell>
          <cell r="P239">
            <v>58</v>
          </cell>
          <cell r="S239" t="str">
            <v>Dukuh Mengkreng RT 02 RW 02</v>
          </cell>
          <cell r="T239" t="str">
            <v>NELAYAN</v>
          </cell>
          <cell r="U239">
            <v>400000</v>
          </cell>
          <cell r="Y239" t="str">
            <v>42</v>
          </cell>
          <cell r="Z239" t="str">
            <v>PK</v>
          </cell>
          <cell r="AA239" t="str">
            <v>Surat Keterangan Kepala Desa</v>
          </cell>
        </row>
        <row r="240">
          <cell r="A240">
            <v>226</v>
          </cell>
          <cell r="E240" t="str">
            <v>°`"</v>
          </cell>
          <cell r="I240" t="str">
            <v>°`"</v>
          </cell>
          <cell r="J240">
            <v>226</v>
          </cell>
          <cell r="K240" t="str">
            <v>SAWIYEM</v>
          </cell>
          <cell r="L240" t="str">
            <v>3305014208630002</v>
          </cell>
          <cell r="O240" t="str">
            <v>1</v>
          </cell>
          <cell r="P240">
            <v>50</v>
          </cell>
          <cell r="S240" t="str">
            <v>Dukuh Mengkreng RT 02 RW 02</v>
          </cell>
          <cell r="T240" t="str">
            <v>PETANI</v>
          </cell>
          <cell r="U240">
            <v>400000</v>
          </cell>
          <cell r="Y240" t="str">
            <v>42</v>
          </cell>
          <cell r="Z240" t="str">
            <v>PK</v>
          </cell>
          <cell r="AA240" t="str">
            <v>Surat Keterangan Kepala Desa</v>
          </cell>
        </row>
        <row r="241">
          <cell r="A241">
            <v>227</v>
          </cell>
          <cell r="E241" t="str">
            <v>°`"</v>
          </cell>
          <cell r="I241" t="str">
            <v>°`"</v>
          </cell>
          <cell r="J241">
            <v>227</v>
          </cell>
          <cell r="K241" t="str">
            <v>SITI BARIYAH</v>
          </cell>
          <cell r="L241" t="str">
            <v>3305015906750004</v>
          </cell>
          <cell r="O241" t="str">
            <v>4</v>
          </cell>
          <cell r="P241">
            <v>38</v>
          </cell>
          <cell r="S241" t="str">
            <v>Dukuh Mengkreng RT 02 RW 02</v>
          </cell>
          <cell r="T241" t="str">
            <v>PETANI</v>
          </cell>
          <cell r="U241">
            <v>350000</v>
          </cell>
          <cell r="Y241" t="str">
            <v>42</v>
          </cell>
          <cell r="Z241" t="str">
            <v>PK</v>
          </cell>
          <cell r="AA241" t="str">
            <v>Surat Keterangan Kepala Desa</v>
          </cell>
        </row>
        <row r="242">
          <cell r="A242">
            <v>228</v>
          </cell>
          <cell r="E242" t="str">
            <v>°`"</v>
          </cell>
          <cell r="I242" t="str">
            <v>°`"</v>
          </cell>
          <cell r="J242">
            <v>228</v>
          </cell>
          <cell r="K242" t="str">
            <v>NYAIMIN</v>
          </cell>
          <cell r="L242" t="str">
            <v>3305012602810003</v>
          </cell>
          <cell r="O242" t="str">
            <v>3</v>
          </cell>
          <cell r="P242">
            <v>32</v>
          </cell>
          <cell r="S242" t="str">
            <v>Dukuh Penusupan RT 04 RW 02</v>
          </cell>
          <cell r="T242" t="str">
            <v>NELAYAN</v>
          </cell>
          <cell r="U242">
            <v>400000</v>
          </cell>
          <cell r="Y242" t="str">
            <v>42</v>
          </cell>
          <cell r="Z242" t="str">
            <v>PK</v>
          </cell>
          <cell r="AA242" t="str">
            <v>Surat Keterangan Kepala Desa</v>
          </cell>
        </row>
        <row r="243">
          <cell r="A243">
            <v>229</v>
          </cell>
          <cell r="E243" t="str">
            <v>°`"</v>
          </cell>
          <cell r="I243" t="str">
            <v>°`"</v>
          </cell>
          <cell r="J243">
            <v>229</v>
          </cell>
          <cell r="K243" t="str">
            <v>SAMINGIN M</v>
          </cell>
          <cell r="L243" t="str">
            <v>330501110469003</v>
          </cell>
          <cell r="O243" t="str">
            <v>5</v>
          </cell>
          <cell r="P243">
            <v>67</v>
          </cell>
          <cell r="S243" t="str">
            <v>Dukuh Penusupan RT 04 RW 02</v>
          </cell>
          <cell r="T243" t="str">
            <v>NELAYAN</v>
          </cell>
          <cell r="U243">
            <v>350000</v>
          </cell>
          <cell r="Y243" t="str">
            <v>36</v>
          </cell>
          <cell r="Z243" t="str">
            <v>PK</v>
          </cell>
          <cell r="AA243" t="str">
            <v>Surat Keterangan Kepala Desa</v>
          </cell>
        </row>
        <row r="244">
          <cell r="A244">
            <v>230</v>
          </cell>
          <cell r="E244" t="str">
            <v>°`"</v>
          </cell>
          <cell r="I244" t="str">
            <v>°`"</v>
          </cell>
          <cell r="J244">
            <v>230</v>
          </cell>
          <cell r="K244" t="str">
            <v>DARYANTO</v>
          </cell>
          <cell r="L244" t="str">
            <v>3305011002680002</v>
          </cell>
          <cell r="O244" t="str">
            <v>2</v>
          </cell>
          <cell r="P244">
            <v>45</v>
          </cell>
          <cell r="S244" t="str">
            <v>Dukuh Penusupan RT 04 RW 02</v>
          </cell>
          <cell r="T244" t="str">
            <v>NELAYAN</v>
          </cell>
          <cell r="U244">
            <v>400000</v>
          </cell>
          <cell r="Y244" t="str">
            <v>32</v>
          </cell>
          <cell r="Z244" t="str">
            <v>PK</v>
          </cell>
          <cell r="AA244" t="str">
            <v>Surat Keterangan Kepala Desa</v>
          </cell>
        </row>
        <row r="245">
          <cell r="A245">
            <v>231</v>
          </cell>
          <cell r="E245" t="str">
            <v>°`"</v>
          </cell>
          <cell r="I245" t="str">
            <v>°`"</v>
          </cell>
          <cell r="J245">
            <v>231</v>
          </cell>
          <cell r="K245" t="str">
            <v>SARDI</v>
          </cell>
          <cell r="L245" t="str">
            <v>3305011207790008</v>
          </cell>
          <cell r="O245" t="str">
            <v>3</v>
          </cell>
          <cell r="P245">
            <v>34</v>
          </cell>
          <cell r="S245" t="str">
            <v>Dukuh Penusupan RT 04 RW 02</v>
          </cell>
          <cell r="T245" t="str">
            <v>NELAYAN</v>
          </cell>
          <cell r="U245">
            <v>400000</v>
          </cell>
          <cell r="Y245" t="str">
            <v>42</v>
          </cell>
          <cell r="Z245" t="str">
            <v>PK</v>
          </cell>
          <cell r="AA245" t="str">
            <v>Surat Keterangan Kepala Desa</v>
          </cell>
        </row>
        <row r="246">
          <cell r="A246">
            <v>232</v>
          </cell>
          <cell r="E246" t="str">
            <v>°`"</v>
          </cell>
          <cell r="I246" t="str">
            <v>°`"</v>
          </cell>
          <cell r="J246">
            <v>232</v>
          </cell>
          <cell r="K246" t="str">
            <v>SAMIRUN</v>
          </cell>
          <cell r="L246" t="str">
            <v>3305011403660001</v>
          </cell>
          <cell r="O246" t="str">
            <v>4</v>
          </cell>
          <cell r="P246">
            <v>77</v>
          </cell>
          <cell r="S246" t="str">
            <v>Dukuh Penusupan RT 04 RW 02</v>
          </cell>
          <cell r="T246" t="str">
            <v>NELAYAN</v>
          </cell>
          <cell r="U246">
            <v>400000</v>
          </cell>
          <cell r="Y246" t="str">
            <v>42</v>
          </cell>
          <cell r="Z246" t="str">
            <v>PK</v>
          </cell>
          <cell r="AA246" t="str">
            <v>Surat Keterangan Kepala Desa</v>
          </cell>
        </row>
        <row r="247">
          <cell r="A247">
            <v>233</v>
          </cell>
          <cell r="E247" t="str">
            <v>°`"</v>
          </cell>
          <cell r="I247" t="str">
            <v>°`"</v>
          </cell>
          <cell r="J247">
            <v>233</v>
          </cell>
          <cell r="K247" t="str">
            <v>DARSIM</v>
          </cell>
          <cell r="L247" t="str">
            <v>3305011803730002</v>
          </cell>
          <cell r="O247" t="str">
            <v>3</v>
          </cell>
          <cell r="P247">
            <v>40</v>
          </cell>
          <cell r="S247" t="str">
            <v>Dukuh Penusupan RT 04 RW 02</v>
          </cell>
          <cell r="T247" t="str">
            <v>PETANI</v>
          </cell>
          <cell r="U247">
            <v>400000</v>
          </cell>
          <cell r="Y247" t="str">
            <v>42</v>
          </cell>
          <cell r="Z247" t="str">
            <v>PK</v>
          </cell>
          <cell r="AA247" t="str">
            <v>Surat Keterangan Kepala Desa</v>
          </cell>
        </row>
        <row r="248">
          <cell r="A248">
            <v>234</v>
          </cell>
          <cell r="E248" t="str">
            <v>°`"</v>
          </cell>
          <cell r="I248" t="str">
            <v>°`"</v>
          </cell>
          <cell r="J248">
            <v>234</v>
          </cell>
          <cell r="K248" t="str">
            <v>SANEM</v>
          </cell>
          <cell r="L248" t="str">
            <v>3305016603530002</v>
          </cell>
          <cell r="O248" t="str">
            <v>3</v>
          </cell>
          <cell r="P248">
            <v>60</v>
          </cell>
          <cell r="S248" t="str">
            <v>Dukuh Penusupan RT 04 RW 02</v>
          </cell>
          <cell r="T248" t="str">
            <v>PETANI</v>
          </cell>
          <cell r="U248">
            <v>350000</v>
          </cell>
          <cell r="Y248" t="str">
            <v>42</v>
          </cell>
          <cell r="Z248" t="str">
            <v>PK</v>
          </cell>
          <cell r="AA248" t="str">
            <v>Surat Keterangan Kepala Desa</v>
          </cell>
        </row>
        <row r="249">
          <cell r="A249">
            <v>235</v>
          </cell>
          <cell r="E249" t="str">
            <v>°`"</v>
          </cell>
          <cell r="I249" t="str">
            <v>°`"</v>
          </cell>
          <cell r="J249">
            <v>235</v>
          </cell>
          <cell r="K249" t="str">
            <v>SAJAR</v>
          </cell>
          <cell r="L249" t="str">
            <v>3305010706580001</v>
          </cell>
          <cell r="O249" t="str">
            <v>3</v>
          </cell>
          <cell r="P249">
            <v>55</v>
          </cell>
          <cell r="S249" t="str">
            <v>Dukuh Penusupan RT 04 RW 02</v>
          </cell>
          <cell r="T249" t="str">
            <v>PETANI</v>
          </cell>
          <cell r="U249">
            <v>300000</v>
          </cell>
          <cell r="Y249" t="str">
            <v>36</v>
          </cell>
          <cell r="Z249" t="str">
            <v>PK</v>
          </cell>
          <cell r="AA249" t="str">
            <v>Surat Keterangan Kepala Desa</v>
          </cell>
        </row>
        <row r="250">
          <cell r="A250">
            <v>236</v>
          </cell>
          <cell r="E250" t="str">
            <v>°`"</v>
          </cell>
          <cell r="I250" t="str">
            <v>°`"</v>
          </cell>
          <cell r="J250">
            <v>236</v>
          </cell>
          <cell r="K250" t="str">
            <v>MUHRODIN</v>
          </cell>
          <cell r="L250" t="str">
            <v>3305010807650001</v>
          </cell>
          <cell r="O250" t="str">
            <v>4</v>
          </cell>
          <cell r="P250">
            <v>48</v>
          </cell>
          <cell r="S250" t="str">
            <v>Dukuh Penusupan RT 04 RW 02</v>
          </cell>
          <cell r="T250" t="str">
            <v>PETANI</v>
          </cell>
          <cell r="U250">
            <v>400000</v>
          </cell>
          <cell r="Y250" t="str">
            <v>42</v>
          </cell>
          <cell r="Z250" t="str">
            <v>PK</v>
          </cell>
          <cell r="AA250" t="str">
            <v>Surat Keterangan Kepala Desa</v>
          </cell>
        </row>
        <row r="251">
          <cell r="A251">
            <v>237</v>
          </cell>
          <cell r="E251" t="str">
            <v>°`"</v>
          </cell>
          <cell r="I251" t="str">
            <v>°`"</v>
          </cell>
          <cell r="J251">
            <v>237</v>
          </cell>
          <cell r="K251" t="str">
            <v>AHMAD NYAMUN</v>
          </cell>
          <cell r="L251" t="str">
            <v>3305012309690002</v>
          </cell>
          <cell r="O251" t="str">
            <v>4</v>
          </cell>
          <cell r="P251">
            <v>44</v>
          </cell>
          <cell r="S251" t="str">
            <v>Dukuh Penusupan RT 04 RW 02</v>
          </cell>
          <cell r="T251" t="str">
            <v>PETANI</v>
          </cell>
          <cell r="U251">
            <v>400000</v>
          </cell>
          <cell r="Y251" t="str">
            <v>36</v>
          </cell>
          <cell r="Z251" t="str">
            <v>PK</v>
          </cell>
          <cell r="AA251" t="str">
            <v>Surat Keterangan Kepala Desa</v>
          </cell>
        </row>
        <row r="252">
          <cell r="A252">
            <v>238</v>
          </cell>
          <cell r="E252" t="str">
            <v>°`"</v>
          </cell>
          <cell r="I252" t="str">
            <v>°`"</v>
          </cell>
          <cell r="J252">
            <v>238</v>
          </cell>
          <cell r="K252" t="str">
            <v>SAMINI SUSILOWATI</v>
          </cell>
          <cell r="L252" t="str">
            <v>3305014401830003</v>
          </cell>
          <cell r="O252" t="str">
            <v>2</v>
          </cell>
          <cell r="P252">
            <v>30</v>
          </cell>
          <cell r="S252" t="str">
            <v>Dukuh Penusupan RT 04 RW 02</v>
          </cell>
          <cell r="T252" t="str">
            <v>PETANI</v>
          </cell>
          <cell r="U252">
            <v>350000</v>
          </cell>
          <cell r="Y252" t="str">
            <v>36</v>
          </cell>
          <cell r="Z252" t="str">
            <v>PK</v>
          </cell>
          <cell r="AA252" t="str">
            <v>Surat Keterangan Kepala Desa</v>
          </cell>
        </row>
        <row r="253">
          <cell r="A253">
            <v>239</v>
          </cell>
          <cell r="E253" t="str">
            <v>°`"</v>
          </cell>
          <cell r="I253" t="str">
            <v>°`"</v>
          </cell>
          <cell r="J253">
            <v>239</v>
          </cell>
          <cell r="K253" t="str">
            <v>LASIMAN</v>
          </cell>
          <cell r="L253" t="str">
            <v>3305010802420001</v>
          </cell>
          <cell r="O253" t="str">
            <v>2</v>
          </cell>
          <cell r="P253">
            <v>71</v>
          </cell>
          <cell r="S253" t="str">
            <v>Dukuh Penusupan RT 04 RW 02</v>
          </cell>
          <cell r="T253" t="str">
            <v>NELAYAN</v>
          </cell>
          <cell r="U253">
            <v>350000</v>
          </cell>
          <cell r="Y253" t="str">
            <v>42</v>
          </cell>
          <cell r="Z253" t="str">
            <v>PK</v>
          </cell>
          <cell r="AA253" t="str">
            <v>Surat Keterangan Kepala Desa</v>
          </cell>
        </row>
        <row r="254">
          <cell r="A254">
            <v>240</v>
          </cell>
          <cell r="E254" t="str">
            <v>°`"</v>
          </cell>
          <cell r="I254" t="str">
            <v>°`"</v>
          </cell>
          <cell r="J254">
            <v>240</v>
          </cell>
          <cell r="K254" t="str">
            <v>MANISAH</v>
          </cell>
          <cell r="L254" t="str">
            <v>3305016111620001</v>
          </cell>
          <cell r="O254" t="str">
            <v>1</v>
          </cell>
          <cell r="P254">
            <v>51</v>
          </cell>
          <cell r="S254" t="str">
            <v>Dukuh Penusupan RT 04 RW 02</v>
          </cell>
          <cell r="T254" t="str">
            <v>PETANI</v>
          </cell>
          <cell r="U254">
            <v>400000</v>
          </cell>
          <cell r="Y254" t="str">
            <v>36</v>
          </cell>
          <cell r="Z254" t="str">
            <v>PK</v>
          </cell>
          <cell r="AA254" t="str">
            <v>Surat Keterangan Kepala Desa</v>
          </cell>
        </row>
        <row r="255">
          <cell r="A255">
            <v>241</v>
          </cell>
          <cell r="E255" t="str">
            <v>°`"</v>
          </cell>
          <cell r="I255" t="str">
            <v>°`"</v>
          </cell>
          <cell r="J255">
            <v>241</v>
          </cell>
          <cell r="K255" t="str">
            <v>MISWANTO</v>
          </cell>
          <cell r="L255" t="str">
            <v>3305012704780002</v>
          </cell>
          <cell r="O255" t="str">
            <v>3</v>
          </cell>
          <cell r="P255">
            <v>35</v>
          </cell>
          <cell r="S255" t="str">
            <v>Dukuh Penusupan RT 04 RW 02</v>
          </cell>
          <cell r="T255" t="str">
            <v>NELAYAN</v>
          </cell>
          <cell r="U255">
            <v>400000</v>
          </cell>
          <cell r="Y255" t="str">
            <v>42</v>
          </cell>
          <cell r="Z255" t="str">
            <v>PK</v>
          </cell>
          <cell r="AA255" t="str">
            <v>Surat Keterangan Kepala Desa</v>
          </cell>
        </row>
        <row r="256">
          <cell r="A256">
            <v>242</v>
          </cell>
          <cell r="E256" t="str">
            <v>°`"</v>
          </cell>
          <cell r="I256" t="str">
            <v>°`"</v>
          </cell>
          <cell r="J256">
            <v>242</v>
          </cell>
          <cell r="K256" t="str">
            <v>KASIMUN</v>
          </cell>
          <cell r="L256" t="str">
            <v>3305012812720001</v>
          </cell>
          <cell r="O256" t="str">
            <v>3</v>
          </cell>
          <cell r="P256">
            <v>41</v>
          </cell>
          <cell r="S256" t="str">
            <v>Dukuh Penusupan RT 04 RW 02</v>
          </cell>
          <cell r="T256" t="str">
            <v>NELAYAN</v>
          </cell>
          <cell r="U256">
            <v>400000</v>
          </cell>
          <cell r="Y256" t="str">
            <v>36</v>
          </cell>
          <cell r="Z256" t="str">
            <v>PK</v>
          </cell>
          <cell r="AA256" t="str">
            <v>Surat Keterangan Kepala Desa</v>
          </cell>
        </row>
        <row r="257">
          <cell r="A257">
            <v>243</v>
          </cell>
          <cell r="E257" t="str">
            <v>°`"</v>
          </cell>
          <cell r="I257" t="str">
            <v>°`"</v>
          </cell>
          <cell r="J257">
            <v>243</v>
          </cell>
          <cell r="K257" t="str">
            <v>HEDI PURWANTO</v>
          </cell>
          <cell r="L257" t="str">
            <v>3305011209800004</v>
          </cell>
          <cell r="O257" t="str">
            <v>4</v>
          </cell>
          <cell r="P257">
            <v>33</v>
          </cell>
          <cell r="S257" t="str">
            <v>Dusun Watu Bandung RT 03 RW 02</v>
          </cell>
          <cell r="T257" t="str">
            <v>PETANI</v>
          </cell>
          <cell r="U257">
            <v>350000</v>
          </cell>
          <cell r="Y257" t="str">
            <v>42</v>
          </cell>
          <cell r="Z257" t="str">
            <v>PK</v>
          </cell>
          <cell r="AA257" t="str">
            <v>Surat Keterangan Kepala Desa</v>
          </cell>
        </row>
        <row r="258">
          <cell r="A258">
            <v>244</v>
          </cell>
          <cell r="E258" t="str">
            <v>°`"</v>
          </cell>
          <cell r="I258" t="str">
            <v>°`"</v>
          </cell>
          <cell r="J258">
            <v>244</v>
          </cell>
          <cell r="K258" t="str">
            <v>MARJUKI</v>
          </cell>
          <cell r="L258" t="str">
            <v>3305010306420002</v>
          </cell>
          <cell r="O258">
            <v>3</v>
          </cell>
          <cell r="P258">
            <v>71</v>
          </cell>
          <cell r="S258" t="str">
            <v>Dusun Watu Bandung RT 03 RW 02</v>
          </cell>
          <cell r="T258" t="str">
            <v>PETANI</v>
          </cell>
          <cell r="U258">
            <v>350000</v>
          </cell>
          <cell r="Y258" t="str">
            <v>42</v>
          </cell>
          <cell r="Z258" t="str">
            <v>PK</v>
          </cell>
          <cell r="AA258" t="str">
            <v>Surat Keterangan Kepala Desa</v>
          </cell>
        </row>
        <row r="259">
          <cell r="A259">
            <v>245</v>
          </cell>
          <cell r="E259" t="str">
            <v>°`"</v>
          </cell>
          <cell r="I259" t="str">
            <v>°`"</v>
          </cell>
          <cell r="J259">
            <v>245</v>
          </cell>
          <cell r="K259" t="str">
            <v>DULAH SAERI</v>
          </cell>
          <cell r="L259" t="str">
            <v>3305011607550004</v>
          </cell>
          <cell r="O259" t="str">
            <v>3</v>
          </cell>
          <cell r="P259">
            <v>58</v>
          </cell>
          <cell r="S259" t="str">
            <v>Dusun Watu Bandung RT 03 RW 02</v>
          </cell>
          <cell r="T259" t="str">
            <v>PETANI</v>
          </cell>
          <cell r="U259">
            <v>300000</v>
          </cell>
          <cell r="Y259" t="str">
            <v>42</v>
          </cell>
          <cell r="Z259" t="str">
            <v>PK</v>
          </cell>
          <cell r="AA259" t="str">
            <v>Surat Keterangan Kepala Desa</v>
          </cell>
        </row>
        <row r="260">
          <cell r="A260">
            <v>246</v>
          </cell>
          <cell r="E260" t="str">
            <v>°`"</v>
          </cell>
          <cell r="I260" t="str">
            <v>°`"</v>
          </cell>
          <cell r="J260">
            <v>246</v>
          </cell>
          <cell r="K260" t="str">
            <v>KASIYEM</v>
          </cell>
          <cell r="L260" t="str">
            <v>3305014603531127</v>
          </cell>
          <cell r="O260" t="str">
            <v>0</v>
          </cell>
          <cell r="P260">
            <v>82</v>
          </cell>
          <cell r="S260" t="str">
            <v>Dusun Watu Bandung RT 03 RW 02</v>
          </cell>
          <cell r="T260" t="str">
            <v>PETANI</v>
          </cell>
          <cell r="U260">
            <v>200000</v>
          </cell>
          <cell r="Y260" t="str">
            <v>36</v>
          </cell>
          <cell r="Z260" t="str">
            <v>PK</v>
          </cell>
          <cell r="AA260" t="str">
            <v>Surat Keterangan Kepala Desa</v>
          </cell>
        </row>
        <row r="261">
          <cell r="A261">
            <v>247</v>
          </cell>
          <cell r="E261" t="str">
            <v>°`"</v>
          </cell>
          <cell r="I261" t="str">
            <v>°`"</v>
          </cell>
          <cell r="J261">
            <v>247</v>
          </cell>
          <cell r="K261" t="str">
            <v>SARIDIN</v>
          </cell>
          <cell r="L261" t="str">
            <v>3305011906590002</v>
          </cell>
          <cell r="O261" t="str">
            <v>1</v>
          </cell>
          <cell r="P261">
            <v>54</v>
          </cell>
          <cell r="S261" t="str">
            <v>Dusun Watu Bandung RT 03 RW 02</v>
          </cell>
          <cell r="T261" t="str">
            <v>WIRASWASTA</v>
          </cell>
          <cell r="U261">
            <v>450000</v>
          </cell>
          <cell r="Y261" t="str">
            <v>36</v>
          </cell>
          <cell r="Z261" t="str">
            <v>PK</v>
          </cell>
          <cell r="AA261" t="str">
            <v>Surat Keterangan Kepala Desa</v>
          </cell>
        </row>
        <row r="262">
          <cell r="A262">
            <v>248</v>
          </cell>
          <cell r="E262" t="str">
            <v>°`"</v>
          </cell>
          <cell r="I262" t="str">
            <v>°`"</v>
          </cell>
          <cell r="J262">
            <v>248</v>
          </cell>
          <cell r="K262" t="str">
            <v>SURATMAN</v>
          </cell>
          <cell r="L262" t="str">
            <v>3305011001700004</v>
          </cell>
          <cell r="O262" t="str">
            <v>2</v>
          </cell>
          <cell r="P262">
            <v>43</v>
          </cell>
          <cell r="S262" t="str">
            <v>Dusun Watu Bandung RT 03 RW 02</v>
          </cell>
          <cell r="T262" t="str">
            <v>NELAYAN</v>
          </cell>
          <cell r="U262">
            <v>300000</v>
          </cell>
          <cell r="Y262" t="str">
            <v>42</v>
          </cell>
          <cell r="Z262" t="str">
            <v>PK</v>
          </cell>
          <cell r="AA262" t="str">
            <v>Surat Keterangan Kepala Desa</v>
          </cell>
        </row>
        <row r="263">
          <cell r="A263">
            <v>249</v>
          </cell>
          <cell r="E263" t="str">
            <v>°`"</v>
          </cell>
          <cell r="I263" t="str">
            <v>°`"</v>
          </cell>
          <cell r="J263">
            <v>249</v>
          </cell>
          <cell r="K263" t="str">
            <v>NAKIMIN</v>
          </cell>
          <cell r="L263" t="str">
            <v>3305010312620001</v>
          </cell>
          <cell r="O263" t="str">
            <v>4</v>
          </cell>
          <cell r="P263">
            <v>51</v>
          </cell>
          <cell r="S263" t="str">
            <v>Dusun Watu Bandung RT 03 RW 02</v>
          </cell>
          <cell r="T263" t="str">
            <v>NELAYAN</v>
          </cell>
          <cell r="U263">
            <v>500000</v>
          </cell>
          <cell r="Y263" t="str">
            <v>42</v>
          </cell>
          <cell r="Z263" t="str">
            <v>PK</v>
          </cell>
          <cell r="AA263" t="str">
            <v>Surat Keterangan Kepala Desa</v>
          </cell>
        </row>
        <row r="264">
          <cell r="A264">
            <v>250</v>
          </cell>
          <cell r="E264" t="str">
            <v>°`"</v>
          </cell>
          <cell r="I264" t="str">
            <v>°`"</v>
          </cell>
          <cell r="J264">
            <v>250</v>
          </cell>
          <cell r="K264" t="str">
            <v>RASIYAH</v>
          </cell>
          <cell r="L264" t="str">
            <v>3305014205780001</v>
          </cell>
          <cell r="O264" t="str">
            <v>3</v>
          </cell>
          <cell r="P264">
            <v>35</v>
          </cell>
          <cell r="S264" t="str">
            <v>Dusun Watu Bandung RT 03 RW 02</v>
          </cell>
          <cell r="T264" t="str">
            <v>WIRASWASTA</v>
          </cell>
          <cell r="U264">
            <v>300000</v>
          </cell>
          <cell r="Y264" t="str">
            <v>42</v>
          </cell>
          <cell r="Z264" t="str">
            <v>PK</v>
          </cell>
          <cell r="AA264" t="str">
            <v>Surat Keterangan Kepala Desa</v>
          </cell>
        </row>
        <row r="265">
          <cell r="A265">
            <v>251</v>
          </cell>
          <cell r="E265" t="str">
            <v>°`"</v>
          </cell>
          <cell r="I265" t="str">
            <v>°`"</v>
          </cell>
          <cell r="J265" t="str">
            <v/>
          </cell>
          <cell r="P265" t="e">
            <v>#VALUE!</v>
          </cell>
        </row>
        <row r="266">
          <cell r="A266">
            <v>252</v>
          </cell>
          <cell r="E266" t="str">
            <v>°`"</v>
          </cell>
          <cell r="I266" t="str">
            <v>°`"</v>
          </cell>
          <cell r="J266" t="str">
            <v/>
          </cell>
          <cell r="P266" t="e">
            <v>#VALUE!</v>
          </cell>
        </row>
        <row r="267">
          <cell r="A267">
            <v>253</v>
          </cell>
          <cell r="E267" t="str">
            <v>°`"</v>
          </cell>
          <cell r="I267" t="str">
            <v>°`"</v>
          </cell>
          <cell r="J267" t="str">
            <v/>
          </cell>
          <cell r="P267" t="e">
            <v>#VALUE!</v>
          </cell>
        </row>
        <row r="268">
          <cell r="A268">
            <v>254</v>
          </cell>
          <cell r="E268" t="str">
            <v>°`"</v>
          </cell>
          <cell r="I268" t="str">
            <v>°`"</v>
          </cell>
          <cell r="P268" t="e">
            <v>#VALUE!</v>
          </cell>
        </row>
        <row r="269">
          <cell r="A269">
            <v>255</v>
          </cell>
          <cell r="E269" t="str">
            <v>°`"</v>
          </cell>
          <cell r="I269" t="str">
            <v>°`"</v>
          </cell>
          <cell r="P269" t="e">
            <v>#VALUE!</v>
          </cell>
        </row>
        <row r="270">
          <cell r="A270">
            <v>256</v>
          </cell>
          <cell r="E270" t="str">
            <v>°`"</v>
          </cell>
          <cell r="I270" t="str">
            <v>°`"</v>
          </cell>
          <cell r="P270" t="e">
            <v>#VALUE!</v>
          </cell>
        </row>
        <row r="271">
          <cell r="A271">
            <v>257</v>
          </cell>
          <cell r="E271" t="str">
            <v>°`"</v>
          </cell>
          <cell r="I271" t="str">
            <v>°`"</v>
          </cell>
          <cell r="P271" t="e">
            <v>#VALUE!</v>
          </cell>
        </row>
        <row r="272">
          <cell r="A272">
            <v>258</v>
          </cell>
          <cell r="E272" t="str">
            <v>°`"</v>
          </cell>
          <cell r="I272" t="str">
            <v>°`"</v>
          </cell>
          <cell r="P272" t="e">
            <v>#VALUE!</v>
          </cell>
        </row>
        <row r="273">
          <cell r="A273">
            <v>259</v>
          </cell>
          <cell r="E273" t="str">
            <v>°`"</v>
          </cell>
          <cell r="I273" t="str">
            <v>°`"</v>
          </cell>
          <cell r="P273" t="e">
            <v>#VALUE!</v>
          </cell>
        </row>
        <row r="274">
          <cell r="A274">
            <v>260</v>
          </cell>
          <cell r="E274" t="str">
            <v>°`"</v>
          </cell>
          <cell r="I274" t="str">
            <v>°`"</v>
          </cell>
          <cell r="P274" t="e">
            <v>#VALUE!</v>
          </cell>
        </row>
        <row r="275">
          <cell r="A275">
            <v>261</v>
          </cell>
          <cell r="E275" t="str">
            <v>°`"</v>
          </cell>
          <cell r="I275" t="str">
            <v>°`"</v>
          </cell>
          <cell r="P275" t="e">
            <v>#VALUE!</v>
          </cell>
        </row>
        <row r="276">
          <cell r="A276">
            <v>262</v>
          </cell>
          <cell r="E276" t="str">
            <v>°`"</v>
          </cell>
          <cell r="I276" t="str">
            <v>°`"</v>
          </cell>
          <cell r="P276" t="e">
            <v>#VALUE!</v>
          </cell>
        </row>
        <row r="277">
          <cell r="A277">
            <v>263</v>
          </cell>
          <cell r="E277" t="str">
            <v>°`"</v>
          </cell>
          <cell r="I277" t="str">
            <v>°`"</v>
          </cell>
          <cell r="P277" t="e">
            <v>#VALUE!</v>
          </cell>
        </row>
        <row r="278">
          <cell r="A278">
            <v>264</v>
          </cell>
          <cell r="E278" t="str">
            <v>°`"</v>
          </cell>
          <cell r="I278" t="str">
            <v>°`"</v>
          </cell>
          <cell r="P278" t="e">
            <v>#VALUE!</v>
          </cell>
        </row>
        <row r="279">
          <cell r="A279">
            <v>265</v>
          </cell>
          <cell r="E279" t="str">
            <v>°`"</v>
          </cell>
          <cell r="I279" t="str">
            <v>°`"</v>
          </cell>
          <cell r="P279" t="e">
            <v>#VALUE!</v>
          </cell>
        </row>
        <row r="280">
          <cell r="A280">
            <v>266</v>
          </cell>
          <cell r="E280" t="str">
            <v>°`"</v>
          </cell>
          <cell r="I280" t="str">
            <v>°`"</v>
          </cell>
          <cell r="P280" t="e">
            <v>#VALUE!</v>
          </cell>
        </row>
        <row r="281">
          <cell r="A281">
            <v>267</v>
          </cell>
          <cell r="E281" t="str">
            <v>°`"</v>
          </cell>
          <cell r="I281" t="str">
            <v>°`"</v>
          </cell>
          <cell r="P281" t="e">
            <v>#VALUE!</v>
          </cell>
        </row>
        <row r="282">
          <cell r="A282">
            <v>268</v>
          </cell>
          <cell r="E282" t="str">
            <v>°`"</v>
          </cell>
          <cell r="I282" t="str">
            <v>°`"</v>
          </cell>
          <cell r="P282" t="e">
            <v>#VALUE!</v>
          </cell>
        </row>
        <row r="283">
          <cell r="A283">
            <v>269</v>
          </cell>
          <cell r="E283" t="str">
            <v>°`"</v>
          </cell>
          <cell r="I283" t="str">
            <v>°`"</v>
          </cell>
          <cell r="P283" t="e">
            <v>#VALUE!</v>
          </cell>
        </row>
        <row r="284">
          <cell r="A284">
            <v>270</v>
          </cell>
          <cell r="E284" t="str">
            <v>°`"</v>
          </cell>
          <cell r="I284" t="str">
            <v>°`"</v>
          </cell>
          <cell r="P284" t="e">
            <v>#VALUE!</v>
          </cell>
        </row>
        <row r="285">
          <cell r="A285">
            <v>271</v>
          </cell>
          <cell r="E285" t="str">
            <v>°`"</v>
          </cell>
          <cell r="I285" t="str">
            <v>°`"</v>
          </cell>
          <cell r="P285" t="e">
            <v>#VALUE!</v>
          </cell>
        </row>
        <row r="286">
          <cell r="A286">
            <v>272</v>
          </cell>
          <cell r="E286" t="str">
            <v>°`"</v>
          </cell>
          <cell r="I286" t="str">
            <v>°`"</v>
          </cell>
          <cell r="P286" t="e">
            <v>#VALUE!</v>
          </cell>
        </row>
        <row r="287">
          <cell r="A287">
            <v>273</v>
          </cell>
          <cell r="E287" t="str">
            <v>°`"</v>
          </cell>
          <cell r="I287" t="str">
            <v>°`"</v>
          </cell>
          <cell r="P287" t="e">
            <v>#VALUE!</v>
          </cell>
        </row>
        <row r="288">
          <cell r="A288">
            <v>274</v>
          </cell>
          <cell r="E288" t="str">
            <v>°`"</v>
          </cell>
          <cell r="I288" t="str">
            <v>°`"</v>
          </cell>
          <cell r="P288" t="e">
            <v>#VALUE!</v>
          </cell>
        </row>
        <row r="289">
          <cell r="A289">
            <v>275</v>
          </cell>
          <cell r="E289" t="str">
            <v>°`"</v>
          </cell>
          <cell r="I289" t="str">
            <v>°`"</v>
          </cell>
          <cell r="P289" t="e">
            <v>#VALUE!</v>
          </cell>
        </row>
        <row r="290">
          <cell r="A290">
            <v>276</v>
          </cell>
          <cell r="E290" t="str">
            <v>°`"</v>
          </cell>
          <cell r="I290" t="str">
            <v>°`"</v>
          </cell>
          <cell r="P290" t="e">
            <v>#VALUE!</v>
          </cell>
        </row>
        <row r="291">
          <cell r="A291">
            <v>277</v>
          </cell>
          <cell r="E291" t="str">
            <v>°`"</v>
          </cell>
          <cell r="I291" t="str">
            <v>°`"</v>
          </cell>
          <cell r="P291" t="e">
            <v>#VALUE!</v>
          </cell>
        </row>
        <row r="292">
          <cell r="A292">
            <v>278</v>
          </cell>
          <cell r="E292" t="str">
            <v>°`"</v>
          </cell>
          <cell r="I292" t="str">
            <v>°`"</v>
          </cell>
          <cell r="P292" t="e">
            <v>#VALUE!</v>
          </cell>
        </row>
        <row r="293">
          <cell r="A293">
            <v>279</v>
          </cell>
          <cell r="E293" t="str">
            <v>°`"</v>
          </cell>
          <cell r="I293" t="str">
            <v>°`"</v>
          </cell>
          <cell r="P293" t="e">
            <v>#VALUE!</v>
          </cell>
        </row>
        <row r="294">
          <cell r="A294">
            <v>280</v>
          </cell>
          <cell r="E294" t="str">
            <v>°`"</v>
          </cell>
          <cell r="I294" t="str">
            <v>°`"</v>
          </cell>
          <cell r="P294" t="e">
            <v>#VALUE!</v>
          </cell>
        </row>
        <row r="295">
          <cell r="A295">
            <v>281</v>
          </cell>
          <cell r="E295" t="str">
            <v>°`"</v>
          </cell>
          <cell r="I295" t="str">
            <v>°`"</v>
          </cell>
          <cell r="P295" t="e">
            <v>#VALUE!</v>
          </cell>
        </row>
        <row r="296">
          <cell r="A296">
            <v>282</v>
          </cell>
          <cell r="E296" t="str">
            <v>°`"</v>
          </cell>
          <cell r="I296" t="str">
            <v>°`"</v>
          </cell>
          <cell r="P296" t="e">
            <v>#VALUE!</v>
          </cell>
        </row>
        <row r="297">
          <cell r="A297">
            <v>283</v>
          </cell>
          <cell r="E297" t="str">
            <v>°`"</v>
          </cell>
          <cell r="I297" t="str">
            <v>°`"</v>
          </cell>
          <cell r="P297" t="e">
            <v>#VALUE!</v>
          </cell>
        </row>
        <row r="298">
          <cell r="A298">
            <v>284</v>
          </cell>
          <cell r="E298" t="str">
            <v>°`"</v>
          </cell>
          <cell r="I298" t="str">
            <v>°`"</v>
          </cell>
          <cell r="P298" t="e">
            <v>#VALUE!</v>
          </cell>
        </row>
        <row r="299">
          <cell r="A299">
            <v>285</v>
          </cell>
          <cell r="E299" t="str">
            <v>°`"</v>
          </cell>
          <cell r="I299" t="str">
            <v>°`"</v>
          </cell>
          <cell r="P299" t="e">
            <v>#VALUE!</v>
          </cell>
        </row>
        <row r="300">
          <cell r="A300">
            <v>286</v>
          </cell>
          <cell r="E300" t="str">
            <v>°`"</v>
          </cell>
          <cell r="I300" t="str">
            <v>°`"</v>
          </cell>
          <cell r="P300" t="e">
            <v>#VALUE!</v>
          </cell>
        </row>
        <row r="301">
          <cell r="A301">
            <v>287</v>
          </cell>
          <cell r="E301" t="str">
            <v>°`"</v>
          </cell>
          <cell r="I301" t="str">
            <v>°`"</v>
          </cell>
          <cell r="P301" t="e">
            <v>#VALUE!</v>
          </cell>
        </row>
        <row r="302">
          <cell r="A302">
            <v>288</v>
          </cell>
          <cell r="E302" t="str">
            <v>°`"</v>
          </cell>
          <cell r="I302" t="str">
            <v>°`"</v>
          </cell>
          <cell r="P302" t="e">
            <v>#VALUE!</v>
          </cell>
        </row>
        <row r="303">
          <cell r="A303">
            <v>289</v>
          </cell>
          <cell r="E303" t="str">
            <v>°`"</v>
          </cell>
          <cell r="I303" t="str">
            <v>°`"</v>
          </cell>
          <cell r="P303" t="e">
            <v>#VALUE!</v>
          </cell>
        </row>
        <row r="304">
          <cell r="A304">
            <v>290</v>
          </cell>
          <cell r="E304" t="str">
            <v>°`"</v>
          </cell>
          <cell r="I304" t="str">
            <v>°`"</v>
          </cell>
          <cell r="P304" t="e">
            <v>#VALUE!</v>
          </cell>
        </row>
        <row r="305">
          <cell r="A305">
            <v>291</v>
          </cell>
          <cell r="E305" t="str">
            <v>°`"</v>
          </cell>
          <cell r="I305" t="str">
            <v>°`"</v>
          </cell>
          <cell r="P305" t="e">
            <v>#VALUE!</v>
          </cell>
        </row>
        <row r="306">
          <cell r="A306">
            <v>292</v>
          </cell>
          <cell r="E306" t="str">
            <v>°`"</v>
          </cell>
          <cell r="I306" t="str">
            <v>°`"</v>
          </cell>
          <cell r="P306" t="e">
            <v>#VALUE!</v>
          </cell>
        </row>
        <row r="307">
          <cell r="A307">
            <v>293</v>
          </cell>
          <cell r="E307" t="str">
            <v>°`"</v>
          </cell>
          <cell r="I307" t="str">
            <v>°`"</v>
          </cell>
          <cell r="P307" t="e">
            <v>#VALUE!</v>
          </cell>
        </row>
        <row r="308">
          <cell r="A308">
            <v>294</v>
          </cell>
          <cell r="E308" t="str">
            <v>°`"</v>
          </cell>
          <cell r="I308" t="str">
            <v>°`"</v>
          </cell>
          <cell r="P308" t="e">
            <v>#VALUE!</v>
          </cell>
        </row>
        <row r="309">
          <cell r="A309">
            <v>295</v>
          </cell>
          <cell r="E309" t="str">
            <v>°`"</v>
          </cell>
          <cell r="I309" t="str">
            <v>°`"</v>
          </cell>
          <cell r="P309" t="e">
            <v>#VALUE!</v>
          </cell>
        </row>
        <row r="310">
          <cell r="A310">
            <v>296</v>
          </cell>
          <cell r="E310" t="str">
            <v>°`"</v>
          </cell>
          <cell r="I310" t="str">
            <v>°`"</v>
          </cell>
          <cell r="P310" t="e">
            <v>#VALUE!</v>
          </cell>
        </row>
        <row r="311">
          <cell r="A311">
            <v>297</v>
          </cell>
          <cell r="E311" t="str">
            <v>°`"</v>
          </cell>
          <cell r="I311" t="str">
            <v>°`"</v>
          </cell>
          <cell r="P311" t="e">
            <v>#VALUE!</v>
          </cell>
        </row>
        <row r="312">
          <cell r="A312">
            <v>298</v>
          </cell>
          <cell r="E312" t="str">
            <v>°`"</v>
          </cell>
          <cell r="I312" t="str">
            <v>°`"</v>
          </cell>
          <cell r="P312" t="e">
            <v>#VALUE!</v>
          </cell>
        </row>
        <row r="313">
          <cell r="A313">
            <v>299</v>
          </cell>
          <cell r="E313" t="str">
            <v>°`"</v>
          </cell>
          <cell r="I313" t="str">
            <v>°`"</v>
          </cell>
          <cell r="P313" t="e">
            <v>#VALUE!</v>
          </cell>
        </row>
        <row r="314">
          <cell r="A314">
            <v>300</v>
          </cell>
          <cell r="E314" t="str">
            <v>°`"</v>
          </cell>
          <cell r="I314" t="str">
            <v>°`"</v>
          </cell>
          <cell r="P314" t="e">
            <v>#VALUE!</v>
          </cell>
        </row>
        <row r="315">
          <cell r="A315">
            <v>301</v>
          </cell>
          <cell r="E315" t="str">
            <v>°`"</v>
          </cell>
          <cell r="I315" t="str">
            <v>°`"</v>
          </cell>
          <cell r="P315" t="e">
            <v>#VALUE!</v>
          </cell>
        </row>
        <row r="316">
          <cell r="A316">
            <v>302</v>
          </cell>
          <cell r="E316" t="str">
            <v>°`"</v>
          </cell>
          <cell r="I316" t="str">
            <v>°`"</v>
          </cell>
          <cell r="P316" t="e">
            <v>#VALUE!</v>
          </cell>
        </row>
        <row r="317">
          <cell r="A317">
            <v>303</v>
          </cell>
          <cell r="E317" t="str">
            <v>°`"</v>
          </cell>
          <cell r="I317" t="str">
            <v>°`"</v>
          </cell>
          <cell r="P317" t="e">
            <v>#VALUE!</v>
          </cell>
        </row>
        <row r="318">
          <cell r="A318">
            <v>304</v>
          </cell>
          <cell r="E318" t="str">
            <v>°`"</v>
          </cell>
          <cell r="I318" t="str">
            <v>°`"</v>
          </cell>
          <cell r="P318" t="e">
            <v>#VALUE!</v>
          </cell>
        </row>
        <row r="319">
          <cell r="A319">
            <v>305</v>
          </cell>
          <cell r="E319" t="str">
            <v>°`"</v>
          </cell>
          <cell r="I319" t="str">
            <v>°`"</v>
          </cell>
          <cell r="P319" t="e">
            <v>#VALUE!</v>
          </cell>
        </row>
        <row r="320">
          <cell r="A320">
            <v>306</v>
          </cell>
          <cell r="E320" t="str">
            <v>°`"</v>
          </cell>
          <cell r="I320" t="str">
            <v>°`"</v>
          </cell>
          <cell r="P320" t="e">
            <v>#VALUE!</v>
          </cell>
        </row>
        <row r="321">
          <cell r="A321">
            <v>307</v>
          </cell>
          <cell r="E321" t="str">
            <v>°`"</v>
          </cell>
          <cell r="I321" t="str">
            <v>°`"</v>
          </cell>
          <cell r="P321" t="e">
            <v>#VALUE!</v>
          </cell>
        </row>
        <row r="322">
          <cell r="A322">
            <v>308</v>
          </cell>
          <cell r="E322" t="str">
            <v>°`"</v>
          </cell>
          <cell r="I322" t="str">
            <v>°`"</v>
          </cell>
          <cell r="P322" t="e">
            <v>#VALUE!</v>
          </cell>
        </row>
        <row r="323">
          <cell r="A323">
            <v>309</v>
          </cell>
          <cell r="E323" t="str">
            <v>°`"</v>
          </cell>
          <cell r="I323" t="str">
            <v>°`"</v>
          </cell>
          <cell r="P323" t="e">
            <v>#VALUE!</v>
          </cell>
        </row>
        <row r="324">
          <cell r="A324">
            <v>310</v>
          </cell>
          <cell r="E324" t="str">
            <v>°`"</v>
          </cell>
          <cell r="I324" t="str">
            <v>°`"</v>
          </cell>
          <cell r="P324" t="e">
            <v>#VALUE!</v>
          </cell>
        </row>
        <row r="325">
          <cell r="A325">
            <v>311</v>
          </cell>
          <cell r="E325" t="str">
            <v>°`"</v>
          </cell>
          <cell r="I325" t="str">
            <v>°`"</v>
          </cell>
          <cell r="P325" t="e">
            <v>#VALUE!</v>
          </cell>
        </row>
        <row r="326">
          <cell r="A326">
            <v>312</v>
          </cell>
          <cell r="E326" t="str">
            <v>°`"</v>
          </cell>
          <cell r="I326" t="str">
            <v>°`"</v>
          </cell>
          <cell r="P326" t="e">
            <v>#VALUE!</v>
          </cell>
        </row>
        <row r="327">
          <cell r="A327">
            <v>313</v>
          </cell>
          <cell r="E327" t="str">
            <v>°`"</v>
          </cell>
          <cell r="I327" t="str">
            <v>°`"</v>
          </cell>
          <cell r="P327" t="e">
            <v>#VALUE!</v>
          </cell>
        </row>
        <row r="328">
          <cell r="A328">
            <v>314</v>
          </cell>
          <cell r="E328" t="str">
            <v>°`"</v>
          </cell>
          <cell r="I328" t="str">
            <v>°`"</v>
          </cell>
          <cell r="P328" t="e">
            <v>#VALUE!</v>
          </cell>
        </row>
        <row r="329">
          <cell r="A329">
            <v>315</v>
          </cell>
          <cell r="E329" t="str">
            <v>°`"</v>
          </cell>
          <cell r="I329" t="str">
            <v>°`"</v>
          </cell>
          <cell r="P329" t="e">
            <v>#VALUE!</v>
          </cell>
        </row>
        <row r="330">
          <cell r="A330">
            <v>316</v>
          </cell>
          <cell r="E330" t="str">
            <v>°`"</v>
          </cell>
          <cell r="I330" t="str">
            <v>°`"</v>
          </cell>
          <cell r="P330" t="e">
            <v>#VALUE!</v>
          </cell>
        </row>
        <row r="331">
          <cell r="A331">
            <v>317</v>
          </cell>
          <cell r="E331" t="str">
            <v>°`"</v>
          </cell>
          <cell r="I331" t="str">
            <v>°`"</v>
          </cell>
          <cell r="P331" t="e">
            <v>#VALUE!</v>
          </cell>
        </row>
        <row r="332">
          <cell r="A332">
            <v>318</v>
          </cell>
          <cell r="E332" t="str">
            <v>°`"</v>
          </cell>
          <cell r="I332" t="str">
            <v>°`"</v>
          </cell>
          <cell r="P332" t="e">
            <v>#VALUE!</v>
          </cell>
        </row>
        <row r="333">
          <cell r="A333">
            <v>319</v>
          </cell>
          <cell r="E333" t="str">
            <v>°`"</v>
          </cell>
          <cell r="I333" t="str">
            <v>°`"</v>
          </cell>
          <cell r="P333" t="e">
            <v>#VALUE!</v>
          </cell>
        </row>
        <row r="334">
          <cell r="A334">
            <v>320</v>
          </cell>
          <cell r="E334" t="str">
            <v>°`"</v>
          </cell>
          <cell r="I334" t="str">
            <v>°`"</v>
          </cell>
          <cell r="P334" t="e">
            <v>#VALUE!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1"/>
      <sheetName val="Base_02"/>
    </sheetNames>
    <sheetDataSet>
      <sheetData sheetId="0">
        <row r="2">
          <cell r="B2" t="str">
            <v>Kelurahan</v>
          </cell>
          <cell r="C2" t="str">
            <v>Klasabi</v>
          </cell>
        </row>
        <row r="3">
          <cell r="B3" t="str">
            <v>Distrik</v>
          </cell>
          <cell r="C3" t="str">
            <v>Sorong Manoi</v>
          </cell>
        </row>
        <row r="4">
          <cell r="B4" t="str">
            <v>Kota</v>
          </cell>
          <cell r="C4" t="str">
            <v>Sorong</v>
          </cell>
        </row>
        <row r="5">
          <cell r="B5" t="str">
            <v>Provinsi</v>
          </cell>
          <cell r="C5" t="str">
            <v>Papua Barat Daya</v>
          </cell>
        </row>
        <row r="15">
          <cell r="C15" t="str">
            <v>Febri Nur Fitrianto</v>
          </cell>
        </row>
        <row r="16">
          <cell r="C16" t="str">
            <v>NIP 199702092020121005</v>
          </cell>
        </row>
        <row r="17">
          <cell r="B17" t="str">
            <v>Koordinator Kota</v>
          </cell>
          <cell r="C17" t="str">
            <v>AfrIandi Yudhistira, S.T.</v>
          </cell>
        </row>
        <row r="20">
          <cell r="C20" t="str">
            <v>…...............         …...............</v>
          </cell>
        </row>
      </sheetData>
      <sheetData sheetId="1">
        <row r="5">
          <cell r="A5">
            <v>1</v>
          </cell>
          <cell r="B5" t="str">
            <v>000001</v>
          </cell>
          <cell r="C5" t="str">
            <v>Nama PB 1</v>
          </cell>
          <cell r="D5" t="str">
            <v>L</v>
          </cell>
          <cell r="E5" t="str">
            <v>Sorong</v>
          </cell>
          <cell r="F5">
            <v>36526</v>
          </cell>
          <cell r="G5">
            <v>26</v>
          </cell>
          <cell r="H5" t="str">
            <v>Mengurus Rumah Tangga</v>
          </cell>
          <cell r="I5" t="str">
            <v>081328888801</v>
          </cell>
          <cell r="J5" t="str">
            <v>1.800.000</v>
          </cell>
          <cell r="K5" t="str">
            <v>Jalan Kanal Victory</v>
          </cell>
          <cell r="L5">
            <v>1</v>
          </cell>
          <cell r="M5">
            <v>1</v>
          </cell>
          <cell r="N5" t="str">
            <v>3310080902970001</v>
          </cell>
          <cell r="O5">
            <v>16</v>
          </cell>
          <cell r="P5" t="str">
            <v>…………….</v>
          </cell>
          <cell r="Q5">
            <v>6</v>
          </cell>
          <cell r="R5">
            <v>-7.4668999999999999</v>
          </cell>
          <cell r="S5">
            <v>109.5536</v>
          </cell>
          <cell r="T5" t="str">
            <v>Utara 1</v>
          </cell>
          <cell r="U5" t="str">
            <v>Selatan 1</v>
          </cell>
          <cell r="V5" t="str">
            <v>Timur 1</v>
          </cell>
          <cell r="W5" t="str">
            <v>Barat 1</v>
          </cell>
          <cell r="X5">
            <v>1</v>
          </cell>
          <cell r="Y5">
            <v>10</v>
          </cell>
          <cell r="Z5">
            <v>10</v>
          </cell>
          <cell r="AA5" t="str">
            <v>hak milik</v>
          </cell>
          <cell r="AB5" t="str">
            <v>4</v>
          </cell>
          <cell r="AC5" t="str">
            <v>pembelian</v>
          </cell>
          <cell r="AD5">
            <v>2020</v>
          </cell>
          <cell r="AE5" t="str">
            <v>Bank Mandiri</v>
          </cell>
          <cell r="AF5">
            <v>1600006544205</v>
          </cell>
          <cell r="AG5" t="str">
            <v>Sekolah Dasar</v>
          </cell>
        </row>
        <row r="6">
          <cell r="A6">
            <v>2</v>
          </cell>
          <cell r="B6" t="str">
            <v>000002</v>
          </cell>
          <cell r="C6" t="str">
            <v>Nama PB 2</v>
          </cell>
          <cell r="D6" t="str">
            <v>L</v>
          </cell>
          <cell r="E6" t="str">
            <v>Sorong</v>
          </cell>
          <cell r="F6">
            <v>36526</v>
          </cell>
          <cell r="G6">
            <v>26</v>
          </cell>
          <cell r="H6" t="str">
            <v>Petani</v>
          </cell>
          <cell r="I6" t="str">
            <v>081328888802</v>
          </cell>
          <cell r="J6" t="str">
            <v>2.000.000</v>
          </cell>
          <cell r="K6" t="str">
            <v>Jalan Kanal Victory</v>
          </cell>
          <cell r="L6">
            <v>1</v>
          </cell>
          <cell r="M6">
            <v>1</v>
          </cell>
          <cell r="N6" t="str">
            <v>3304160101810004</v>
          </cell>
          <cell r="O6">
            <v>16</v>
          </cell>
          <cell r="P6" t="str">
            <v>…………….</v>
          </cell>
          <cell r="Q6">
            <v>6</v>
          </cell>
          <cell r="R6">
            <v>-7.4669999999999996</v>
          </cell>
          <cell r="S6">
            <v>109.5594</v>
          </cell>
          <cell r="T6" t="str">
            <v>Utara 2</v>
          </cell>
          <cell r="U6" t="str">
            <v>Selatan 2</v>
          </cell>
          <cell r="V6" t="str">
            <v>Timur 2</v>
          </cell>
          <cell r="W6" t="str">
            <v>Barat 2</v>
          </cell>
          <cell r="X6">
            <v>2</v>
          </cell>
          <cell r="Y6">
            <v>10</v>
          </cell>
          <cell r="Z6">
            <v>20</v>
          </cell>
          <cell r="AA6" t="str">
            <v>akta jual beli</v>
          </cell>
          <cell r="AB6"/>
          <cell r="AC6"/>
          <cell r="AD6"/>
          <cell r="AE6" t="str">
            <v>Bank Mandiri</v>
          </cell>
          <cell r="AF6">
            <v>1600006544213</v>
          </cell>
          <cell r="AG6" t="str">
            <v>Sekolah Dasar</v>
          </cell>
        </row>
        <row r="7">
          <cell r="A7">
            <v>3</v>
          </cell>
          <cell r="B7" t="str">
            <v>000003</v>
          </cell>
          <cell r="C7" t="str">
            <v>Nama PB 3</v>
          </cell>
          <cell r="D7" t="str">
            <v>L</v>
          </cell>
          <cell r="E7" t="str">
            <v>Sorong</v>
          </cell>
          <cell r="F7">
            <v>36526</v>
          </cell>
          <cell r="G7">
            <v>26</v>
          </cell>
          <cell r="H7" t="str">
            <v>Buruh</v>
          </cell>
          <cell r="I7" t="str">
            <v>081328888803</v>
          </cell>
          <cell r="J7" t="str">
            <v>1.800.000</v>
          </cell>
          <cell r="K7" t="str">
            <v>Jalan Kanal Victory</v>
          </cell>
          <cell r="L7">
            <v>1</v>
          </cell>
          <cell r="M7">
            <v>1</v>
          </cell>
          <cell r="N7" t="str">
            <v>3304160101820004</v>
          </cell>
          <cell r="O7">
            <v>16</v>
          </cell>
          <cell r="P7" t="str">
            <v>…………….</v>
          </cell>
          <cell r="Q7">
            <v>6</v>
          </cell>
          <cell r="R7">
            <v>-7.4688999999999997</v>
          </cell>
          <cell r="S7">
            <v>109.5595</v>
          </cell>
          <cell r="T7" t="str">
            <v>Utara 3</v>
          </cell>
          <cell r="U7" t="str">
            <v>Selatan 3</v>
          </cell>
          <cell r="V7" t="str">
            <v>Timur 3</v>
          </cell>
          <cell r="W7" t="str">
            <v>Barat 3</v>
          </cell>
          <cell r="X7">
            <v>3</v>
          </cell>
          <cell r="Y7">
            <v>10</v>
          </cell>
          <cell r="Z7">
            <v>30</v>
          </cell>
          <cell r="AA7"/>
          <cell r="AB7"/>
          <cell r="AC7"/>
          <cell r="AD7"/>
          <cell r="AE7" t="str">
            <v>Bank Mandiri</v>
          </cell>
          <cell r="AF7">
            <v>1600006544221</v>
          </cell>
          <cell r="AG7" t="str">
            <v>Sekolah Dasar</v>
          </cell>
        </row>
        <row r="8">
          <cell r="A8">
            <v>4</v>
          </cell>
          <cell r="B8" t="str">
            <v>000004</v>
          </cell>
          <cell r="C8" t="str">
            <v>Nama PB 4</v>
          </cell>
          <cell r="D8" t="str">
            <v>L</v>
          </cell>
          <cell r="E8" t="str">
            <v>Sorong</v>
          </cell>
          <cell r="F8">
            <v>36526</v>
          </cell>
          <cell r="G8">
            <v>26</v>
          </cell>
          <cell r="H8" t="str">
            <v>Wiraswasta</v>
          </cell>
          <cell r="I8" t="str">
            <v>081328888804</v>
          </cell>
          <cell r="J8" t="str">
            <v>1.800.000</v>
          </cell>
          <cell r="K8" t="str">
            <v>Jalan Kanal Victory</v>
          </cell>
          <cell r="L8">
            <v>1</v>
          </cell>
          <cell r="M8">
            <v>1</v>
          </cell>
          <cell r="N8" t="str">
            <v>3304160101830004</v>
          </cell>
          <cell r="O8">
            <v>16</v>
          </cell>
          <cell r="P8" t="str">
            <v>…………….</v>
          </cell>
          <cell r="Q8">
            <v>6</v>
          </cell>
          <cell r="R8">
            <v>-7.4710999999999999</v>
          </cell>
          <cell r="S8">
            <v>109.5635</v>
          </cell>
          <cell r="T8" t="str">
            <v>Utara 4</v>
          </cell>
          <cell r="U8" t="str">
            <v>Selatan 4</v>
          </cell>
          <cell r="V8" t="str">
            <v>Timur 4</v>
          </cell>
          <cell r="W8" t="str">
            <v>Barat 4</v>
          </cell>
          <cell r="X8">
            <v>4</v>
          </cell>
          <cell r="Y8">
            <v>10</v>
          </cell>
          <cell r="Z8">
            <v>40</v>
          </cell>
          <cell r="AA8"/>
          <cell r="AB8"/>
          <cell r="AC8"/>
          <cell r="AD8"/>
          <cell r="AE8" t="str">
            <v>Bank Mandiri</v>
          </cell>
          <cell r="AF8">
            <v>1600006544239</v>
          </cell>
          <cell r="AG8" t="str">
            <v>Sekolah Dasar</v>
          </cell>
        </row>
        <row r="9">
          <cell r="A9">
            <v>5</v>
          </cell>
          <cell r="B9" t="str">
            <v>000005</v>
          </cell>
          <cell r="C9" t="str">
            <v>Nama PB 5</v>
          </cell>
          <cell r="D9" t="str">
            <v>L</v>
          </cell>
          <cell r="E9" t="str">
            <v>Sorong</v>
          </cell>
          <cell r="F9">
            <v>36526</v>
          </cell>
          <cell r="G9">
            <v>26</v>
          </cell>
          <cell r="H9" t="str">
            <v>Buruh Harian Lepas</v>
          </cell>
          <cell r="I9" t="str">
            <v>081328888805</v>
          </cell>
          <cell r="J9" t="str">
            <v>1.800.000</v>
          </cell>
          <cell r="K9" t="str">
            <v>Jalan Kanal Victory</v>
          </cell>
          <cell r="L9">
            <v>1</v>
          </cell>
          <cell r="M9">
            <v>1</v>
          </cell>
          <cell r="N9" t="str">
            <v>3304160101840004</v>
          </cell>
          <cell r="O9">
            <v>16</v>
          </cell>
          <cell r="P9" t="str">
            <v>…………….</v>
          </cell>
          <cell r="Q9">
            <v>6</v>
          </cell>
          <cell r="R9">
            <v>-7.4684999999999997</v>
          </cell>
          <cell r="S9">
            <v>109.5676</v>
          </cell>
          <cell r="T9" t="str">
            <v>Utara 5</v>
          </cell>
          <cell r="U9" t="str">
            <v>Selatan 5</v>
          </cell>
          <cell r="V9" t="str">
            <v>Timur 5</v>
          </cell>
          <cell r="W9" t="str">
            <v>Barat 5</v>
          </cell>
          <cell r="X9">
            <v>5</v>
          </cell>
          <cell r="Y9">
            <v>10</v>
          </cell>
          <cell r="Z9">
            <v>50</v>
          </cell>
          <cell r="AA9"/>
          <cell r="AB9"/>
          <cell r="AC9"/>
          <cell r="AD9"/>
          <cell r="AE9" t="str">
            <v>Bank Mandiri</v>
          </cell>
          <cell r="AF9">
            <v>1600006544247</v>
          </cell>
          <cell r="AG9" t="str">
            <v>Sekolah Dasar</v>
          </cell>
        </row>
        <row r="10">
          <cell r="A10">
            <v>6</v>
          </cell>
          <cell r="B10" t="str">
            <v>000006</v>
          </cell>
          <cell r="C10" t="str">
            <v>Nama PB 6</v>
          </cell>
          <cell r="D10" t="str">
            <v>L</v>
          </cell>
          <cell r="E10" t="str">
            <v>Sorong</v>
          </cell>
          <cell r="F10">
            <v>36526</v>
          </cell>
          <cell r="G10">
            <v>26</v>
          </cell>
          <cell r="H10" t="str">
            <v>Buruh Harian Lepas</v>
          </cell>
          <cell r="I10" t="str">
            <v>081328888806</v>
          </cell>
          <cell r="J10" t="str">
            <v>1.800.000</v>
          </cell>
          <cell r="K10" t="str">
            <v>Jalan Kanal Victory</v>
          </cell>
          <cell r="L10">
            <v>1</v>
          </cell>
          <cell r="M10">
            <v>1</v>
          </cell>
          <cell r="N10" t="str">
            <v>3304160101850004</v>
          </cell>
          <cell r="O10">
            <v>16</v>
          </cell>
          <cell r="P10" t="str">
            <v>…………….</v>
          </cell>
          <cell r="Q10">
            <v>6</v>
          </cell>
          <cell r="R10">
            <v>-7.4752999999999998</v>
          </cell>
          <cell r="S10">
            <v>109.5591</v>
          </cell>
          <cell r="T10" t="str">
            <v>Utara 6</v>
          </cell>
          <cell r="U10" t="str">
            <v>Selatan 6</v>
          </cell>
          <cell r="V10" t="str">
            <v>Timur 6</v>
          </cell>
          <cell r="W10" t="str">
            <v>Barat 6</v>
          </cell>
          <cell r="X10">
            <v>6</v>
          </cell>
          <cell r="Y10">
            <v>10</v>
          </cell>
          <cell r="Z10">
            <v>60</v>
          </cell>
          <cell r="AA10"/>
          <cell r="AB10"/>
          <cell r="AC10"/>
          <cell r="AD10"/>
          <cell r="AE10" t="str">
            <v>Bank Mandiri</v>
          </cell>
          <cell r="AF10">
            <v>1600006545038</v>
          </cell>
          <cell r="AG10" t="str">
            <v>Sekolah Dasar</v>
          </cell>
        </row>
        <row r="11">
          <cell r="A11">
            <v>7</v>
          </cell>
          <cell r="B11" t="str">
            <v>000007</v>
          </cell>
          <cell r="C11" t="str">
            <v>Nama PB 7</v>
          </cell>
          <cell r="D11" t="str">
            <v>L</v>
          </cell>
          <cell r="E11" t="str">
            <v>Sorong</v>
          </cell>
          <cell r="F11">
            <v>36526</v>
          </cell>
          <cell r="G11">
            <v>26</v>
          </cell>
          <cell r="H11" t="str">
            <v>Wiraswasta</v>
          </cell>
          <cell r="I11" t="str">
            <v>081328888807</v>
          </cell>
          <cell r="J11" t="str">
            <v>1.800.000</v>
          </cell>
          <cell r="K11" t="str">
            <v>Jalan Kanal Victory</v>
          </cell>
          <cell r="L11">
            <v>1</v>
          </cell>
          <cell r="M11">
            <v>1</v>
          </cell>
          <cell r="N11" t="str">
            <v>3304160101860004</v>
          </cell>
          <cell r="O11">
            <v>16</v>
          </cell>
          <cell r="P11" t="str">
            <v>…………….</v>
          </cell>
          <cell r="Q11">
            <v>6</v>
          </cell>
          <cell r="R11">
            <v>-7.4752999999999998</v>
          </cell>
          <cell r="S11">
            <v>109.5592</v>
          </cell>
          <cell r="T11" t="str">
            <v>Utara 7</v>
          </cell>
          <cell r="U11" t="str">
            <v>Selatan 7</v>
          </cell>
          <cell r="V11" t="str">
            <v>Timur 7</v>
          </cell>
          <cell r="W11" t="str">
            <v>Barat 7</v>
          </cell>
          <cell r="X11">
            <v>7</v>
          </cell>
          <cell r="Y11">
            <v>10</v>
          </cell>
          <cell r="Z11">
            <v>70</v>
          </cell>
          <cell r="AA11"/>
          <cell r="AB11"/>
          <cell r="AC11"/>
          <cell r="AD11"/>
          <cell r="AE11" t="str">
            <v>Bank Mandiri</v>
          </cell>
          <cell r="AF11">
            <v>1600006545020</v>
          </cell>
          <cell r="AG11" t="str">
            <v>Sekolah Dasar</v>
          </cell>
        </row>
        <row r="12">
          <cell r="A12">
            <v>8</v>
          </cell>
          <cell r="B12" t="str">
            <v>000008</v>
          </cell>
          <cell r="C12" t="str">
            <v>Nama PB 8</v>
          </cell>
          <cell r="D12"/>
          <cell r="E12"/>
          <cell r="F12"/>
          <cell r="G12"/>
          <cell r="H12"/>
          <cell r="I12"/>
          <cell r="J12"/>
          <cell r="K12" t="str">
            <v>Jalan Kanal Victory</v>
          </cell>
          <cell r="L12">
            <v>2</v>
          </cell>
          <cell r="M12">
            <v>1</v>
          </cell>
          <cell r="N12"/>
          <cell r="O12"/>
          <cell r="P12"/>
          <cell r="Q12"/>
          <cell r="R12"/>
          <cell r="S12"/>
          <cell r="T12"/>
          <cell r="U12"/>
          <cell r="V12"/>
          <cell r="W12"/>
          <cell r="X12"/>
          <cell r="Y12"/>
          <cell r="Z12"/>
          <cell r="AA12"/>
          <cell r="AB12"/>
          <cell r="AC12"/>
          <cell r="AD12"/>
          <cell r="AE12" t="str">
            <v>Bank Mandiri</v>
          </cell>
          <cell r="AF12">
            <v>1600006544254</v>
          </cell>
          <cell r="AG12" t="str">
            <v>Sekolah Menengah Pertama</v>
          </cell>
        </row>
        <row r="13">
          <cell r="A13">
            <v>9</v>
          </cell>
          <cell r="B13" t="str">
            <v>000009</v>
          </cell>
          <cell r="C13" t="str">
            <v>Nama PB 9</v>
          </cell>
          <cell r="D13"/>
          <cell r="E13"/>
          <cell r="F13"/>
          <cell r="G13"/>
          <cell r="H13"/>
          <cell r="I13"/>
          <cell r="J13"/>
          <cell r="K13" t="str">
            <v>Jalan Kanal Victory</v>
          </cell>
          <cell r="L13">
            <v>2</v>
          </cell>
          <cell r="M13">
            <v>1</v>
          </cell>
          <cell r="N13"/>
          <cell r="O13"/>
          <cell r="P13"/>
          <cell r="Q13"/>
          <cell r="R13"/>
          <cell r="S13"/>
          <cell r="T13"/>
          <cell r="U13"/>
          <cell r="V13"/>
          <cell r="W13"/>
          <cell r="X13"/>
          <cell r="Y13"/>
          <cell r="Z13"/>
          <cell r="AA13"/>
          <cell r="AB13"/>
          <cell r="AC13"/>
          <cell r="AD13"/>
          <cell r="AE13" t="str">
            <v>Bank Mandiri</v>
          </cell>
          <cell r="AF13">
            <v>1600006544262</v>
          </cell>
          <cell r="AG13" t="str">
            <v>Sekolah Menengah Pertama</v>
          </cell>
        </row>
        <row r="14">
          <cell r="A14">
            <v>10</v>
          </cell>
          <cell r="B14" t="str">
            <v>000010</v>
          </cell>
          <cell r="C14" t="str">
            <v>Nama PB 10</v>
          </cell>
          <cell r="D14"/>
          <cell r="E14"/>
          <cell r="F14"/>
          <cell r="G14"/>
          <cell r="H14"/>
          <cell r="I14"/>
          <cell r="J14"/>
          <cell r="K14" t="str">
            <v>Jalan Kanal Victory</v>
          </cell>
          <cell r="L14">
            <v>2</v>
          </cell>
          <cell r="M14">
            <v>1</v>
          </cell>
          <cell r="N14"/>
          <cell r="O14"/>
          <cell r="P14"/>
          <cell r="Q14"/>
          <cell r="R14"/>
          <cell r="S14"/>
          <cell r="T14"/>
          <cell r="U14"/>
          <cell r="V14"/>
          <cell r="W14"/>
          <cell r="X14"/>
          <cell r="Y14"/>
          <cell r="Z14"/>
          <cell r="AA14"/>
          <cell r="AB14"/>
          <cell r="AC14"/>
          <cell r="AD14"/>
          <cell r="AE14" t="str">
            <v>Bank Mandiri</v>
          </cell>
          <cell r="AF14">
            <v>1600006544270</v>
          </cell>
          <cell r="AG14" t="str">
            <v>Sekolah Menengah Pertama</v>
          </cell>
        </row>
        <row r="15">
          <cell r="A15">
            <v>11</v>
          </cell>
          <cell r="B15" t="str">
            <v>000011</v>
          </cell>
          <cell r="C15" t="str">
            <v>Nama PB 11</v>
          </cell>
          <cell r="D15"/>
          <cell r="E15"/>
          <cell r="F15"/>
          <cell r="G15"/>
          <cell r="H15"/>
          <cell r="I15"/>
          <cell r="J15"/>
          <cell r="K15" t="str">
            <v>Jalan Kanal Victory</v>
          </cell>
          <cell r="L15">
            <v>2</v>
          </cell>
          <cell r="M15">
            <v>1</v>
          </cell>
          <cell r="N15"/>
          <cell r="O15"/>
          <cell r="P15"/>
          <cell r="Q15"/>
          <cell r="R15"/>
          <cell r="S15"/>
          <cell r="T15"/>
          <cell r="U15"/>
          <cell r="V15"/>
          <cell r="W15"/>
          <cell r="X15"/>
          <cell r="Y15"/>
          <cell r="Z15"/>
          <cell r="AA15"/>
          <cell r="AB15"/>
          <cell r="AC15"/>
          <cell r="AD15"/>
          <cell r="AE15" t="str">
            <v>Bank Mandiri</v>
          </cell>
          <cell r="AF15">
            <v>1600006544288</v>
          </cell>
          <cell r="AG15" t="str">
            <v>Sekolah Menengah Pertama</v>
          </cell>
        </row>
        <row r="16">
          <cell r="A16">
            <v>12</v>
          </cell>
          <cell r="B16" t="str">
            <v>000012</v>
          </cell>
          <cell r="C16" t="str">
            <v>Nama PB 12</v>
          </cell>
          <cell r="D16"/>
          <cell r="E16"/>
          <cell r="F16"/>
          <cell r="G16"/>
          <cell r="H16"/>
          <cell r="I16"/>
          <cell r="J16"/>
          <cell r="K16" t="str">
            <v>Jalan Kanal Victory</v>
          </cell>
          <cell r="L16">
            <v>2</v>
          </cell>
          <cell r="M16">
            <v>1</v>
          </cell>
          <cell r="N16"/>
          <cell r="O16"/>
          <cell r="P16"/>
          <cell r="Q16"/>
          <cell r="R16"/>
          <cell r="S16"/>
          <cell r="T16"/>
          <cell r="U16"/>
          <cell r="V16"/>
          <cell r="W16"/>
          <cell r="X16"/>
          <cell r="Y16"/>
          <cell r="Z16"/>
          <cell r="AA16"/>
          <cell r="AB16"/>
          <cell r="AC16"/>
          <cell r="AD16"/>
          <cell r="AE16" t="str">
            <v>Bank Mandiri</v>
          </cell>
          <cell r="AF16">
            <v>1600006544296</v>
          </cell>
          <cell r="AG16" t="str">
            <v>Sekolah Menengah Pertama</v>
          </cell>
        </row>
        <row r="17">
          <cell r="A17">
            <v>13</v>
          </cell>
          <cell r="B17" t="str">
            <v>000013</v>
          </cell>
          <cell r="C17" t="str">
            <v>Nama PB 13</v>
          </cell>
          <cell r="D17"/>
          <cell r="E17"/>
          <cell r="F17"/>
          <cell r="G17"/>
          <cell r="H17"/>
          <cell r="I17"/>
          <cell r="J17"/>
          <cell r="K17" t="str">
            <v>Jalan Kanal Victory</v>
          </cell>
          <cell r="L17">
            <v>2</v>
          </cell>
          <cell r="M17">
            <v>1</v>
          </cell>
          <cell r="N17"/>
          <cell r="O17"/>
          <cell r="P17"/>
          <cell r="Q17"/>
          <cell r="R17"/>
          <cell r="S17"/>
          <cell r="T17"/>
          <cell r="U17"/>
          <cell r="V17"/>
          <cell r="W17"/>
          <cell r="X17"/>
          <cell r="Y17"/>
          <cell r="Z17"/>
          <cell r="AA17"/>
          <cell r="AB17"/>
          <cell r="AC17"/>
          <cell r="AD17"/>
          <cell r="AE17" t="str">
            <v>Bank Mandiri</v>
          </cell>
          <cell r="AF17">
            <v>1600006544304</v>
          </cell>
          <cell r="AG17" t="str">
            <v>Sekolah Menengah Pertama</v>
          </cell>
        </row>
        <row r="18">
          <cell r="A18">
            <v>14</v>
          </cell>
          <cell r="B18" t="str">
            <v>000014</v>
          </cell>
          <cell r="C18" t="str">
            <v>Nama PB 14</v>
          </cell>
          <cell r="D18"/>
          <cell r="E18"/>
          <cell r="F18"/>
          <cell r="G18"/>
          <cell r="H18"/>
          <cell r="I18"/>
          <cell r="J18"/>
          <cell r="K18" t="str">
            <v>Jalan Kanal Victory</v>
          </cell>
          <cell r="L18">
            <v>2</v>
          </cell>
          <cell r="M18">
            <v>1</v>
          </cell>
          <cell r="N18"/>
          <cell r="O18"/>
          <cell r="P18"/>
          <cell r="Q18"/>
          <cell r="R18"/>
          <cell r="S18"/>
          <cell r="T18"/>
          <cell r="U18"/>
          <cell r="V18"/>
          <cell r="W18"/>
          <cell r="X18"/>
          <cell r="Y18"/>
          <cell r="Z18"/>
          <cell r="AA18"/>
          <cell r="AB18"/>
          <cell r="AC18"/>
          <cell r="AD18"/>
          <cell r="AE18" t="str">
            <v>Bank Mandiri</v>
          </cell>
          <cell r="AF18">
            <v>1600006544312</v>
          </cell>
          <cell r="AG18" t="str">
            <v>Sekolah Menengah Pertama</v>
          </cell>
        </row>
        <row r="19">
          <cell r="A19">
            <v>15</v>
          </cell>
          <cell r="B19" t="str">
            <v>000015</v>
          </cell>
          <cell r="C19" t="str">
            <v>Nama PB 15</v>
          </cell>
          <cell r="D19"/>
          <cell r="E19"/>
          <cell r="F19"/>
          <cell r="G19"/>
          <cell r="H19"/>
          <cell r="I19"/>
          <cell r="J19"/>
          <cell r="K19" t="str">
            <v>Jalan Kanal Victory</v>
          </cell>
          <cell r="L19">
            <v>2</v>
          </cell>
          <cell r="M19">
            <v>1</v>
          </cell>
          <cell r="N19"/>
          <cell r="O19"/>
          <cell r="P19"/>
          <cell r="Q19"/>
          <cell r="R19"/>
          <cell r="S19"/>
          <cell r="T19"/>
          <cell r="U19"/>
          <cell r="V19"/>
          <cell r="W19"/>
          <cell r="X19"/>
          <cell r="Y19"/>
          <cell r="Z19"/>
          <cell r="AA19"/>
          <cell r="AB19"/>
          <cell r="AC19"/>
          <cell r="AD19"/>
          <cell r="AE19" t="str">
            <v>Bank Mandiri</v>
          </cell>
          <cell r="AF19">
            <v>1600006551267</v>
          </cell>
          <cell r="AG19" t="str">
            <v>Sekolah Menengah Pertama</v>
          </cell>
        </row>
        <row r="20">
          <cell r="A20">
            <v>16</v>
          </cell>
          <cell r="B20" t="str">
            <v>000016</v>
          </cell>
          <cell r="C20" t="str">
            <v>Nama PB 16</v>
          </cell>
          <cell r="D20"/>
          <cell r="E20"/>
          <cell r="F20"/>
          <cell r="G20"/>
          <cell r="H20"/>
          <cell r="I20"/>
          <cell r="J20"/>
          <cell r="K20" t="str">
            <v>Jalan Kanal Victory</v>
          </cell>
          <cell r="L20">
            <v>2</v>
          </cell>
          <cell r="M20">
            <v>1</v>
          </cell>
          <cell r="N20"/>
          <cell r="O20"/>
          <cell r="P20"/>
          <cell r="Q20"/>
          <cell r="R20"/>
          <cell r="S20"/>
          <cell r="T20"/>
          <cell r="U20"/>
          <cell r="V20"/>
          <cell r="W20"/>
          <cell r="X20"/>
          <cell r="Y20"/>
          <cell r="Z20"/>
          <cell r="AA20"/>
          <cell r="AB20"/>
          <cell r="AC20"/>
          <cell r="AD20"/>
          <cell r="AE20" t="str">
            <v>Bank Mandiri</v>
          </cell>
          <cell r="AF20">
            <v>1600006544320</v>
          </cell>
          <cell r="AG20" t="str">
            <v>Sekolah Menengah Pertama</v>
          </cell>
        </row>
        <row r="21">
          <cell r="A21">
            <v>17</v>
          </cell>
          <cell r="B21" t="str">
            <v>000017</v>
          </cell>
          <cell r="C21" t="str">
            <v>Nama PB 17</v>
          </cell>
          <cell r="D21"/>
          <cell r="E21"/>
          <cell r="F21"/>
          <cell r="G21"/>
          <cell r="H21"/>
          <cell r="I21"/>
          <cell r="J21"/>
          <cell r="K21" t="str">
            <v>Jalan Kanal Victory</v>
          </cell>
          <cell r="L21">
            <v>1</v>
          </cell>
          <cell r="M21">
            <v>2</v>
          </cell>
          <cell r="N21"/>
          <cell r="O21"/>
          <cell r="P21"/>
          <cell r="Q21"/>
          <cell r="R21"/>
          <cell r="S21"/>
          <cell r="T21"/>
          <cell r="U21"/>
          <cell r="V21"/>
          <cell r="W21"/>
          <cell r="X21"/>
          <cell r="Y21"/>
          <cell r="Z21"/>
          <cell r="AA21"/>
          <cell r="AB21"/>
          <cell r="AC21"/>
          <cell r="AD21"/>
          <cell r="AE21" t="str">
            <v>Bank Mandiri</v>
          </cell>
          <cell r="AF21">
            <v>1600006544346</v>
          </cell>
          <cell r="AG21" t="str">
            <v>Sekolah Menengah Atas</v>
          </cell>
        </row>
        <row r="22">
          <cell r="A22">
            <v>18</v>
          </cell>
          <cell r="B22" t="str">
            <v>000018</v>
          </cell>
          <cell r="C22" t="str">
            <v>Nama PB 18</v>
          </cell>
          <cell r="D22"/>
          <cell r="E22"/>
          <cell r="F22"/>
          <cell r="G22"/>
          <cell r="H22"/>
          <cell r="I22"/>
          <cell r="J22"/>
          <cell r="K22" t="str">
            <v>Jalan Kanal Victory</v>
          </cell>
          <cell r="L22">
            <v>1</v>
          </cell>
          <cell r="M22">
            <v>2</v>
          </cell>
          <cell r="N22"/>
          <cell r="O22"/>
          <cell r="P22"/>
          <cell r="Q22"/>
          <cell r="R22"/>
          <cell r="S22"/>
          <cell r="T22"/>
          <cell r="U22"/>
          <cell r="V22"/>
          <cell r="W22"/>
          <cell r="X22"/>
          <cell r="Y22"/>
          <cell r="Z22"/>
          <cell r="AA22"/>
          <cell r="AB22"/>
          <cell r="AC22"/>
          <cell r="AD22"/>
          <cell r="AE22" t="str">
            <v>Bank Mandiri</v>
          </cell>
          <cell r="AF22">
            <v>1600006544353</v>
          </cell>
          <cell r="AG22" t="str">
            <v>Sekolah Menengah Atas</v>
          </cell>
        </row>
        <row r="23">
          <cell r="A23">
            <v>19</v>
          </cell>
          <cell r="B23" t="str">
            <v>000019</v>
          </cell>
          <cell r="C23" t="str">
            <v>Nama PB 19</v>
          </cell>
          <cell r="D23"/>
          <cell r="E23"/>
          <cell r="F23"/>
          <cell r="G23"/>
          <cell r="H23"/>
          <cell r="I23"/>
          <cell r="J23"/>
          <cell r="K23" t="str">
            <v>Jalan Kanal Victory</v>
          </cell>
          <cell r="L23">
            <v>1</v>
          </cell>
          <cell r="M23">
            <v>2</v>
          </cell>
          <cell r="N23"/>
          <cell r="O23"/>
          <cell r="P23"/>
          <cell r="Q23"/>
          <cell r="R23"/>
          <cell r="S23"/>
          <cell r="T23"/>
          <cell r="U23"/>
          <cell r="V23"/>
          <cell r="W23"/>
          <cell r="X23"/>
          <cell r="Y23"/>
          <cell r="Z23"/>
          <cell r="AA23"/>
          <cell r="AB23"/>
          <cell r="AC23"/>
          <cell r="AD23"/>
          <cell r="AE23" t="str">
            <v>Bank Mandiri</v>
          </cell>
          <cell r="AF23">
            <v>1600006586008</v>
          </cell>
          <cell r="AG23" t="str">
            <v>Sekolah Menengah Atas</v>
          </cell>
        </row>
        <row r="24">
          <cell r="A24">
            <v>20</v>
          </cell>
          <cell r="B24" t="str">
            <v>000020</v>
          </cell>
          <cell r="C24" t="str">
            <v>Nama PB 20</v>
          </cell>
          <cell r="D24"/>
          <cell r="E24"/>
          <cell r="F24"/>
          <cell r="G24"/>
          <cell r="H24"/>
          <cell r="I24"/>
          <cell r="J24"/>
          <cell r="K24" t="str">
            <v>Jalan Kanal Victory</v>
          </cell>
          <cell r="L24">
            <v>1</v>
          </cell>
          <cell r="M24">
            <v>2</v>
          </cell>
          <cell r="N24"/>
          <cell r="O24"/>
          <cell r="P24"/>
          <cell r="Q24"/>
          <cell r="R24"/>
          <cell r="S24"/>
          <cell r="T24"/>
          <cell r="U24"/>
          <cell r="V24"/>
          <cell r="W24"/>
          <cell r="X24"/>
          <cell r="Y24"/>
          <cell r="Z24"/>
          <cell r="AA24"/>
          <cell r="AB24"/>
          <cell r="AC24"/>
          <cell r="AD24"/>
          <cell r="AE24" t="str">
            <v>Bank Mandiri</v>
          </cell>
          <cell r="AF24">
            <v>1600006544361</v>
          </cell>
          <cell r="AG24" t="str">
            <v>Sekolah Menengah Atas</v>
          </cell>
        </row>
        <row r="28">
          <cell r="C28" t="str">
            <v>Nama PB 1</v>
          </cell>
        </row>
      </sheetData>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3"/>
      <sheetName val="Base_04"/>
      <sheetName val="Cover PB (2)"/>
      <sheetName val="Checklist PB"/>
      <sheetName val="A.4"/>
      <sheetName val="B"/>
      <sheetName val="D"/>
      <sheetName val="Cover KCPB"/>
      <sheetName val="Checklist KCPB"/>
      <sheetName val="UND Sosialisasi"/>
      <sheetName val="A.1"/>
      <sheetName val="A.3"/>
      <sheetName val="A.5"/>
      <sheetName val="PI Kades"/>
      <sheetName val="E"/>
      <sheetName val="KTP Tukang"/>
      <sheetName val="BA Penyiapan"/>
      <sheetName val="Absen Penyiapan"/>
      <sheetName val="Dok Penyiapan"/>
      <sheetName val="Survey BB"/>
      <sheetName val="Harga Survey"/>
      <sheetName val="Dok Survey"/>
      <sheetName val="BA IKA"/>
      <sheetName val="Absen IKA"/>
      <sheetName val="Dok IKA"/>
      <sheetName val="Sheet3"/>
    </sheetNames>
    <sheetDataSet>
      <sheetData sheetId="0">
        <row r="5">
          <cell r="A5">
            <v>1</v>
          </cell>
          <cell r="B5" t="str">
            <v>Nama PB 1</v>
          </cell>
          <cell r="C5">
            <v>6</v>
          </cell>
          <cell r="D5">
            <v>6</v>
          </cell>
          <cell r="E5">
            <v>36</v>
          </cell>
          <cell r="F5" t="str">
            <v>Pondasi Titik</v>
          </cell>
          <cell r="G5"/>
          <cell r="H5">
            <v>0.6</v>
          </cell>
          <cell r="I5">
            <v>2</v>
          </cell>
          <cell r="J5"/>
          <cell r="K5"/>
          <cell r="L5">
            <v>0.108</v>
          </cell>
          <cell r="M5" t="str">
            <v>Tidak Ada</v>
          </cell>
          <cell r="N5">
            <v>30</v>
          </cell>
          <cell r="O5">
            <v>0</v>
          </cell>
          <cell r="P5" t="str">
            <v>Kayu</v>
          </cell>
          <cell r="Q5">
            <v>0.1</v>
          </cell>
          <cell r="R5">
            <v>0.1</v>
          </cell>
          <cell r="S5">
            <v>4</v>
          </cell>
          <cell r="T5">
            <v>5</v>
          </cell>
          <cell r="U5">
            <v>4</v>
          </cell>
          <cell r="V5">
            <v>0.20000000000000004</v>
          </cell>
          <cell r="W5" t="str">
            <v>Beton</v>
          </cell>
          <cell r="X5">
            <v>0</v>
          </cell>
          <cell r="Y5" t="str">
            <v>Kayu</v>
          </cell>
          <cell r="Z5">
            <v>73.900834456272094</v>
          </cell>
          <cell r="AA5"/>
          <cell r="AB5" t="str">
            <v>Seng</v>
          </cell>
          <cell r="AC5" t="str">
            <v>Pelana</v>
          </cell>
          <cell r="AD5">
            <v>99.2</v>
          </cell>
          <cell r="AE5" t="str">
            <v>Bata Ringan</v>
          </cell>
          <cell r="AF5">
            <v>30</v>
          </cell>
          <cell r="AG5">
            <v>4</v>
          </cell>
          <cell r="AH5">
            <v>114.24</v>
          </cell>
          <cell r="AI5" t="str">
            <v>Kayu</v>
          </cell>
          <cell r="AJ5">
            <v>5.76</v>
          </cell>
          <cell r="AK5">
            <v>2</v>
          </cell>
          <cell r="AL5">
            <v>4</v>
          </cell>
          <cell r="AM5" t="str">
            <v>Rabat</v>
          </cell>
          <cell r="AN5">
            <v>36</v>
          </cell>
          <cell r="AO5"/>
          <cell r="AP5">
            <v>6.666666666666667</v>
          </cell>
          <cell r="AQ5">
            <v>9.6666666666666661</v>
          </cell>
          <cell r="AR5" t="str">
            <v>(Ada) Baik</v>
          </cell>
          <cell r="AS5" t="str">
            <v>Air Pam (Baik)</v>
          </cell>
        </row>
        <row r="6">
          <cell r="A6">
            <v>2</v>
          </cell>
          <cell r="B6" t="str">
            <v>Nama PB 2</v>
          </cell>
          <cell r="C6">
            <v>6</v>
          </cell>
          <cell r="D6">
            <v>6</v>
          </cell>
          <cell r="E6">
            <v>36</v>
          </cell>
          <cell r="F6" t="str">
            <v>Batu Kali</v>
          </cell>
          <cell r="G6">
            <v>30</v>
          </cell>
          <cell r="H6"/>
          <cell r="I6"/>
          <cell r="J6"/>
          <cell r="K6"/>
          <cell r="L6">
            <v>2.0249999999999999</v>
          </cell>
          <cell r="M6" t="str">
            <v>S 2</v>
          </cell>
          <cell r="N6"/>
          <cell r="O6">
            <v>0</v>
          </cell>
          <cell r="P6" t="str">
            <v>Beton</v>
          </cell>
          <cell r="Q6"/>
          <cell r="R6"/>
          <cell r="S6"/>
          <cell r="T6"/>
          <cell r="U6"/>
          <cell r="V6">
            <v>0</v>
          </cell>
          <cell r="W6" t="str">
            <v>K 2</v>
          </cell>
          <cell r="X6">
            <v>0</v>
          </cell>
          <cell r="Y6" t="str">
            <v>K 2</v>
          </cell>
          <cell r="Z6">
            <v>73.900834456272094</v>
          </cell>
          <cell r="AA6"/>
          <cell r="AB6" t="str">
            <v xml:space="preserve"> G 2</v>
          </cell>
          <cell r="AC6"/>
          <cell r="AD6">
            <v>55</v>
          </cell>
          <cell r="AE6" t="str">
            <v>H 2</v>
          </cell>
          <cell r="AF6"/>
          <cell r="AG6"/>
          <cell r="AH6">
            <v>-5.76</v>
          </cell>
          <cell r="AI6" t="str">
            <v>Kayu</v>
          </cell>
          <cell r="AJ6">
            <v>5.76</v>
          </cell>
          <cell r="AK6">
            <v>2</v>
          </cell>
          <cell r="AL6">
            <v>4</v>
          </cell>
          <cell r="AM6" t="str">
            <v>R 2</v>
          </cell>
          <cell r="AN6">
            <v>36</v>
          </cell>
          <cell r="AO6"/>
          <cell r="AP6">
            <v>6.666666666666667</v>
          </cell>
          <cell r="AQ6">
            <v>9.6666666666666661</v>
          </cell>
          <cell r="AR6" t="str">
            <v>(Ada) Baik</v>
          </cell>
          <cell r="AS6" t="str">
            <v>Air Pam (Baik)</v>
          </cell>
        </row>
        <row r="7">
          <cell r="A7">
            <v>3</v>
          </cell>
          <cell r="B7" t="str">
            <v>Nama PB 3</v>
          </cell>
          <cell r="C7">
            <v>6</v>
          </cell>
          <cell r="D7">
            <v>6</v>
          </cell>
          <cell r="E7">
            <v>36</v>
          </cell>
          <cell r="F7" t="str">
            <v>Pancang Kayu</v>
          </cell>
          <cell r="G7"/>
          <cell r="H7"/>
          <cell r="I7"/>
          <cell r="J7">
            <v>1</v>
          </cell>
          <cell r="K7">
            <v>1</v>
          </cell>
          <cell r="L7">
            <v>1.0000000000000002E-2</v>
          </cell>
          <cell r="M7" t="str">
            <v>S 3</v>
          </cell>
          <cell r="N7"/>
          <cell r="O7">
            <v>0</v>
          </cell>
          <cell r="P7" t="str">
            <v>B 3</v>
          </cell>
          <cell r="Q7"/>
          <cell r="R7"/>
          <cell r="S7"/>
          <cell r="T7"/>
          <cell r="U7"/>
          <cell r="V7">
            <v>0</v>
          </cell>
          <cell r="W7" t="str">
            <v>K 3</v>
          </cell>
          <cell r="X7">
            <v>0</v>
          </cell>
          <cell r="Y7" t="str">
            <v>K 3</v>
          </cell>
          <cell r="Z7">
            <v>73.900834456272094</v>
          </cell>
          <cell r="AA7"/>
          <cell r="AB7" t="str">
            <v xml:space="preserve"> G 3</v>
          </cell>
          <cell r="AC7"/>
          <cell r="AD7">
            <v>55</v>
          </cell>
          <cell r="AE7" t="str">
            <v>H 3</v>
          </cell>
          <cell r="AF7"/>
          <cell r="AG7"/>
          <cell r="AH7">
            <v>-5.76</v>
          </cell>
          <cell r="AI7" t="str">
            <v>Kayu</v>
          </cell>
          <cell r="AJ7">
            <v>5.76</v>
          </cell>
          <cell r="AK7">
            <v>2</v>
          </cell>
          <cell r="AL7">
            <v>4</v>
          </cell>
          <cell r="AM7" t="str">
            <v>R 3</v>
          </cell>
          <cell r="AN7">
            <v>36</v>
          </cell>
          <cell r="AO7"/>
          <cell r="AP7">
            <v>6.666666666666667</v>
          </cell>
          <cell r="AQ7">
            <v>9.6666666666666661</v>
          </cell>
          <cell r="AR7" t="str">
            <v>(Ada) Baik</v>
          </cell>
          <cell r="AS7" t="str">
            <v>Air Pam (Baik)</v>
          </cell>
        </row>
        <row r="8">
          <cell r="A8">
            <v>4</v>
          </cell>
          <cell r="B8" t="str">
            <v>Nama PB 4</v>
          </cell>
          <cell r="C8">
            <v>6</v>
          </cell>
          <cell r="D8">
            <v>6</v>
          </cell>
          <cell r="E8">
            <v>36</v>
          </cell>
          <cell r="F8" t="str">
            <v>Pondasi Titik</v>
          </cell>
          <cell r="G8"/>
          <cell r="H8"/>
          <cell r="I8"/>
          <cell r="J8"/>
          <cell r="K8"/>
          <cell r="L8">
            <v>0</v>
          </cell>
          <cell r="M8" t="str">
            <v>S 4</v>
          </cell>
          <cell r="N8"/>
          <cell r="O8">
            <v>0</v>
          </cell>
          <cell r="P8" t="str">
            <v>B 4</v>
          </cell>
          <cell r="Q8"/>
          <cell r="R8"/>
          <cell r="S8"/>
          <cell r="T8"/>
          <cell r="U8"/>
          <cell r="V8">
            <v>0</v>
          </cell>
          <cell r="W8" t="str">
            <v>K 4</v>
          </cell>
          <cell r="X8">
            <v>0</v>
          </cell>
          <cell r="Y8" t="str">
            <v>K 4</v>
          </cell>
          <cell r="Z8">
            <v>73.900834456272094</v>
          </cell>
          <cell r="AA8"/>
          <cell r="AB8" t="str">
            <v xml:space="preserve"> G 4</v>
          </cell>
          <cell r="AC8"/>
          <cell r="AD8">
            <v>55</v>
          </cell>
          <cell r="AE8" t="str">
            <v>H 4</v>
          </cell>
          <cell r="AF8"/>
          <cell r="AG8"/>
          <cell r="AH8">
            <v>-5.76</v>
          </cell>
          <cell r="AI8" t="str">
            <v>Kayu</v>
          </cell>
          <cell r="AJ8">
            <v>5.76</v>
          </cell>
          <cell r="AK8">
            <v>2</v>
          </cell>
          <cell r="AL8">
            <v>4</v>
          </cell>
          <cell r="AM8" t="str">
            <v>R 4</v>
          </cell>
          <cell r="AN8">
            <v>36</v>
          </cell>
          <cell r="AO8"/>
          <cell r="AP8">
            <v>6.666666666666667</v>
          </cell>
          <cell r="AQ8">
            <v>9.6666666666666661</v>
          </cell>
          <cell r="AR8" t="str">
            <v>(Ada) Baik</v>
          </cell>
          <cell r="AS8" t="str">
            <v>Air Pam (Baik)</v>
          </cell>
        </row>
        <row r="9">
          <cell r="A9">
            <v>5</v>
          </cell>
          <cell r="B9" t="str">
            <v>Nama PB 5</v>
          </cell>
          <cell r="C9">
            <v>6</v>
          </cell>
          <cell r="D9">
            <v>6</v>
          </cell>
          <cell r="E9">
            <v>36</v>
          </cell>
          <cell r="F9" t="str">
            <v>BT 5</v>
          </cell>
          <cell r="G9"/>
          <cell r="H9"/>
          <cell r="I9"/>
          <cell r="J9"/>
          <cell r="K9"/>
          <cell r="L9">
            <v>0</v>
          </cell>
          <cell r="M9" t="str">
            <v>S 5</v>
          </cell>
          <cell r="N9"/>
          <cell r="O9">
            <v>0</v>
          </cell>
          <cell r="P9" t="str">
            <v>B 5</v>
          </cell>
          <cell r="Q9"/>
          <cell r="R9"/>
          <cell r="S9"/>
          <cell r="T9"/>
          <cell r="U9"/>
          <cell r="V9">
            <v>0</v>
          </cell>
          <cell r="W9" t="str">
            <v>K 5</v>
          </cell>
          <cell r="X9">
            <v>0</v>
          </cell>
          <cell r="Y9" t="str">
            <v>K 5</v>
          </cell>
          <cell r="Z9">
            <v>73.900834456272094</v>
          </cell>
          <cell r="AA9"/>
          <cell r="AB9" t="str">
            <v xml:space="preserve"> G 5</v>
          </cell>
          <cell r="AC9"/>
          <cell r="AD9">
            <v>55</v>
          </cell>
          <cell r="AE9" t="str">
            <v>H 5</v>
          </cell>
          <cell r="AF9"/>
          <cell r="AG9"/>
          <cell r="AH9">
            <v>-5.76</v>
          </cell>
          <cell r="AI9" t="str">
            <v>Kayu</v>
          </cell>
          <cell r="AJ9">
            <v>5.76</v>
          </cell>
          <cell r="AK9">
            <v>2</v>
          </cell>
          <cell r="AL9">
            <v>4</v>
          </cell>
          <cell r="AM9" t="str">
            <v>R 5</v>
          </cell>
          <cell r="AN9">
            <v>36</v>
          </cell>
          <cell r="AO9"/>
          <cell r="AP9">
            <v>6.666666666666667</v>
          </cell>
          <cell r="AQ9">
            <v>9.6666666666666661</v>
          </cell>
          <cell r="AR9" t="str">
            <v>(Ada) Baik</v>
          </cell>
          <cell r="AS9" t="str">
            <v>Air Pam (Baik)</v>
          </cell>
        </row>
        <row r="10">
          <cell r="A10">
            <v>6</v>
          </cell>
          <cell r="B10" t="str">
            <v>Nama PB 6</v>
          </cell>
          <cell r="C10">
            <v>6</v>
          </cell>
          <cell r="D10">
            <v>6</v>
          </cell>
          <cell r="E10">
            <v>36</v>
          </cell>
          <cell r="F10" t="str">
            <v>BT 6</v>
          </cell>
          <cell r="G10"/>
          <cell r="H10"/>
          <cell r="I10"/>
          <cell r="J10"/>
          <cell r="K10"/>
          <cell r="L10">
            <v>0</v>
          </cell>
          <cell r="M10" t="str">
            <v>S 6</v>
          </cell>
          <cell r="N10"/>
          <cell r="O10">
            <v>0</v>
          </cell>
          <cell r="P10" t="str">
            <v>B 6</v>
          </cell>
          <cell r="Q10"/>
          <cell r="R10"/>
          <cell r="S10"/>
          <cell r="T10"/>
          <cell r="U10"/>
          <cell r="V10">
            <v>0</v>
          </cell>
          <cell r="W10" t="str">
            <v>K 6</v>
          </cell>
          <cell r="X10">
            <v>0</v>
          </cell>
          <cell r="Y10" t="str">
            <v>K 6</v>
          </cell>
          <cell r="Z10">
            <v>73.900834456272094</v>
          </cell>
          <cell r="AA10"/>
          <cell r="AB10" t="str">
            <v xml:space="preserve"> G 6</v>
          </cell>
          <cell r="AC10"/>
          <cell r="AD10">
            <v>55</v>
          </cell>
          <cell r="AE10" t="str">
            <v>H 6</v>
          </cell>
          <cell r="AF10"/>
          <cell r="AG10"/>
          <cell r="AH10">
            <v>-5.76</v>
          </cell>
          <cell r="AI10" t="str">
            <v>Kayu</v>
          </cell>
          <cell r="AJ10">
            <v>5.76</v>
          </cell>
          <cell r="AK10">
            <v>2</v>
          </cell>
          <cell r="AL10">
            <v>4</v>
          </cell>
          <cell r="AM10" t="str">
            <v>R 6</v>
          </cell>
          <cell r="AN10">
            <v>36</v>
          </cell>
          <cell r="AO10"/>
          <cell r="AP10">
            <v>6.666666666666667</v>
          </cell>
          <cell r="AQ10">
            <v>9.6666666666666661</v>
          </cell>
          <cell r="AR10" t="str">
            <v>(Ada) Baik</v>
          </cell>
          <cell r="AS10" t="str">
            <v>Air Pam (Baik)</v>
          </cell>
        </row>
        <row r="11">
          <cell r="A11">
            <v>7</v>
          </cell>
          <cell r="B11" t="str">
            <v>Nama PB 7</v>
          </cell>
          <cell r="C11">
            <v>6</v>
          </cell>
          <cell r="D11">
            <v>6</v>
          </cell>
          <cell r="E11">
            <v>36</v>
          </cell>
          <cell r="F11" t="str">
            <v>BT 7</v>
          </cell>
          <cell r="G11"/>
          <cell r="H11"/>
          <cell r="I11"/>
          <cell r="J11"/>
          <cell r="K11"/>
          <cell r="L11">
            <v>0</v>
          </cell>
          <cell r="M11" t="str">
            <v>S 7</v>
          </cell>
          <cell r="N11"/>
          <cell r="O11">
            <v>0</v>
          </cell>
          <cell r="P11" t="str">
            <v>B 7</v>
          </cell>
          <cell r="Q11"/>
          <cell r="R11"/>
          <cell r="S11"/>
          <cell r="T11"/>
          <cell r="U11"/>
          <cell r="V11">
            <v>0</v>
          </cell>
          <cell r="W11" t="str">
            <v>K 7</v>
          </cell>
          <cell r="X11">
            <v>0</v>
          </cell>
          <cell r="Y11" t="str">
            <v>K 7</v>
          </cell>
          <cell r="Z11">
            <v>73.900834456272094</v>
          </cell>
          <cell r="AA11"/>
          <cell r="AB11" t="str">
            <v xml:space="preserve"> G 7</v>
          </cell>
          <cell r="AC11"/>
          <cell r="AD11">
            <v>55</v>
          </cell>
          <cell r="AE11" t="str">
            <v>H 7</v>
          </cell>
          <cell r="AF11"/>
          <cell r="AG11"/>
          <cell r="AH11">
            <v>-5.76</v>
          </cell>
          <cell r="AI11" t="str">
            <v>Kayu</v>
          </cell>
          <cell r="AJ11">
            <v>5.76</v>
          </cell>
          <cell r="AK11">
            <v>2</v>
          </cell>
          <cell r="AL11">
            <v>4</v>
          </cell>
          <cell r="AM11" t="str">
            <v>R 7</v>
          </cell>
          <cell r="AN11">
            <v>36</v>
          </cell>
          <cell r="AO11"/>
          <cell r="AP11">
            <v>6.666666666666667</v>
          </cell>
          <cell r="AQ11">
            <v>9.6666666666666661</v>
          </cell>
          <cell r="AR11" t="str">
            <v>(Ada) Baik</v>
          </cell>
          <cell r="AS11" t="str">
            <v>Air Pam (Baik)</v>
          </cell>
        </row>
        <row r="12">
          <cell r="A12">
            <v>8</v>
          </cell>
          <cell r="B12" t="str">
            <v>Nama PB 8</v>
          </cell>
          <cell r="C12">
            <v>6</v>
          </cell>
          <cell r="D12">
            <v>6</v>
          </cell>
          <cell r="E12">
            <v>36</v>
          </cell>
          <cell r="F12" t="str">
            <v>BT 8</v>
          </cell>
          <cell r="G12"/>
          <cell r="H12"/>
          <cell r="I12"/>
          <cell r="J12"/>
          <cell r="K12"/>
          <cell r="L12">
            <v>0</v>
          </cell>
          <cell r="M12" t="str">
            <v>S 8</v>
          </cell>
          <cell r="N12"/>
          <cell r="O12">
            <v>0</v>
          </cell>
          <cell r="P12" t="str">
            <v>B 8</v>
          </cell>
          <cell r="Q12"/>
          <cell r="R12"/>
          <cell r="S12"/>
          <cell r="T12"/>
          <cell r="U12"/>
          <cell r="V12">
            <v>0</v>
          </cell>
          <cell r="W12" t="str">
            <v>K 8</v>
          </cell>
          <cell r="X12">
            <v>0</v>
          </cell>
          <cell r="Y12" t="str">
            <v>K 8</v>
          </cell>
          <cell r="Z12">
            <v>73.900834456272094</v>
          </cell>
          <cell r="AA12"/>
          <cell r="AB12" t="str">
            <v xml:space="preserve"> G 8</v>
          </cell>
          <cell r="AC12"/>
          <cell r="AD12">
            <v>55</v>
          </cell>
          <cell r="AE12" t="str">
            <v>H 8</v>
          </cell>
          <cell r="AF12"/>
          <cell r="AG12"/>
          <cell r="AH12">
            <v>-5.76</v>
          </cell>
          <cell r="AI12" t="str">
            <v>Kayu</v>
          </cell>
          <cell r="AJ12">
            <v>5.76</v>
          </cell>
          <cell r="AK12">
            <v>2</v>
          </cell>
          <cell r="AL12">
            <v>4</v>
          </cell>
          <cell r="AM12" t="str">
            <v>R 8</v>
          </cell>
          <cell r="AN12">
            <v>36</v>
          </cell>
          <cell r="AO12"/>
          <cell r="AP12">
            <v>6.666666666666667</v>
          </cell>
          <cell r="AQ12">
            <v>9.6666666666666661</v>
          </cell>
          <cell r="AR12" t="str">
            <v>(Ada) Baik</v>
          </cell>
          <cell r="AS12" t="str">
            <v>Air Pam (Baik)</v>
          </cell>
        </row>
        <row r="13">
          <cell r="A13">
            <v>9</v>
          </cell>
          <cell r="B13" t="str">
            <v>Nama PB 9</v>
          </cell>
          <cell r="C13">
            <v>6</v>
          </cell>
          <cell r="D13">
            <v>6</v>
          </cell>
          <cell r="E13">
            <v>36</v>
          </cell>
          <cell r="F13" t="str">
            <v>BT 9</v>
          </cell>
          <cell r="G13"/>
          <cell r="H13"/>
          <cell r="I13"/>
          <cell r="J13"/>
          <cell r="K13"/>
          <cell r="L13">
            <v>0</v>
          </cell>
          <cell r="M13" t="str">
            <v>S 9</v>
          </cell>
          <cell r="N13"/>
          <cell r="O13">
            <v>0</v>
          </cell>
          <cell r="P13" t="str">
            <v>B 9</v>
          </cell>
          <cell r="Q13"/>
          <cell r="R13"/>
          <cell r="S13"/>
          <cell r="T13"/>
          <cell r="U13"/>
          <cell r="V13">
            <v>0</v>
          </cell>
          <cell r="W13" t="str">
            <v>K 9</v>
          </cell>
          <cell r="X13">
            <v>0</v>
          </cell>
          <cell r="Y13" t="str">
            <v>K 9</v>
          </cell>
          <cell r="Z13">
            <v>73.900834456272094</v>
          </cell>
          <cell r="AA13"/>
          <cell r="AB13" t="str">
            <v xml:space="preserve"> G 9</v>
          </cell>
          <cell r="AC13"/>
          <cell r="AD13">
            <v>55</v>
          </cell>
          <cell r="AE13" t="str">
            <v>H 9</v>
          </cell>
          <cell r="AF13"/>
          <cell r="AG13"/>
          <cell r="AH13">
            <v>-5.76</v>
          </cell>
          <cell r="AI13" t="str">
            <v>Kayu</v>
          </cell>
          <cell r="AJ13">
            <v>5.76</v>
          </cell>
          <cell r="AK13">
            <v>2</v>
          </cell>
          <cell r="AL13">
            <v>4</v>
          </cell>
          <cell r="AM13" t="str">
            <v>R 9</v>
          </cell>
          <cell r="AN13">
            <v>36</v>
          </cell>
          <cell r="AO13"/>
          <cell r="AP13">
            <v>6.666666666666667</v>
          </cell>
          <cell r="AQ13">
            <v>9.6666666666666661</v>
          </cell>
          <cell r="AR13" t="str">
            <v>(Ada) Baik</v>
          </cell>
          <cell r="AS13" t="str">
            <v>Air Pam (Baik)</v>
          </cell>
        </row>
        <row r="14">
          <cell r="A14">
            <v>10</v>
          </cell>
          <cell r="B14" t="str">
            <v>Nama PB 10</v>
          </cell>
          <cell r="C14">
            <v>6</v>
          </cell>
          <cell r="D14">
            <v>6</v>
          </cell>
          <cell r="E14">
            <v>36</v>
          </cell>
          <cell r="F14" t="str">
            <v>BT 10</v>
          </cell>
          <cell r="G14"/>
          <cell r="H14"/>
          <cell r="I14"/>
          <cell r="J14"/>
          <cell r="K14"/>
          <cell r="L14">
            <v>0</v>
          </cell>
          <cell r="M14" t="str">
            <v>S 10</v>
          </cell>
          <cell r="N14"/>
          <cell r="O14">
            <v>0</v>
          </cell>
          <cell r="P14" t="str">
            <v>B 10</v>
          </cell>
          <cell r="Q14"/>
          <cell r="R14"/>
          <cell r="S14"/>
          <cell r="T14"/>
          <cell r="U14"/>
          <cell r="V14">
            <v>0</v>
          </cell>
          <cell r="W14" t="str">
            <v>K 10</v>
          </cell>
          <cell r="X14">
            <v>0</v>
          </cell>
          <cell r="Y14" t="str">
            <v>K 10</v>
          </cell>
          <cell r="Z14">
            <v>73.900834456272094</v>
          </cell>
          <cell r="AA14"/>
          <cell r="AB14" t="str">
            <v xml:space="preserve"> G 10</v>
          </cell>
          <cell r="AC14"/>
          <cell r="AD14">
            <v>55</v>
          </cell>
          <cell r="AE14" t="str">
            <v>H 10</v>
          </cell>
          <cell r="AF14"/>
          <cell r="AG14"/>
          <cell r="AH14">
            <v>-5.76</v>
          </cell>
          <cell r="AI14" t="str">
            <v>Kayu</v>
          </cell>
          <cell r="AJ14">
            <v>5.76</v>
          </cell>
          <cell r="AK14">
            <v>2</v>
          </cell>
          <cell r="AL14">
            <v>4</v>
          </cell>
          <cell r="AM14" t="str">
            <v>R 10</v>
          </cell>
          <cell r="AN14">
            <v>36</v>
          </cell>
          <cell r="AO14"/>
          <cell r="AP14">
            <v>6.666666666666667</v>
          </cell>
          <cell r="AQ14">
            <v>9.6666666666666661</v>
          </cell>
          <cell r="AR14" t="str">
            <v>(Ada) Baik</v>
          </cell>
          <cell r="AS14" t="str">
            <v>Air Pam (Baik)</v>
          </cell>
        </row>
        <row r="15">
          <cell r="A15">
            <v>11</v>
          </cell>
          <cell r="B15" t="str">
            <v>Nama PB 11</v>
          </cell>
          <cell r="C15">
            <v>6</v>
          </cell>
          <cell r="D15">
            <v>6</v>
          </cell>
          <cell r="E15">
            <v>36</v>
          </cell>
          <cell r="F15" t="str">
            <v>BT 11</v>
          </cell>
          <cell r="G15"/>
          <cell r="H15"/>
          <cell r="I15"/>
          <cell r="J15"/>
          <cell r="K15"/>
          <cell r="L15">
            <v>0</v>
          </cell>
          <cell r="M15" t="str">
            <v>S 11</v>
          </cell>
          <cell r="N15"/>
          <cell r="O15">
            <v>0</v>
          </cell>
          <cell r="P15" t="str">
            <v>B 11</v>
          </cell>
          <cell r="Q15"/>
          <cell r="R15"/>
          <cell r="S15"/>
          <cell r="T15"/>
          <cell r="U15"/>
          <cell r="V15">
            <v>0</v>
          </cell>
          <cell r="W15" t="str">
            <v>K 11</v>
          </cell>
          <cell r="X15">
            <v>0</v>
          </cell>
          <cell r="Y15" t="str">
            <v>K 11</v>
          </cell>
          <cell r="Z15">
            <v>73.900834456272094</v>
          </cell>
          <cell r="AA15"/>
          <cell r="AB15" t="str">
            <v xml:space="preserve"> G 11</v>
          </cell>
          <cell r="AC15"/>
          <cell r="AD15">
            <v>55</v>
          </cell>
          <cell r="AE15" t="str">
            <v>H 11</v>
          </cell>
          <cell r="AF15"/>
          <cell r="AG15"/>
          <cell r="AH15">
            <v>-5.76</v>
          </cell>
          <cell r="AI15" t="str">
            <v>Kayu</v>
          </cell>
          <cell r="AJ15">
            <v>5.76</v>
          </cell>
          <cell r="AK15">
            <v>2</v>
          </cell>
          <cell r="AL15">
            <v>4</v>
          </cell>
          <cell r="AM15" t="str">
            <v>R 11</v>
          </cell>
          <cell r="AN15">
            <v>36</v>
          </cell>
          <cell r="AO15"/>
          <cell r="AP15">
            <v>6.666666666666667</v>
          </cell>
          <cell r="AQ15">
            <v>9.6666666666666661</v>
          </cell>
          <cell r="AR15" t="str">
            <v>(Ada) Baik</v>
          </cell>
          <cell r="AS15" t="str">
            <v>Air Pam (Baik)</v>
          </cell>
        </row>
        <row r="16">
          <cell r="A16">
            <v>12</v>
          </cell>
          <cell r="B16" t="str">
            <v>Nama PB 12</v>
          </cell>
          <cell r="C16">
            <v>6</v>
          </cell>
          <cell r="D16">
            <v>6</v>
          </cell>
          <cell r="E16">
            <v>36</v>
          </cell>
          <cell r="F16" t="str">
            <v>BT 12</v>
          </cell>
          <cell r="G16"/>
          <cell r="H16"/>
          <cell r="I16"/>
          <cell r="J16"/>
          <cell r="K16"/>
          <cell r="L16">
            <v>0</v>
          </cell>
          <cell r="M16" t="str">
            <v>S 12</v>
          </cell>
          <cell r="N16"/>
          <cell r="O16">
            <v>0</v>
          </cell>
          <cell r="P16" t="str">
            <v>B 12</v>
          </cell>
          <cell r="Q16"/>
          <cell r="R16"/>
          <cell r="S16"/>
          <cell r="T16"/>
          <cell r="U16"/>
          <cell r="V16">
            <v>0</v>
          </cell>
          <cell r="W16" t="str">
            <v>K 12</v>
          </cell>
          <cell r="X16">
            <v>0</v>
          </cell>
          <cell r="Y16" t="str">
            <v>K 12</v>
          </cell>
          <cell r="Z16">
            <v>73.900834456272094</v>
          </cell>
          <cell r="AA16"/>
          <cell r="AB16" t="str">
            <v xml:space="preserve"> G 12</v>
          </cell>
          <cell r="AC16"/>
          <cell r="AD16">
            <v>55</v>
          </cell>
          <cell r="AE16" t="str">
            <v>H 12</v>
          </cell>
          <cell r="AF16"/>
          <cell r="AG16"/>
          <cell r="AH16">
            <v>-5.76</v>
          </cell>
          <cell r="AI16" t="str">
            <v>Kayu</v>
          </cell>
          <cell r="AJ16">
            <v>5.76</v>
          </cell>
          <cell r="AK16">
            <v>2</v>
          </cell>
          <cell r="AL16">
            <v>4</v>
          </cell>
          <cell r="AM16" t="str">
            <v>R 12</v>
          </cell>
          <cell r="AN16">
            <v>36</v>
          </cell>
          <cell r="AO16"/>
          <cell r="AP16">
            <v>6.666666666666667</v>
          </cell>
          <cell r="AQ16">
            <v>9.6666666666666661</v>
          </cell>
          <cell r="AR16" t="str">
            <v>(Ada) Baik</v>
          </cell>
          <cell r="AS16" t="str">
            <v>Air Pam (Baik)</v>
          </cell>
        </row>
        <row r="17">
          <cell r="A17">
            <v>13</v>
          </cell>
          <cell r="B17" t="str">
            <v>Nama PB 13</v>
          </cell>
          <cell r="C17">
            <v>6</v>
          </cell>
          <cell r="D17">
            <v>6</v>
          </cell>
          <cell r="E17">
            <v>36</v>
          </cell>
          <cell r="F17" t="str">
            <v>BT 13</v>
          </cell>
          <cell r="G17"/>
          <cell r="H17"/>
          <cell r="I17"/>
          <cell r="J17"/>
          <cell r="K17"/>
          <cell r="L17">
            <v>0</v>
          </cell>
          <cell r="M17" t="str">
            <v>S 13</v>
          </cell>
          <cell r="N17"/>
          <cell r="O17">
            <v>0</v>
          </cell>
          <cell r="P17" t="str">
            <v>B 13</v>
          </cell>
          <cell r="Q17"/>
          <cell r="R17"/>
          <cell r="S17"/>
          <cell r="T17"/>
          <cell r="U17"/>
          <cell r="V17">
            <v>0</v>
          </cell>
          <cell r="W17" t="str">
            <v>K 13</v>
          </cell>
          <cell r="X17">
            <v>0</v>
          </cell>
          <cell r="Y17" t="str">
            <v>K 13</v>
          </cell>
          <cell r="Z17">
            <v>73.900834456272094</v>
          </cell>
          <cell r="AA17"/>
          <cell r="AB17" t="str">
            <v xml:space="preserve"> G 13</v>
          </cell>
          <cell r="AC17"/>
          <cell r="AD17">
            <v>55</v>
          </cell>
          <cell r="AE17" t="str">
            <v>H 13</v>
          </cell>
          <cell r="AF17"/>
          <cell r="AG17"/>
          <cell r="AH17">
            <v>-5.76</v>
          </cell>
          <cell r="AI17" t="str">
            <v>Kayu</v>
          </cell>
          <cell r="AJ17">
            <v>5.76</v>
          </cell>
          <cell r="AK17">
            <v>2</v>
          </cell>
          <cell r="AL17">
            <v>4</v>
          </cell>
          <cell r="AM17" t="str">
            <v>R 13</v>
          </cell>
          <cell r="AN17">
            <v>36</v>
          </cell>
          <cell r="AO17"/>
          <cell r="AP17">
            <v>6.666666666666667</v>
          </cell>
          <cell r="AQ17">
            <v>9.6666666666666661</v>
          </cell>
          <cell r="AR17" t="str">
            <v>(Ada) Baik</v>
          </cell>
          <cell r="AS17" t="str">
            <v>Air Pam (Baik)</v>
          </cell>
        </row>
        <row r="18">
          <cell r="A18">
            <v>14</v>
          </cell>
          <cell r="B18" t="str">
            <v>Nama PB 14</v>
          </cell>
          <cell r="C18">
            <v>6</v>
          </cell>
          <cell r="D18">
            <v>6</v>
          </cell>
          <cell r="E18">
            <v>36</v>
          </cell>
          <cell r="F18" t="str">
            <v>BT 14</v>
          </cell>
          <cell r="G18"/>
          <cell r="H18"/>
          <cell r="I18"/>
          <cell r="J18"/>
          <cell r="K18"/>
          <cell r="L18">
            <v>0</v>
          </cell>
          <cell r="M18" t="str">
            <v>S 14</v>
          </cell>
          <cell r="N18"/>
          <cell r="O18">
            <v>0</v>
          </cell>
          <cell r="P18" t="str">
            <v>B 14</v>
          </cell>
          <cell r="Q18"/>
          <cell r="R18"/>
          <cell r="S18"/>
          <cell r="T18"/>
          <cell r="U18"/>
          <cell r="V18">
            <v>0</v>
          </cell>
          <cell r="W18" t="str">
            <v>K 14</v>
          </cell>
          <cell r="X18">
            <v>0</v>
          </cell>
          <cell r="Y18" t="str">
            <v>K 14</v>
          </cell>
          <cell r="Z18">
            <v>73.900834456272094</v>
          </cell>
          <cell r="AA18"/>
          <cell r="AB18" t="str">
            <v xml:space="preserve"> G 14</v>
          </cell>
          <cell r="AC18"/>
          <cell r="AD18">
            <v>55</v>
          </cell>
          <cell r="AE18" t="str">
            <v>H 14</v>
          </cell>
          <cell r="AF18"/>
          <cell r="AG18"/>
          <cell r="AH18">
            <v>-5.76</v>
          </cell>
          <cell r="AI18" t="str">
            <v>Kayu</v>
          </cell>
          <cell r="AJ18">
            <v>5.76</v>
          </cell>
          <cell r="AK18">
            <v>2</v>
          </cell>
          <cell r="AL18">
            <v>4</v>
          </cell>
          <cell r="AM18" t="str">
            <v>R 14</v>
          </cell>
          <cell r="AN18">
            <v>36</v>
          </cell>
          <cell r="AO18"/>
          <cell r="AP18">
            <v>6.666666666666667</v>
          </cell>
          <cell r="AQ18">
            <v>9.6666666666666661</v>
          </cell>
          <cell r="AR18" t="str">
            <v>(Ada) Baik</v>
          </cell>
          <cell r="AS18" t="str">
            <v>Air Pam (Baik)</v>
          </cell>
        </row>
        <row r="19">
          <cell r="A19">
            <v>15</v>
          </cell>
          <cell r="B19" t="str">
            <v>Nama PB 15</v>
          </cell>
          <cell r="C19">
            <v>6</v>
          </cell>
          <cell r="D19">
            <v>6</v>
          </cell>
          <cell r="E19">
            <v>36</v>
          </cell>
          <cell r="F19" t="str">
            <v>BT 15</v>
          </cell>
          <cell r="G19"/>
          <cell r="H19"/>
          <cell r="I19"/>
          <cell r="J19"/>
          <cell r="K19"/>
          <cell r="L19">
            <v>0</v>
          </cell>
          <cell r="M19" t="str">
            <v>S 15</v>
          </cell>
          <cell r="N19"/>
          <cell r="O19">
            <v>0</v>
          </cell>
          <cell r="P19" t="str">
            <v>B 15</v>
          </cell>
          <cell r="Q19"/>
          <cell r="R19"/>
          <cell r="S19"/>
          <cell r="T19"/>
          <cell r="U19"/>
          <cell r="V19">
            <v>0</v>
          </cell>
          <cell r="W19" t="str">
            <v>K 15</v>
          </cell>
          <cell r="X19">
            <v>0</v>
          </cell>
          <cell r="Y19" t="str">
            <v>K 15</v>
          </cell>
          <cell r="Z19">
            <v>73.900834456272094</v>
          </cell>
          <cell r="AA19"/>
          <cell r="AB19" t="str">
            <v xml:space="preserve"> G 15</v>
          </cell>
          <cell r="AC19"/>
          <cell r="AD19">
            <v>55</v>
          </cell>
          <cell r="AE19" t="str">
            <v>H 15</v>
          </cell>
          <cell r="AF19"/>
          <cell r="AG19"/>
          <cell r="AH19">
            <v>-5.76</v>
          </cell>
          <cell r="AI19" t="str">
            <v>Kayu</v>
          </cell>
          <cell r="AJ19">
            <v>5.76</v>
          </cell>
          <cell r="AK19">
            <v>2</v>
          </cell>
          <cell r="AL19">
            <v>4</v>
          </cell>
          <cell r="AM19" t="str">
            <v>R 15</v>
          </cell>
          <cell r="AN19">
            <v>36</v>
          </cell>
          <cell r="AO19"/>
          <cell r="AP19">
            <v>6.666666666666667</v>
          </cell>
          <cell r="AQ19">
            <v>9.6666666666666661</v>
          </cell>
          <cell r="AR19" t="str">
            <v>(Ada) Baik</v>
          </cell>
          <cell r="AS19" t="str">
            <v>Air Pam (Baik)</v>
          </cell>
        </row>
        <row r="20">
          <cell r="A20">
            <v>16</v>
          </cell>
          <cell r="B20" t="str">
            <v>Nama PB 16</v>
          </cell>
          <cell r="C20">
            <v>6</v>
          </cell>
          <cell r="D20">
            <v>6</v>
          </cell>
          <cell r="E20">
            <v>36</v>
          </cell>
          <cell r="F20" t="str">
            <v>BT 16</v>
          </cell>
          <cell r="G20"/>
          <cell r="H20"/>
          <cell r="I20"/>
          <cell r="J20"/>
          <cell r="K20"/>
          <cell r="L20">
            <v>0</v>
          </cell>
          <cell r="M20" t="str">
            <v>S 16</v>
          </cell>
          <cell r="N20"/>
          <cell r="O20">
            <v>0</v>
          </cell>
          <cell r="P20" t="str">
            <v>B 16</v>
          </cell>
          <cell r="Q20"/>
          <cell r="R20"/>
          <cell r="S20"/>
          <cell r="T20"/>
          <cell r="U20"/>
          <cell r="V20">
            <v>0</v>
          </cell>
          <cell r="W20" t="str">
            <v>K 16</v>
          </cell>
          <cell r="X20">
            <v>0</v>
          </cell>
          <cell r="Y20" t="str">
            <v>K 16</v>
          </cell>
          <cell r="Z20">
            <v>73.900834456272094</v>
          </cell>
          <cell r="AA20"/>
          <cell r="AB20" t="str">
            <v xml:space="preserve"> G 16</v>
          </cell>
          <cell r="AC20"/>
          <cell r="AD20">
            <v>55</v>
          </cell>
          <cell r="AE20" t="str">
            <v>H 16</v>
          </cell>
          <cell r="AF20"/>
          <cell r="AG20"/>
          <cell r="AH20">
            <v>-5.76</v>
          </cell>
          <cell r="AI20" t="str">
            <v>Kayu</v>
          </cell>
          <cell r="AJ20">
            <v>5.76</v>
          </cell>
          <cell r="AK20">
            <v>2</v>
          </cell>
          <cell r="AL20">
            <v>4</v>
          </cell>
          <cell r="AM20" t="str">
            <v>R 16</v>
          </cell>
          <cell r="AN20">
            <v>36</v>
          </cell>
          <cell r="AO20"/>
          <cell r="AP20">
            <v>6.666666666666667</v>
          </cell>
          <cell r="AQ20">
            <v>9.6666666666666661</v>
          </cell>
          <cell r="AR20" t="str">
            <v>(Ada) Baik</v>
          </cell>
          <cell r="AS20" t="str">
            <v>Air Pam (Baik)</v>
          </cell>
        </row>
        <row r="21">
          <cell r="A21">
            <v>17</v>
          </cell>
          <cell r="B21" t="str">
            <v>Nama PB 17</v>
          </cell>
          <cell r="C21">
            <v>6</v>
          </cell>
          <cell r="D21">
            <v>6</v>
          </cell>
          <cell r="E21">
            <v>36</v>
          </cell>
          <cell r="F21" t="str">
            <v>BT 17</v>
          </cell>
          <cell r="G21"/>
          <cell r="H21"/>
          <cell r="I21"/>
          <cell r="J21"/>
          <cell r="K21"/>
          <cell r="L21">
            <v>0</v>
          </cell>
          <cell r="M21" t="str">
            <v>S 17</v>
          </cell>
          <cell r="N21"/>
          <cell r="O21">
            <v>0</v>
          </cell>
          <cell r="P21" t="str">
            <v>B 17</v>
          </cell>
          <cell r="Q21"/>
          <cell r="R21"/>
          <cell r="S21"/>
          <cell r="T21"/>
          <cell r="U21"/>
          <cell r="V21">
            <v>0</v>
          </cell>
          <cell r="W21" t="str">
            <v>K 17</v>
          </cell>
          <cell r="X21">
            <v>0</v>
          </cell>
          <cell r="Y21" t="str">
            <v>K 17</v>
          </cell>
          <cell r="Z21">
            <v>73.900834456272094</v>
          </cell>
          <cell r="AA21"/>
          <cell r="AB21" t="str">
            <v xml:space="preserve"> G 17</v>
          </cell>
          <cell r="AC21"/>
          <cell r="AD21">
            <v>55</v>
          </cell>
          <cell r="AE21" t="str">
            <v>H 17</v>
          </cell>
          <cell r="AF21"/>
          <cell r="AG21"/>
          <cell r="AH21">
            <v>-5.76</v>
          </cell>
          <cell r="AI21" t="str">
            <v>Kayu</v>
          </cell>
          <cell r="AJ21">
            <v>5.76</v>
          </cell>
          <cell r="AK21">
            <v>2</v>
          </cell>
          <cell r="AL21">
            <v>4</v>
          </cell>
          <cell r="AM21" t="str">
            <v>R 17</v>
          </cell>
          <cell r="AN21">
            <v>36</v>
          </cell>
          <cell r="AO21"/>
          <cell r="AP21">
            <v>6.666666666666667</v>
          </cell>
          <cell r="AQ21">
            <v>9.6666666666666661</v>
          </cell>
          <cell r="AR21" t="str">
            <v>(Ada) Baik</v>
          </cell>
          <cell r="AS21" t="str">
            <v>Air Pam (Baik)</v>
          </cell>
        </row>
        <row r="22">
          <cell r="A22">
            <v>18</v>
          </cell>
          <cell r="B22" t="str">
            <v>Nama PB 18</v>
          </cell>
          <cell r="C22">
            <v>6</v>
          </cell>
          <cell r="D22">
            <v>6</v>
          </cell>
          <cell r="E22">
            <v>36</v>
          </cell>
          <cell r="F22" t="str">
            <v>BT 18</v>
          </cell>
          <cell r="G22"/>
          <cell r="H22"/>
          <cell r="I22"/>
          <cell r="J22"/>
          <cell r="K22"/>
          <cell r="L22">
            <v>0</v>
          </cell>
          <cell r="M22" t="str">
            <v>S 18</v>
          </cell>
          <cell r="N22"/>
          <cell r="O22">
            <v>0</v>
          </cell>
          <cell r="P22" t="str">
            <v>B 18</v>
          </cell>
          <cell r="Q22"/>
          <cell r="R22"/>
          <cell r="S22"/>
          <cell r="T22"/>
          <cell r="U22"/>
          <cell r="V22">
            <v>0</v>
          </cell>
          <cell r="W22" t="str">
            <v>K 18</v>
          </cell>
          <cell r="X22">
            <v>0</v>
          </cell>
          <cell r="Y22" t="str">
            <v>K 18</v>
          </cell>
          <cell r="Z22">
            <v>73.900834456272094</v>
          </cell>
          <cell r="AA22"/>
          <cell r="AB22" t="str">
            <v xml:space="preserve"> G 18</v>
          </cell>
          <cell r="AC22"/>
          <cell r="AD22">
            <v>55</v>
          </cell>
          <cell r="AE22" t="str">
            <v>H 18</v>
          </cell>
          <cell r="AF22"/>
          <cell r="AG22"/>
          <cell r="AH22">
            <v>-5.76</v>
          </cell>
          <cell r="AI22" t="str">
            <v>Kayu</v>
          </cell>
          <cell r="AJ22">
            <v>5.76</v>
          </cell>
          <cell r="AK22">
            <v>2</v>
          </cell>
          <cell r="AL22">
            <v>4</v>
          </cell>
          <cell r="AM22" t="str">
            <v>R 18</v>
          </cell>
          <cell r="AN22">
            <v>36</v>
          </cell>
          <cell r="AO22"/>
          <cell r="AP22">
            <v>6.666666666666667</v>
          </cell>
          <cell r="AQ22">
            <v>9.6666666666666661</v>
          </cell>
          <cell r="AR22" t="str">
            <v>(Ada) Baik</v>
          </cell>
          <cell r="AS22" t="str">
            <v>Air Pam (Baik)</v>
          </cell>
        </row>
        <row r="23">
          <cell r="A23">
            <v>19</v>
          </cell>
          <cell r="B23" t="str">
            <v>Nama PB 19</v>
          </cell>
          <cell r="C23">
            <v>6</v>
          </cell>
          <cell r="D23">
            <v>6</v>
          </cell>
          <cell r="E23">
            <v>36</v>
          </cell>
          <cell r="F23" t="str">
            <v>BT 19</v>
          </cell>
          <cell r="G23"/>
          <cell r="H23"/>
          <cell r="I23"/>
          <cell r="J23"/>
          <cell r="K23"/>
          <cell r="L23">
            <v>0</v>
          </cell>
          <cell r="M23" t="str">
            <v>S 19</v>
          </cell>
          <cell r="N23"/>
          <cell r="O23">
            <v>0</v>
          </cell>
          <cell r="P23" t="str">
            <v>B 19</v>
          </cell>
          <cell r="Q23"/>
          <cell r="R23"/>
          <cell r="S23"/>
          <cell r="T23"/>
          <cell r="U23"/>
          <cell r="V23">
            <v>0</v>
          </cell>
          <cell r="W23" t="str">
            <v>K 19</v>
          </cell>
          <cell r="X23">
            <v>0</v>
          </cell>
          <cell r="Y23" t="str">
            <v>K 19</v>
          </cell>
          <cell r="Z23">
            <v>73.900834456272094</v>
          </cell>
          <cell r="AA23"/>
          <cell r="AB23" t="str">
            <v xml:space="preserve"> G 19</v>
          </cell>
          <cell r="AC23"/>
          <cell r="AD23">
            <v>55</v>
          </cell>
          <cell r="AE23" t="str">
            <v>H 19</v>
          </cell>
          <cell r="AF23"/>
          <cell r="AG23"/>
          <cell r="AH23">
            <v>-5.76</v>
          </cell>
          <cell r="AI23" t="str">
            <v>Kayu</v>
          </cell>
          <cell r="AJ23">
            <v>5.76</v>
          </cell>
          <cell r="AK23">
            <v>2</v>
          </cell>
          <cell r="AL23">
            <v>4</v>
          </cell>
          <cell r="AM23" t="str">
            <v>R 19</v>
          </cell>
          <cell r="AN23">
            <v>36</v>
          </cell>
          <cell r="AO23"/>
          <cell r="AP23">
            <v>6.666666666666667</v>
          </cell>
          <cell r="AQ23">
            <v>9.6666666666666661</v>
          </cell>
          <cell r="AR23" t="str">
            <v>(Ada) Baik</v>
          </cell>
          <cell r="AS23" t="str">
            <v>Air Pam (Baik)</v>
          </cell>
        </row>
        <row r="24">
          <cell r="A24">
            <v>20</v>
          </cell>
          <cell r="B24" t="str">
            <v>Nama PB 20</v>
          </cell>
          <cell r="C24">
            <v>6</v>
          </cell>
          <cell r="D24">
            <v>6</v>
          </cell>
          <cell r="E24">
            <v>36</v>
          </cell>
          <cell r="F24" t="str">
            <v>BT 20</v>
          </cell>
          <cell r="G24"/>
          <cell r="H24"/>
          <cell r="I24"/>
          <cell r="J24"/>
          <cell r="K24"/>
          <cell r="L24">
            <v>0</v>
          </cell>
          <cell r="M24" t="str">
            <v>S 20</v>
          </cell>
          <cell r="N24"/>
          <cell r="O24">
            <v>0</v>
          </cell>
          <cell r="P24" t="str">
            <v>B 20</v>
          </cell>
          <cell r="Q24"/>
          <cell r="R24"/>
          <cell r="S24"/>
          <cell r="T24"/>
          <cell r="U24"/>
          <cell r="V24">
            <v>0</v>
          </cell>
          <cell r="W24" t="str">
            <v>K 20</v>
          </cell>
          <cell r="X24">
            <v>0</v>
          </cell>
          <cell r="Y24" t="str">
            <v>K 20</v>
          </cell>
          <cell r="Z24">
            <v>73.900834456272094</v>
          </cell>
          <cell r="AA24"/>
          <cell r="AB24" t="str">
            <v xml:space="preserve"> G 20</v>
          </cell>
          <cell r="AC24"/>
          <cell r="AD24">
            <v>55</v>
          </cell>
          <cell r="AE24" t="str">
            <v>H 20</v>
          </cell>
          <cell r="AF24"/>
          <cell r="AG24"/>
          <cell r="AH24">
            <v>-5.76</v>
          </cell>
          <cell r="AI24" t="str">
            <v>Kayu</v>
          </cell>
          <cell r="AJ24">
            <v>5.76</v>
          </cell>
          <cell r="AK24">
            <v>2</v>
          </cell>
          <cell r="AL24">
            <v>4</v>
          </cell>
          <cell r="AM24" t="str">
            <v>R 20</v>
          </cell>
          <cell r="AN24">
            <v>36</v>
          </cell>
          <cell r="AO24"/>
          <cell r="AP24">
            <v>6.666666666666667</v>
          </cell>
          <cell r="AQ24">
            <v>9.6666666666666661</v>
          </cell>
          <cell r="AR24" t="str">
            <v>(Ada) Baik</v>
          </cell>
          <cell r="AS24" t="str">
            <v>Air Pam (Baik)</v>
          </cell>
        </row>
      </sheetData>
      <sheetData sheetId="1">
        <row r="5">
          <cell r="A5">
            <v>1</v>
          </cell>
          <cell r="B5" t="str">
            <v>Nama PB 1</v>
          </cell>
          <cell r="C5">
            <v>7</v>
          </cell>
          <cell r="D5">
            <v>7</v>
          </cell>
          <cell r="E5">
            <v>49</v>
          </cell>
          <cell r="F5" t="str">
            <v>Pondasi Titik</v>
          </cell>
          <cell r="G5"/>
          <cell r="H5">
            <v>0.6</v>
          </cell>
          <cell r="I5">
            <v>2</v>
          </cell>
          <cell r="J5"/>
          <cell r="K5"/>
          <cell r="L5">
            <v>0.108</v>
          </cell>
          <cell r="M5" t="str">
            <v>Kayu</v>
          </cell>
          <cell r="N5">
            <v>30</v>
          </cell>
          <cell r="O5">
            <v>0.30000000000000004</v>
          </cell>
          <cell r="P5" t="str">
            <v>Kayu</v>
          </cell>
          <cell r="Q5">
            <v>0.1</v>
          </cell>
          <cell r="R5">
            <v>0.1</v>
          </cell>
          <cell r="S5">
            <v>4</v>
          </cell>
          <cell r="T5">
            <v>5</v>
          </cell>
          <cell r="U5">
            <v>4</v>
          </cell>
          <cell r="V5">
            <v>0.20000000000000004</v>
          </cell>
          <cell r="W5" t="str">
            <v>Beton</v>
          </cell>
          <cell r="X5">
            <v>0.30000000000000004</v>
          </cell>
          <cell r="Y5" t="str">
            <v>Kayu</v>
          </cell>
          <cell r="Z5">
            <v>93.530743608719362</v>
          </cell>
          <cell r="AB5" t="str">
            <v>Seng</v>
          </cell>
          <cell r="AC5" t="str">
            <v>Pelana</v>
          </cell>
          <cell r="AD5">
            <v>125.55000000000001</v>
          </cell>
          <cell r="AE5" t="str">
            <v>Bata Ringan</v>
          </cell>
          <cell r="AF5">
            <v>30</v>
          </cell>
          <cell r="AG5">
            <v>4</v>
          </cell>
          <cell r="AH5">
            <v>114.24</v>
          </cell>
          <cell r="AI5" t="str">
            <v>Kayu</v>
          </cell>
          <cell r="AJ5">
            <v>5.76</v>
          </cell>
          <cell r="AK5">
            <v>2</v>
          </cell>
          <cell r="AL5">
            <v>4</v>
          </cell>
          <cell r="AM5" t="str">
            <v>Rabat</v>
          </cell>
          <cell r="AN5">
            <v>49</v>
          </cell>
          <cell r="AO5"/>
          <cell r="AP5">
            <v>4.8979591836734695</v>
          </cell>
          <cell r="AQ5">
            <v>7.1020408163265314</v>
          </cell>
          <cell r="AR5" t="str">
            <v>(Ada) Baik</v>
          </cell>
          <cell r="AS5" t="str">
            <v>Air Pam (Baik)</v>
          </cell>
        </row>
        <row r="6">
          <cell r="A6">
            <v>2</v>
          </cell>
          <cell r="B6" t="str">
            <v>Nama PB 2</v>
          </cell>
          <cell r="C6">
            <v>7</v>
          </cell>
          <cell r="D6">
            <v>7</v>
          </cell>
          <cell r="E6">
            <v>49</v>
          </cell>
          <cell r="F6" t="str">
            <v>Batu Kali</v>
          </cell>
          <cell r="G6">
            <v>30</v>
          </cell>
          <cell r="H6"/>
          <cell r="I6"/>
          <cell r="J6"/>
          <cell r="K6"/>
          <cell r="L6">
            <v>2.0249999999999999</v>
          </cell>
          <cell r="M6" t="str">
            <v>S 2</v>
          </cell>
          <cell r="N6"/>
          <cell r="O6">
            <v>0</v>
          </cell>
          <cell r="P6" t="str">
            <v>Beton</v>
          </cell>
          <cell r="Q6"/>
          <cell r="R6"/>
          <cell r="S6"/>
          <cell r="T6"/>
          <cell r="U6"/>
          <cell r="V6">
            <v>0</v>
          </cell>
          <cell r="W6" t="str">
            <v>K 2</v>
          </cell>
          <cell r="X6">
            <v>0</v>
          </cell>
          <cell r="Y6" t="str">
            <v>K 2</v>
          </cell>
          <cell r="Z6">
            <v>93.530743608719362</v>
          </cell>
          <cell r="AB6" t="str">
            <v xml:space="preserve"> G 2</v>
          </cell>
          <cell r="AC6"/>
          <cell r="AD6">
            <v>55</v>
          </cell>
          <cell r="AE6" t="str">
            <v>H 2</v>
          </cell>
          <cell r="AF6"/>
          <cell r="AG6"/>
          <cell r="AH6">
            <v>-5.76</v>
          </cell>
          <cell r="AI6" t="str">
            <v>Kayu</v>
          </cell>
          <cell r="AJ6">
            <v>5.76</v>
          </cell>
          <cell r="AK6">
            <v>2</v>
          </cell>
          <cell r="AL6">
            <v>4</v>
          </cell>
          <cell r="AM6" t="str">
            <v>R 2</v>
          </cell>
          <cell r="AN6">
            <v>49</v>
          </cell>
          <cell r="AO6"/>
          <cell r="AP6">
            <v>4.8979591836734695</v>
          </cell>
          <cell r="AQ6">
            <v>7.1020408163265314</v>
          </cell>
          <cell r="AR6" t="str">
            <v>(Ada) Baik</v>
          </cell>
          <cell r="AS6" t="str">
            <v>Air Pam (Baik)</v>
          </cell>
        </row>
        <row r="7">
          <cell r="A7">
            <v>3</v>
          </cell>
          <cell r="B7" t="str">
            <v>Nama PB 3</v>
          </cell>
          <cell r="C7">
            <v>7</v>
          </cell>
          <cell r="D7">
            <v>7</v>
          </cell>
          <cell r="E7">
            <v>49</v>
          </cell>
          <cell r="F7" t="str">
            <v>Pancang Kayu</v>
          </cell>
          <cell r="G7"/>
          <cell r="H7"/>
          <cell r="I7"/>
          <cell r="J7">
            <v>1</v>
          </cell>
          <cell r="K7">
            <v>1</v>
          </cell>
          <cell r="L7">
            <v>1.0000000000000002E-2</v>
          </cell>
          <cell r="M7" t="str">
            <v>S 3</v>
          </cell>
          <cell r="N7"/>
          <cell r="O7">
            <v>0</v>
          </cell>
          <cell r="P7" t="str">
            <v>B 3</v>
          </cell>
          <cell r="Q7"/>
          <cell r="R7"/>
          <cell r="S7"/>
          <cell r="T7"/>
          <cell r="U7"/>
          <cell r="V7">
            <v>0</v>
          </cell>
          <cell r="W7" t="str">
            <v>K 3</v>
          </cell>
          <cell r="X7">
            <v>0</v>
          </cell>
          <cell r="Y7" t="str">
            <v>K 3</v>
          </cell>
          <cell r="Z7">
            <v>93.530743608719362</v>
          </cell>
          <cell r="AB7" t="str">
            <v xml:space="preserve"> G 3</v>
          </cell>
          <cell r="AC7"/>
          <cell r="AD7">
            <v>55</v>
          </cell>
          <cell r="AE7" t="str">
            <v>H 3</v>
          </cell>
          <cell r="AF7"/>
          <cell r="AG7"/>
          <cell r="AH7">
            <v>-5.76</v>
          </cell>
          <cell r="AI7" t="str">
            <v>Kayu</v>
          </cell>
          <cell r="AJ7">
            <v>5.76</v>
          </cell>
          <cell r="AK7">
            <v>2</v>
          </cell>
          <cell r="AL7">
            <v>4</v>
          </cell>
          <cell r="AM7" t="str">
            <v>R 3</v>
          </cell>
          <cell r="AN7">
            <v>49</v>
          </cell>
          <cell r="AO7"/>
          <cell r="AP7">
            <v>4.8979591836734695</v>
          </cell>
          <cell r="AQ7">
            <v>7.1020408163265314</v>
          </cell>
          <cell r="AR7" t="str">
            <v>(Ada) Baik</v>
          </cell>
          <cell r="AS7" t="str">
            <v>Air Pam (Baik)</v>
          </cell>
        </row>
        <row r="8">
          <cell r="A8">
            <v>4</v>
          </cell>
          <cell r="B8" t="str">
            <v>Nama PB 4</v>
          </cell>
          <cell r="C8">
            <v>7</v>
          </cell>
          <cell r="D8">
            <v>7</v>
          </cell>
          <cell r="E8">
            <v>49</v>
          </cell>
          <cell r="F8" t="str">
            <v>Pondasi Titik</v>
          </cell>
          <cell r="G8"/>
          <cell r="H8"/>
          <cell r="I8"/>
          <cell r="J8"/>
          <cell r="K8"/>
          <cell r="L8">
            <v>0</v>
          </cell>
          <cell r="M8" t="str">
            <v>S 4</v>
          </cell>
          <cell r="N8"/>
          <cell r="O8">
            <v>0</v>
          </cell>
          <cell r="P8" t="str">
            <v>B 4</v>
          </cell>
          <cell r="Q8"/>
          <cell r="R8"/>
          <cell r="S8"/>
          <cell r="T8"/>
          <cell r="U8"/>
          <cell r="V8">
            <v>0</v>
          </cell>
          <cell r="W8" t="str">
            <v>K 4</v>
          </cell>
          <cell r="X8">
            <v>0</v>
          </cell>
          <cell r="Y8" t="str">
            <v>K 4</v>
          </cell>
          <cell r="Z8">
            <v>93.530743608719362</v>
          </cell>
          <cell r="AB8" t="str">
            <v xml:space="preserve"> G 4</v>
          </cell>
          <cell r="AC8"/>
          <cell r="AD8">
            <v>55</v>
          </cell>
          <cell r="AE8" t="str">
            <v>H 4</v>
          </cell>
          <cell r="AF8"/>
          <cell r="AG8"/>
          <cell r="AH8">
            <v>-5.76</v>
          </cell>
          <cell r="AI8" t="str">
            <v>Kayu</v>
          </cell>
          <cell r="AJ8">
            <v>5.76</v>
          </cell>
          <cell r="AK8">
            <v>2</v>
          </cell>
          <cell r="AL8">
            <v>4</v>
          </cell>
          <cell r="AM8" t="str">
            <v>R 4</v>
          </cell>
          <cell r="AN8">
            <v>49</v>
          </cell>
          <cell r="AO8"/>
          <cell r="AP8">
            <v>4.8979591836734695</v>
          </cell>
          <cell r="AQ8">
            <v>7.1020408163265314</v>
          </cell>
          <cell r="AR8" t="str">
            <v>(Ada) Baik</v>
          </cell>
          <cell r="AS8" t="str">
            <v>Air Pam (Baik)</v>
          </cell>
        </row>
        <row r="9">
          <cell r="A9">
            <v>5</v>
          </cell>
          <cell r="B9" t="str">
            <v>Nama PB 5</v>
          </cell>
          <cell r="C9">
            <v>7</v>
          </cell>
          <cell r="D9">
            <v>7</v>
          </cell>
          <cell r="E9">
            <v>49</v>
          </cell>
          <cell r="F9" t="str">
            <v>BT 5</v>
          </cell>
          <cell r="G9"/>
          <cell r="H9"/>
          <cell r="I9"/>
          <cell r="J9"/>
          <cell r="K9"/>
          <cell r="L9">
            <v>0</v>
          </cell>
          <cell r="M9" t="str">
            <v>S 5</v>
          </cell>
          <cell r="N9"/>
          <cell r="O9">
            <v>0</v>
          </cell>
          <cell r="P9" t="str">
            <v>B 5</v>
          </cell>
          <cell r="Q9"/>
          <cell r="R9"/>
          <cell r="S9"/>
          <cell r="T9"/>
          <cell r="U9"/>
          <cell r="V9">
            <v>0</v>
          </cell>
          <cell r="W9" t="str">
            <v>K 5</v>
          </cell>
          <cell r="X9">
            <v>0</v>
          </cell>
          <cell r="Y9" t="str">
            <v>K 5</v>
          </cell>
          <cell r="Z9">
            <v>93.530743608719362</v>
          </cell>
          <cell r="AB9" t="str">
            <v xml:space="preserve"> G 5</v>
          </cell>
          <cell r="AC9"/>
          <cell r="AD9">
            <v>55</v>
          </cell>
          <cell r="AE9" t="str">
            <v>H 5</v>
          </cell>
          <cell r="AF9"/>
          <cell r="AG9"/>
          <cell r="AH9">
            <v>-5.76</v>
          </cell>
          <cell r="AI9" t="str">
            <v>Kayu</v>
          </cell>
          <cell r="AJ9">
            <v>5.76</v>
          </cell>
          <cell r="AK9">
            <v>2</v>
          </cell>
          <cell r="AL9">
            <v>4</v>
          </cell>
          <cell r="AM9" t="str">
            <v>R 5</v>
          </cell>
          <cell r="AN9">
            <v>49</v>
          </cell>
          <cell r="AO9"/>
          <cell r="AP9">
            <v>4.8979591836734695</v>
          </cell>
          <cell r="AQ9">
            <v>7.1020408163265314</v>
          </cell>
          <cell r="AR9" t="str">
            <v>(Ada) Baik</v>
          </cell>
          <cell r="AS9" t="str">
            <v>Air Pam (Baik)</v>
          </cell>
        </row>
        <row r="10">
          <cell r="A10">
            <v>6</v>
          </cell>
          <cell r="B10" t="str">
            <v>Nama PB 6</v>
          </cell>
          <cell r="C10">
            <v>7</v>
          </cell>
          <cell r="D10">
            <v>7</v>
          </cell>
          <cell r="E10">
            <v>49</v>
          </cell>
          <cell r="F10" t="str">
            <v>BT 6</v>
          </cell>
          <cell r="G10"/>
          <cell r="H10"/>
          <cell r="I10"/>
          <cell r="J10"/>
          <cell r="K10"/>
          <cell r="L10">
            <v>0</v>
          </cell>
          <cell r="M10" t="str">
            <v>S 6</v>
          </cell>
          <cell r="N10"/>
          <cell r="O10">
            <v>0</v>
          </cell>
          <cell r="P10" t="str">
            <v>B 6</v>
          </cell>
          <cell r="Q10"/>
          <cell r="R10"/>
          <cell r="S10"/>
          <cell r="T10"/>
          <cell r="U10"/>
          <cell r="V10">
            <v>0</v>
          </cell>
          <cell r="W10" t="str">
            <v>K 6</v>
          </cell>
          <cell r="X10">
            <v>0</v>
          </cell>
          <cell r="Y10" t="str">
            <v>K 6</v>
          </cell>
          <cell r="Z10">
            <v>93.530743608719362</v>
          </cell>
          <cell r="AB10" t="str">
            <v xml:space="preserve"> G 6</v>
          </cell>
          <cell r="AC10"/>
          <cell r="AD10">
            <v>55</v>
          </cell>
          <cell r="AE10" t="str">
            <v>H 6</v>
          </cell>
          <cell r="AF10"/>
          <cell r="AG10"/>
          <cell r="AH10">
            <v>-5.76</v>
          </cell>
          <cell r="AI10" t="str">
            <v>Kayu</v>
          </cell>
          <cell r="AJ10">
            <v>5.76</v>
          </cell>
          <cell r="AK10">
            <v>2</v>
          </cell>
          <cell r="AL10">
            <v>4</v>
          </cell>
          <cell r="AM10" t="str">
            <v>R 6</v>
          </cell>
          <cell r="AN10">
            <v>49</v>
          </cell>
          <cell r="AO10"/>
          <cell r="AP10">
            <v>4.8979591836734695</v>
          </cell>
          <cell r="AQ10">
            <v>7.1020408163265314</v>
          </cell>
          <cell r="AR10" t="str">
            <v>(Ada) Baik</v>
          </cell>
          <cell r="AS10" t="str">
            <v>Air Pam (Baik)</v>
          </cell>
        </row>
        <row r="11">
          <cell r="A11">
            <v>7</v>
          </cell>
          <cell r="B11" t="str">
            <v>Nama PB 7</v>
          </cell>
          <cell r="C11">
            <v>7</v>
          </cell>
          <cell r="D11">
            <v>7</v>
          </cell>
          <cell r="E11">
            <v>49</v>
          </cell>
          <cell r="F11" t="str">
            <v>BT 7</v>
          </cell>
          <cell r="G11"/>
          <cell r="H11"/>
          <cell r="I11"/>
          <cell r="J11"/>
          <cell r="K11"/>
          <cell r="L11">
            <v>0</v>
          </cell>
          <cell r="M11" t="str">
            <v>S 7</v>
          </cell>
          <cell r="N11"/>
          <cell r="O11">
            <v>0</v>
          </cell>
          <cell r="P11" t="str">
            <v>B 7</v>
          </cell>
          <cell r="Q11"/>
          <cell r="R11"/>
          <cell r="S11"/>
          <cell r="T11"/>
          <cell r="U11"/>
          <cell r="V11">
            <v>0</v>
          </cell>
          <cell r="W11" t="str">
            <v>K 7</v>
          </cell>
          <cell r="X11">
            <v>0</v>
          </cell>
          <cell r="Y11" t="str">
            <v>K 7</v>
          </cell>
          <cell r="Z11">
            <v>93.530743608719362</v>
          </cell>
          <cell r="AB11" t="str">
            <v xml:space="preserve"> G 7</v>
          </cell>
          <cell r="AC11"/>
          <cell r="AD11">
            <v>55</v>
          </cell>
          <cell r="AE11" t="str">
            <v>H 7</v>
          </cell>
          <cell r="AF11"/>
          <cell r="AG11"/>
          <cell r="AH11">
            <v>-5.76</v>
          </cell>
          <cell r="AI11" t="str">
            <v>Kayu</v>
          </cell>
          <cell r="AJ11">
            <v>5.76</v>
          </cell>
          <cell r="AK11">
            <v>2</v>
          </cell>
          <cell r="AL11">
            <v>4</v>
          </cell>
          <cell r="AM11" t="str">
            <v>R 7</v>
          </cell>
          <cell r="AN11">
            <v>49</v>
          </cell>
          <cell r="AO11"/>
          <cell r="AP11">
            <v>4.8979591836734695</v>
          </cell>
          <cell r="AQ11">
            <v>7.1020408163265314</v>
          </cell>
          <cell r="AR11" t="str">
            <v>(Ada) Baik</v>
          </cell>
          <cell r="AS11" t="str">
            <v>Air Pam (Baik)</v>
          </cell>
        </row>
        <row r="12">
          <cell r="A12">
            <v>8</v>
          </cell>
          <cell r="B12" t="str">
            <v>Nama PB 8</v>
          </cell>
          <cell r="C12">
            <v>7</v>
          </cell>
          <cell r="D12">
            <v>7</v>
          </cell>
          <cell r="E12">
            <v>49</v>
          </cell>
          <cell r="F12" t="str">
            <v>BT 8</v>
          </cell>
          <cell r="G12"/>
          <cell r="H12"/>
          <cell r="I12"/>
          <cell r="J12"/>
          <cell r="K12"/>
          <cell r="L12">
            <v>0</v>
          </cell>
          <cell r="M12" t="str">
            <v>S 8</v>
          </cell>
          <cell r="N12"/>
          <cell r="O12">
            <v>0</v>
          </cell>
          <cell r="P12" t="str">
            <v>B 8</v>
          </cell>
          <cell r="Q12"/>
          <cell r="R12"/>
          <cell r="S12"/>
          <cell r="T12"/>
          <cell r="U12"/>
          <cell r="V12">
            <v>0</v>
          </cell>
          <cell r="W12" t="str">
            <v>K 8</v>
          </cell>
          <cell r="X12">
            <v>0</v>
          </cell>
          <cell r="Y12" t="str">
            <v>K 8</v>
          </cell>
          <cell r="Z12">
            <v>93.530743608719362</v>
          </cell>
          <cell r="AB12" t="str">
            <v xml:space="preserve"> G 8</v>
          </cell>
          <cell r="AC12"/>
          <cell r="AD12">
            <v>55</v>
          </cell>
          <cell r="AE12" t="str">
            <v>H 8</v>
          </cell>
          <cell r="AF12"/>
          <cell r="AG12"/>
          <cell r="AH12">
            <v>-5.76</v>
          </cell>
          <cell r="AI12" t="str">
            <v>Kayu</v>
          </cell>
          <cell r="AJ12">
            <v>5.76</v>
          </cell>
          <cell r="AK12">
            <v>2</v>
          </cell>
          <cell r="AL12">
            <v>4</v>
          </cell>
          <cell r="AM12" t="str">
            <v>R 8</v>
          </cell>
          <cell r="AN12">
            <v>49</v>
          </cell>
          <cell r="AO12"/>
          <cell r="AP12">
            <v>4.8979591836734695</v>
          </cell>
          <cell r="AQ12">
            <v>7.1020408163265314</v>
          </cell>
          <cell r="AR12" t="str">
            <v>(Ada) Baik</v>
          </cell>
          <cell r="AS12" t="str">
            <v>Air Pam (Baik)</v>
          </cell>
        </row>
        <row r="13">
          <cell r="A13">
            <v>9</v>
          </cell>
          <cell r="B13" t="str">
            <v>Nama PB 9</v>
          </cell>
          <cell r="C13">
            <v>7</v>
          </cell>
          <cell r="D13">
            <v>7</v>
          </cell>
          <cell r="E13">
            <v>49</v>
          </cell>
          <cell r="F13" t="str">
            <v>BT 9</v>
          </cell>
          <cell r="G13"/>
          <cell r="H13"/>
          <cell r="I13"/>
          <cell r="J13"/>
          <cell r="K13"/>
          <cell r="L13">
            <v>0</v>
          </cell>
          <cell r="M13" t="str">
            <v>S 9</v>
          </cell>
          <cell r="N13"/>
          <cell r="O13">
            <v>0</v>
          </cell>
          <cell r="P13" t="str">
            <v>B 9</v>
          </cell>
          <cell r="Q13"/>
          <cell r="R13"/>
          <cell r="S13"/>
          <cell r="T13"/>
          <cell r="U13"/>
          <cell r="V13">
            <v>0</v>
          </cell>
          <cell r="W13" t="str">
            <v>K 9</v>
          </cell>
          <cell r="X13">
            <v>0</v>
          </cell>
          <cell r="Y13" t="str">
            <v>K 9</v>
          </cell>
          <cell r="Z13">
            <v>93.530743608719362</v>
          </cell>
          <cell r="AB13" t="str">
            <v xml:space="preserve"> G 9</v>
          </cell>
          <cell r="AC13"/>
          <cell r="AD13">
            <v>55</v>
          </cell>
          <cell r="AE13" t="str">
            <v>H 9</v>
          </cell>
          <cell r="AF13"/>
          <cell r="AG13"/>
          <cell r="AH13">
            <v>-5.76</v>
          </cell>
          <cell r="AI13" t="str">
            <v>Kayu</v>
          </cell>
          <cell r="AJ13">
            <v>5.76</v>
          </cell>
          <cell r="AK13">
            <v>2</v>
          </cell>
          <cell r="AL13">
            <v>4</v>
          </cell>
          <cell r="AM13" t="str">
            <v>R 9</v>
          </cell>
          <cell r="AN13">
            <v>49</v>
          </cell>
          <cell r="AO13"/>
          <cell r="AP13">
            <v>4.8979591836734695</v>
          </cell>
          <cell r="AQ13">
            <v>7.1020408163265314</v>
          </cell>
          <cell r="AR13" t="str">
            <v>(Ada) Baik</v>
          </cell>
          <cell r="AS13" t="str">
            <v>Air Pam (Baik)</v>
          </cell>
        </row>
        <row r="14">
          <cell r="A14">
            <v>10</v>
          </cell>
          <cell r="B14" t="str">
            <v>Nama PB 10</v>
          </cell>
          <cell r="C14">
            <v>7</v>
          </cell>
          <cell r="D14">
            <v>7</v>
          </cell>
          <cell r="E14">
            <v>49</v>
          </cell>
          <cell r="F14" t="str">
            <v>BT 10</v>
          </cell>
          <cell r="G14"/>
          <cell r="H14"/>
          <cell r="I14"/>
          <cell r="J14"/>
          <cell r="K14"/>
          <cell r="L14">
            <v>0</v>
          </cell>
          <cell r="M14" t="str">
            <v>S 10</v>
          </cell>
          <cell r="N14"/>
          <cell r="O14">
            <v>0</v>
          </cell>
          <cell r="P14" t="str">
            <v>B 10</v>
          </cell>
          <cell r="Q14"/>
          <cell r="R14"/>
          <cell r="S14"/>
          <cell r="T14"/>
          <cell r="U14"/>
          <cell r="V14">
            <v>0</v>
          </cell>
          <cell r="W14" t="str">
            <v>K 10</v>
          </cell>
          <cell r="X14">
            <v>0</v>
          </cell>
          <cell r="Y14" t="str">
            <v>K 10</v>
          </cell>
          <cell r="Z14">
            <v>93.530743608719362</v>
          </cell>
          <cell r="AB14" t="str">
            <v xml:space="preserve"> G 10</v>
          </cell>
          <cell r="AC14"/>
          <cell r="AD14">
            <v>55</v>
          </cell>
          <cell r="AE14" t="str">
            <v>H 10</v>
          </cell>
          <cell r="AF14"/>
          <cell r="AG14"/>
          <cell r="AH14">
            <v>-5.76</v>
          </cell>
          <cell r="AI14" t="str">
            <v>Kayu</v>
          </cell>
          <cell r="AJ14">
            <v>5.76</v>
          </cell>
          <cell r="AK14">
            <v>2</v>
          </cell>
          <cell r="AL14">
            <v>4</v>
          </cell>
          <cell r="AM14" t="str">
            <v>R 10</v>
          </cell>
          <cell r="AN14">
            <v>49</v>
          </cell>
          <cell r="AO14"/>
          <cell r="AP14">
            <v>4.8979591836734695</v>
          </cell>
          <cell r="AQ14">
            <v>7.1020408163265314</v>
          </cell>
          <cell r="AR14" t="str">
            <v>(Ada) Baik</v>
          </cell>
          <cell r="AS14" t="str">
            <v>Air Pam (Baik)</v>
          </cell>
        </row>
        <row r="15">
          <cell r="A15">
            <v>11</v>
          </cell>
          <cell r="B15" t="str">
            <v>Nama PB 11</v>
          </cell>
          <cell r="C15">
            <v>7</v>
          </cell>
          <cell r="D15">
            <v>7</v>
          </cell>
          <cell r="E15">
            <v>49</v>
          </cell>
          <cell r="F15" t="str">
            <v>BT 11</v>
          </cell>
          <cell r="G15"/>
          <cell r="H15"/>
          <cell r="I15"/>
          <cell r="J15"/>
          <cell r="K15"/>
          <cell r="L15">
            <v>0</v>
          </cell>
          <cell r="M15" t="str">
            <v>S 11</v>
          </cell>
          <cell r="N15"/>
          <cell r="O15">
            <v>0</v>
          </cell>
          <cell r="P15" t="str">
            <v>B 11</v>
          </cell>
          <cell r="Q15"/>
          <cell r="R15"/>
          <cell r="S15"/>
          <cell r="T15"/>
          <cell r="U15"/>
          <cell r="V15">
            <v>0</v>
          </cell>
          <cell r="W15" t="str">
            <v>K 11</v>
          </cell>
          <cell r="X15">
            <v>0</v>
          </cell>
          <cell r="Y15" t="str">
            <v>K 11</v>
          </cell>
          <cell r="Z15">
            <v>93.530743608719362</v>
          </cell>
          <cell r="AB15" t="str">
            <v xml:space="preserve"> G 11</v>
          </cell>
          <cell r="AC15"/>
          <cell r="AD15">
            <v>55</v>
          </cell>
          <cell r="AE15" t="str">
            <v>H 11</v>
          </cell>
          <cell r="AF15"/>
          <cell r="AG15"/>
          <cell r="AH15">
            <v>-5.76</v>
          </cell>
          <cell r="AI15" t="str">
            <v>Kayu</v>
          </cell>
          <cell r="AJ15">
            <v>5.76</v>
          </cell>
          <cell r="AK15">
            <v>2</v>
          </cell>
          <cell r="AL15">
            <v>4</v>
          </cell>
          <cell r="AM15" t="str">
            <v>R 11</v>
          </cell>
          <cell r="AN15">
            <v>49</v>
          </cell>
          <cell r="AO15"/>
          <cell r="AP15">
            <v>4.8979591836734695</v>
          </cell>
          <cell r="AQ15">
            <v>7.1020408163265314</v>
          </cell>
          <cell r="AR15" t="str">
            <v>(Ada) Baik</v>
          </cell>
          <cell r="AS15" t="str">
            <v>Air Pam (Baik)</v>
          </cell>
        </row>
        <row r="16">
          <cell r="A16">
            <v>12</v>
          </cell>
          <cell r="B16" t="str">
            <v>Nama PB 12</v>
          </cell>
          <cell r="C16">
            <v>7</v>
          </cell>
          <cell r="D16">
            <v>7</v>
          </cell>
          <cell r="E16">
            <v>49</v>
          </cell>
          <cell r="F16" t="str">
            <v>BT 12</v>
          </cell>
          <cell r="G16"/>
          <cell r="H16"/>
          <cell r="I16"/>
          <cell r="J16"/>
          <cell r="K16"/>
          <cell r="L16">
            <v>0</v>
          </cell>
          <cell r="M16" t="str">
            <v>S 12</v>
          </cell>
          <cell r="N16"/>
          <cell r="O16">
            <v>0</v>
          </cell>
          <cell r="P16" t="str">
            <v>B 12</v>
          </cell>
          <cell r="Q16"/>
          <cell r="R16"/>
          <cell r="S16"/>
          <cell r="T16"/>
          <cell r="U16"/>
          <cell r="V16">
            <v>0</v>
          </cell>
          <cell r="W16" t="str">
            <v>K 12</v>
          </cell>
          <cell r="X16">
            <v>0</v>
          </cell>
          <cell r="Y16" t="str">
            <v>K 12</v>
          </cell>
          <cell r="Z16">
            <v>93.530743608719362</v>
          </cell>
          <cell r="AB16" t="str">
            <v xml:space="preserve"> G 12</v>
          </cell>
          <cell r="AC16"/>
          <cell r="AD16">
            <v>55</v>
          </cell>
          <cell r="AE16" t="str">
            <v>H 12</v>
          </cell>
          <cell r="AF16"/>
          <cell r="AG16"/>
          <cell r="AH16">
            <v>-5.76</v>
          </cell>
          <cell r="AI16" t="str">
            <v>Kayu</v>
          </cell>
          <cell r="AJ16">
            <v>5.76</v>
          </cell>
          <cell r="AK16">
            <v>2</v>
          </cell>
          <cell r="AL16">
            <v>4</v>
          </cell>
          <cell r="AM16" t="str">
            <v>R 12</v>
          </cell>
          <cell r="AN16">
            <v>49</v>
          </cell>
          <cell r="AO16"/>
          <cell r="AP16">
            <v>4.8979591836734695</v>
          </cell>
          <cell r="AQ16">
            <v>7.1020408163265314</v>
          </cell>
          <cell r="AR16" t="str">
            <v>(Ada) Baik</v>
          </cell>
          <cell r="AS16" t="str">
            <v>Air Pam (Baik)</v>
          </cell>
        </row>
        <row r="17">
          <cell r="A17">
            <v>13</v>
          </cell>
          <cell r="B17" t="str">
            <v>Nama PB 13</v>
          </cell>
          <cell r="C17">
            <v>7</v>
          </cell>
          <cell r="D17">
            <v>7</v>
          </cell>
          <cell r="E17">
            <v>49</v>
          </cell>
          <cell r="F17" t="str">
            <v>BT 13</v>
          </cell>
          <cell r="G17"/>
          <cell r="H17"/>
          <cell r="I17"/>
          <cell r="J17"/>
          <cell r="K17"/>
          <cell r="L17">
            <v>0</v>
          </cell>
          <cell r="M17" t="str">
            <v>S 13</v>
          </cell>
          <cell r="N17"/>
          <cell r="O17">
            <v>0</v>
          </cell>
          <cell r="P17" t="str">
            <v>B 13</v>
          </cell>
          <cell r="Q17"/>
          <cell r="R17"/>
          <cell r="S17"/>
          <cell r="T17"/>
          <cell r="U17"/>
          <cell r="V17">
            <v>0</v>
          </cell>
          <cell r="W17" t="str">
            <v>K 13</v>
          </cell>
          <cell r="X17">
            <v>0</v>
          </cell>
          <cell r="Y17" t="str">
            <v>K 13</v>
          </cell>
          <cell r="Z17">
            <v>93.530743608719362</v>
          </cell>
          <cell r="AB17" t="str">
            <v xml:space="preserve"> G 13</v>
          </cell>
          <cell r="AC17"/>
          <cell r="AD17">
            <v>55</v>
          </cell>
          <cell r="AE17" t="str">
            <v>H 13</v>
          </cell>
          <cell r="AF17"/>
          <cell r="AG17"/>
          <cell r="AH17">
            <v>-5.76</v>
          </cell>
          <cell r="AI17" t="str">
            <v>Kayu</v>
          </cell>
          <cell r="AJ17">
            <v>5.76</v>
          </cell>
          <cell r="AK17">
            <v>2</v>
          </cell>
          <cell r="AL17">
            <v>4</v>
          </cell>
          <cell r="AM17" t="str">
            <v>R 13</v>
          </cell>
          <cell r="AN17">
            <v>49</v>
          </cell>
          <cell r="AO17"/>
          <cell r="AP17">
            <v>4.8979591836734695</v>
          </cell>
          <cell r="AQ17">
            <v>7.1020408163265314</v>
          </cell>
          <cell r="AR17" t="str">
            <v>(Ada) Baik</v>
          </cell>
          <cell r="AS17" t="str">
            <v>Air Pam (Baik)</v>
          </cell>
        </row>
        <row r="18">
          <cell r="A18">
            <v>14</v>
          </cell>
          <cell r="B18" t="str">
            <v>Nama PB 14</v>
          </cell>
          <cell r="C18">
            <v>7</v>
          </cell>
          <cell r="D18">
            <v>7</v>
          </cell>
          <cell r="E18">
            <v>49</v>
          </cell>
          <cell r="F18" t="str">
            <v>BT 14</v>
          </cell>
          <cell r="G18"/>
          <cell r="H18"/>
          <cell r="I18"/>
          <cell r="J18"/>
          <cell r="K18"/>
          <cell r="L18">
            <v>0</v>
          </cell>
          <cell r="M18" t="str">
            <v>S 14</v>
          </cell>
          <cell r="N18"/>
          <cell r="O18">
            <v>0</v>
          </cell>
          <cell r="P18" t="str">
            <v>B 14</v>
          </cell>
          <cell r="Q18"/>
          <cell r="R18"/>
          <cell r="S18"/>
          <cell r="T18"/>
          <cell r="U18"/>
          <cell r="V18">
            <v>0</v>
          </cell>
          <cell r="W18" t="str">
            <v>K 14</v>
          </cell>
          <cell r="X18">
            <v>0</v>
          </cell>
          <cell r="Y18" t="str">
            <v>K 14</v>
          </cell>
          <cell r="Z18">
            <v>93.530743608719362</v>
          </cell>
          <cell r="AB18" t="str">
            <v xml:space="preserve"> G 14</v>
          </cell>
          <cell r="AC18"/>
          <cell r="AD18">
            <v>55</v>
          </cell>
          <cell r="AE18" t="str">
            <v>H 14</v>
          </cell>
          <cell r="AF18"/>
          <cell r="AG18"/>
          <cell r="AH18">
            <v>-5.76</v>
          </cell>
          <cell r="AI18" t="str">
            <v>Kayu</v>
          </cell>
          <cell r="AJ18">
            <v>5.76</v>
          </cell>
          <cell r="AK18">
            <v>2</v>
          </cell>
          <cell r="AL18">
            <v>4</v>
          </cell>
          <cell r="AM18" t="str">
            <v>R 14</v>
          </cell>
          <cell r="AN18">
            <v>49</v>
          </cell>
          <cell r="AO18"/>
          <cell r="AP18">
            <v>4.8979591836734695</v>
          </cell>
          <cell r="AQ18">
            <v>7.1020408163265314</v>
          </cell>
          <cell r="AR18" t="str">
            <v>(Ada) Baik</v>
          </cell>
          <cell r="AS18" t="str">
            <v>Air Pam (Baik)</v>
          </cell>
        </row>
        <row r="19">
          <cell r="A19">
            <v>15</v>
          </cell>
          <cell r="B19" t="str">
            <v>Nama PB 15</v>
          </cell>
          <cell r="C19">
            <v>7</v>
          </cell>
          <cell r="D19">
            <v>7</v>
          </cell>
          <cell r="E19">
            <v>49</v>
          </cell>
          <cell r="F19" t="str">
            <v>BT 15</v>
          </cell>
          <cell r="G19"/>
          <cell r="H19"/>
          <cell r="I19"/>
          <cell r="J19"/>
          <cell r="K19"/>
          <cell r="L19">
            <v>0</v>
          </cell>
          <cell r="M19" t="str">
            <v>S 15</v>
          </cell>
          <cell r="N19"/>
          <cell r="O19">
            <v>0</v>
          </cell>
          <cell r="P19" t="str">
            <v>B 15</v>
          </cell>
          <cell r="Q19"/>
          <cell r="R19"/>
          <cell r="S19"/>
          <cell r="T19"/>
          <cell r="U19"/>
          <cell r="V19">
            <v>0</v>
          </cell>
          <cell r="W19" t="str">
            <v>K 15</v>
          </cell>
          <cell r="X19">
            <v>0</v>
          </cell>
          <cell r="Y19" t="str">
            <v>K 15</v>
          </cell>
          <cell r="Z19">
            <v>93.530743608719362</v>
          </cell>
          <cell r="AB19" t="str">
            <v xml:space="preserve"> G 15</v>
          </cell>
          <cell r="AC19"/>
          <cell r="AD19">
            <v>55</v>
          </cell>
          <cell r="AE19" t="str">
            <v>H 15</v>
          </cell>
          <cell r="AF19"/>
          <cell r="AG19"/>
          <cell r="AH19">
            <v>-5.76</v>
          </cell>
          <cell r="AI19" t="str">
            <v>Kayu</v>
          </cell>
          <cell r="AJ19">
            <v>5.76</v>
          </cell>
          <cell r="AK19">
            <v>2</v>
          </cell>
          <cell r="AL19">
            <v>4</v>
          </cell>
          <cell r="AM19" t="str">
            <v>R 15</v>
          </cell>
          <cell r="AN19">
            <v>49</v>
          </cell>
          <cell r="AO19"/>
          <cell r="AP19">
            <v>4.8979591836734695</v>
          </cell>
          <cell r="AQ19">
            <v>7.1020408163265314</v>
          </cell>
          <cell r="AR19" t="str">
            <v>(Ada) Baik</v>
          </cell>
          <cell r="AS19" t="str">
            <v>Air Pam (Baik)</v>
          </cell>
        </row>
        <row r="20">
          <cell r="A20">
            <v>16</v>
          </cell>
          <cell r="B20" t="str">
            <v>Nama PB 16</v>
          </cell>
          <cell r="C20">
            <v>7</v>
          </cell>
          <cell r="D20">
            <v>7</v>
          </cell>
          <cell r="E20">
            <v>49</v>
          </cell>
          <cell r="F20" t="str">
            <v>BT 16</v>
          </cell>
          <cell r="G20"/>
          <cell r="H20"/>
          <cell r="I20"/>
          <cell r="J20"/>
          <cell r="K20"/>
          <cell r="L20">
            <v>0</v>
          </cell>
          <cell r="M20" t="str">
            <v>S 16</v>
          </cell>
          <cell r="N20"/>
          <cell r="O20">
            <v>0</v>
          </cell>
          <cell r="P20" t="str">
            <v>B 16</v>
          </cell>
          <cell r="Q20"/>
          <cell r="R20"/>
          <cell r="S20"/>
          <cell r="T20"/>
          <cell r="U20"/>
          <cell r="V20">
            <v>0</v>
          </cell>
          <cell r="W20" t="str">
            <v>K 16</v>
          </cell>
          <cell r="X20">
            <v>0</v>
          </cell>
          <cell r="Y20" t="str">
            <v>K 16</v>
          </cell>
          <cell r="Z20">
            <v>93.530743608719362</v>
          </cell>
          <cell r="AB20" t="str">
            <v xml:space="preserve"> G 16</v>
          </cell>
          <cell r="AC20"/>
          <cell r="AD20">
            <v>55</v>
          </cell>
          <cell r="AE20" t="str">
            <v>H 16</v>
          </cell>
          <cell r="AF20"/>
          <cell r="AG20"/>
          <cell r="AH20">
            <v>-5.76</v>
          </cell>
          <cell r="AI20" t="str">
            <v>Kayu</v>
          </cell>
          <cell r="AJ20">
            <v>5.76</v>
          </cell>
          <cell r="AK20">
            <v>2</v>
          </cell>
          <cell r="AL20">
            <v>4</v>
          </cell>
          <cell r="AM20" t="str">
            <v>R 16</v>
          </cell>
          <cell r="AN20">
            <v>49</v>
          </cell>
          <cell r="AO20"/>
          <cell r="AP20">
            <v>4.8979591836734695</v>
          </cell>
          <cell r="AQ20">
            <v>7.1020408163265314</v>
          </cell>
          <cell r="AR20" t="str">
            <v>(Ada) Baik</v>
          </cell>
          <cell r="AS20" t="str">
            <v>Air Pam (Baik)</v>
          </cell>
        </row>
        <row r="21">
          <cell r="A21">
            <v>17</v>
          </cell>
          <cell r="B21" t="str">
            <v>Nama PB 17</v>
          </cell>
          <cell r="C21">
            <v>7</v>
          </cell>
          <cell r="D21">
            <v>7</v>
          </cell>
          <cell r="E21">
            <v>49</v>
          </cell>
          <cell r="F21" t="str">
            <v>BT 17</v>
          </cell>
          <cell r="G21"/>
          <cell r="H21"/>
          <cell r="I21"/>
          <cell r="J21"/>
          <cell r="K21"/>
          <cell r="L21">
            <v>0</v>
          </cell>
          <cell r="M21" t="str">
            <v>S 17</v>
          </cell>
          <cell r="N21"/>
          <cell r="O21">
            <v>0</v>
          </cell>
          <cell r="P21" t="str">
            <v>B 17</v>
          </cell>
          <cell r="Q21"/>
          <cell r="R21"/>
          <cell r="S21"/>
          <cell r="T21"/>
          <cell r="U21"/>
          <cell r="V21">
            <v>0</v>
          </cell>
          <cell r="W21" t="str">
            <v>K 17</v>
          </cell>
          <cell r="X21">
            <v>0</v>
          </cell>
          <cell r="Y21" t="str">
            <v>K 17</v>
          </cell>
          <cell r="Z21">
            <v>93.530743608719362</v>
          </cell>
          <cell r="AB21" t="str">
            <v xml:space="preserve"> G 17</v>
          </cell>
          <cell r="AC21"/>
          <cell r="AD21">
            <v>55</v>
          </cell>
          <cell r="AE21" t="str">
            <v>H 17</v>
          </cell>
          <cell r="AF21"/>
          <cell r="AG21"/>
          <cell r="AH21">
            <v>-5.76</v>
          </cell>
          <cell r="AI21" t="str">
            <v>Kayu</v>
          </cell>
          <cell r="AJ21">
            <v>5.76</v>
          </cell>
          <cell r="AK21">
            <v>2</v>
          </cell>
          <cell r="AL21">
            <v>4</v>
          </cell>
          <cell r="AM21" t="str">
            <v>R 17</v>
          </cell>
          <cell r="AN21">
            <v>49</v>
          </cell>
          <cell r="AO21"/>
          <cell r="AP21">
            <v>4.8979591836734695</v>
          </cell>
          <cell r="AQ21">
            <v>7.1020408163265314</v>
          </cell>
          <cell r="AR21" t="str">
            <v>(Ada) Baik</v>
          </cell>
          <cell r="AS21" t="str">
            <v>Air Pam (Baik)</v>
          </cell>
        </row>
        <row r="22">
          <cell r="A22">
            <v>18</v>
          </cell>
          <cell r="B22" t="str">
            <v>Nama PB 18</v>
          </cell>
          <cell r="C22">
            <v>7</v>
          </cell>
          <cell r="D22">
            <v>7</v>
          </cell>
          <cell r="E22">
            <v>49</v>
          </cell>
          <cell r="F22" t="str">
            <v>BT 18</v>
          </cell>
          <cell r="G22"/>
          <cell r="H22"/>
          <cell r="I22"/>
          <cell r="J22"/>
          <cell r="K22"/>
          <cell r="L22">
            <v>0</v>
          </cell>
          <cell r="M22" t="str">
            <v>S 18</v>
          </cell>
          <cell r="N22"/>
          <cell r="O22">
            <v>0</v>
          </cell>
          <cell r="P22" t="str">
            <v>B 18</v>
          </cell>
          <cell r="Q22"/>
          <cell r="R22"/>
          <cell r="S22"/>
          <cell r="T22"/>
          <cell r="U22"/>
          <cell r="V22">
            <v>0</v>
          </cell>
          <cell r="W22" t="str">
            <v>K 18</v>
          </cell>
          <cell r="X22">
            <v>0</v>
          </cell>
          <cell r="Y22" t="str">
            <v>K 18</v>
          </cell>
          <cell r="Z22">
            <v>93.530743608719362</v>
          </cell>
          <cell r="AB22" t="str">
            <v xml:space="preserve"> G 18</v>
          </cell>
          <cell r="AC22"/>
          <cell r="AD22">
            <v>55</v>
          </cell>
          <cell r="AE22" t="str">
            <v>H 18</v>
          </cell>
          <cell r="AF22"/>
          <cell r="AG22"/>
          <cell r="AH22">
            <v>-5.76</v>
          </cell>
          <cell r="AI22" t="str">
            <v>Kayu</v>
          </cell>
          <cell r="AJ22">
            <v>5.76</v>
          </cell>
          <cell r="AK22">
            <v>2</v>
          </cell>
          <cell r="AL22">
            <v>4</v>
          </cell>
          <cell r="AM22" t="str">
            <v>R 18</v>
          </cell>
          <cell r="AN22">
            <v>49</v>
          </cell>
          <cell r="AO22"/>
          <cell r="AP22">
            <v>4.8979591836734695</v>
          </cell>
          <cell r="AQ22">
            <v>7.1020408163265314</v>
          </cell>
          <cell r="AR22" t="str">
            <v>(Ada) Baik</v>
          </cell>
          <cell r="AS22" t="str">
            <v>Air Pam (Baik)</v>
          </cell>
        </row>
        <row r="23">
          <cell r="A23">
            <v>19</v>
          </cell>
          <cell r="B23" t="str">
            <v>Nama PB 19</v>
          </cell>
          <cell r="C23">
            <v>7</v>
          </cell>
          <cell r="D23">
            <v>7</v>
          </cell>
          <cell r="E23">
            <v>49</v>
          </cell>
          <cell r="F23" t="str">
            <v>BT 19</v>
          </cell>
          <cell r="G23"/>
          <cell r="H23"/>
          <cell r="I23"/>
          <cell r="J23"/>
          <cell r="K23"/>
          <cell r="L23">
            <v>0</v>
          </cell>
          <cell r="M23" t="str">
            <v>S 19</v>
          </cell>
          <cell r="N23"/>
          <cell r="O23">
            <v>0</v>
          </cell>
          <cell r="P23" t="str">
            <v>B 19</v>
          </cell>
          <cell r="Q23"/>
          <cell r="R23"/>
          <cell r="S23"/>
          <cell r="T23"/>
          <cell r="U23"/>
          <cell r="V23">
            <v>0</v>
          </cell>
          <cell r="W23" t="str">
            <v>K 19</v>
          </cell>
          <cell r="X23">
            <v>0</v>
          </cell>
          <cell r="Y23" t="str">
            <v>K 19</v>
          </cell>
          <cell r="Z23">
            <v>93.530743608719362</v>
          </cell>
          <cell r="AB23" t="str">
            <v xml:space="preserve"> G 19</v>
          </cell>
          <cell r="AC23"/>
          <cell r="AD23">
            <v>55</v>
          </cell>
          <cell r="AE23" t="str">
            <v>H 19</v>
          </cell>
          <cell r="AF23"/>
          <cell r="AG23"/>
          <cell r="AH23">
            <v>-5.76</v>
          </cell>
          <cell r="AI23" t="str">
            <v>Kayu</v>
          </cell>
          <cell r="AJ23">
            <v>5.76</v>
          </cell>
          <cell r="AK23">
            <v>2</v>
          </cell>
          <cell r="AL23">
            <v>4</v>
          </cell>
          <cell r="AM23" t="str">
            <v>R 19</v>
          </cell>
          <cell r="AN23">
            <v>49</v>
          </cell>
          <cell r="AO23"/>
          <cell r="AP23">
            <v>4.8979591836734695</v>
          </cell>
          <cell r="AQ23">
            <v>7.1020408163265314</v>
          </cell>
          <cell r="AR23" t="str">
            <v>(Ada) Baik</v>
          </cell>
          <cell r="AS23" t="str">
            <v>Air Pam (Baik)</v>
          </cell>
        </row>
        <row r="24">
          <cell r="A24">
            <v>20</v>
          </cell>
          <cell r="B24" t="str">
            <v>Nama PB 20</v>
          </cell>
          <cell r="C24">
            <v>7</v>
          </cell>
          <cell r="D24">
            <v>7</v>
          </cell>
          <cell r="E24">
            <v>49</v>
          </cell>
          <cell r="F24" t="str">
            <v>BT 20</v>
          </cell>
          <cell r="G24"/>
          <cell r="H24"/>
          <cell r="I24"/>
          <cell r="J24"/>
          <cell r="K24"/>
          <cell r="L24">
            <v>0</v>
          </cell>
          <cell r="M24" t="str">
            <v>S 20</v>
          </cell>
          <cell r="N24"/>
          <cell r="O24">
            <v>0</v>
          </cell>
          <cell r="P24" t="str">
            <v>B 20</v>
          </cell>
          <cell r="Q24"/>
          <cell r="R24"/>
          <cell r="S24"/>
          <cell r="T24"/>
          <cell r="U24"/>
          <cell r="V24">
            <v>0</v>
          </cell>
          <cell r="W24" t="str">
            <v>K 20</v>
          </cell>
          <cell r="X24">
            <v>0</v>
          </cell>
          <cell r="Y24" t="str">
            <v>K 20</v>
          </cell>
          <cell r="Z24">
            <v>93.530743608719362</v>
          </cell>
          <cell r="AB24" t="str">
            <v xml:space="preserve"> G 20</v>
          </cell>
          <cell r="AC24"/>
          <cell r="AD24">
            <v>55</v>
          </cell>
          <cell r="AE24" t="str">
            <v>H 20</v>
          </cell>
          <cell r="AF24"/>
          <cell r="AG24"/>
          <cell r="AH24">
            <v>-5.76</v>
          </cell>
          <cell r="AI24" t="str">
            <v>Kayu</v>
          </cell>
          <cell r="AJ24">
            <v>5.76</v>
          </cell>
          <cell r="AK24">
            <v>2</v>
          </cell>
          <cell r="AL24">
            <v>4</v>
          </cell>
          <cell r="AM24" t="str">
            <v>R 20</v>
          </cell>
          <cell r="AN24">
            <v>49</v>
          </cell>
          <cell r="AO24"/>
          <cell r="AP24">
            <v>4.8979591836734695</v>
          </cell>
          <cell r="AQ24">
            <v>7.1020408163265314</v>
          </cell>
          <cell r="AR24" t="str">
            <v>(Ada) Baik</v>
          </cell>
          <cell r="AS24" t="str">
            <v>Air Pam (Baik)</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17" Type="http://schemas.openxmlformats.org/officeDocument/2006/relationships/ctrlProp" Target="../ctrlProps/ctrlProp115.xml"/><Relationship Id="rId21" Type="http://schemas.openxmlformats.org/officeDocument/2006/relationships/ctrlProp" Target="../ctrlProps/ctrlProp19.xml"/><Relationship Id="rId42" Type="http://schemas.openxmlformats.org/officeDocument/2006/relationships/ctrlProp" Target="../ctrlProps/ctrlProp40.xml"/><Relationship Id="rId63" Type="http://schemas.openxmlformats.org/officeDocument/2006/relationships/ctrlProp" Target="../ctrlProps/ctrlProp61.xml"/><Relationship Id="rId84" Type="http://schemas.openxmlformats.org/officeDocument/2006/relationships/ctrlProp" Target="../ctrlProps/ctrlProp82.xml"/><Relationship Id="rId138" Type="http://schemas.openxmlformats.org/officeDocument/2006/relationships/ctrlProp" Target="../ctrlProps/ctrlProp136.xml"/><Relationship Id="rId159" Type="http://schemas.openxmlformats.org/officeDocument/2006/relationships/ctrlProp" Target="../ctrlProps/ctrlProp157.xml"/><Relationship Id="rId170" Type="http://schemas.openxmlformats.org/officeDocument/2006/relationships/ctrlProp" Target="../ctrlProps/ctrlProp168.xml"/><Relationship Id="rId191" Type="http://schemas.openxmlformats.org/officeDocument/2006/relationships/ctrlProp" Target="../ctrlProps/ctrlProp189.xml"/><Relationship Id="rId107" Type="http://schemas.openxmlformats.org/officeDocument/2006/relationships/ctrlProp" Target="../ctrlProps/ctrlProp105.xml"/><Relationship Id="rId11" Type="http://schemas.openxmlformats.org/officeDocument/2006/relationships/ctrlProp" Target="../ctrlProps/ctrlProp9.xml"/><Relationship Id="rId32" Type="http://schemas.openxmlformats.org/officeDocument/2006/relationships/ctrlProp" Target="../ctrlProps/ctrlProp30.xml"/><Relationship Id="rId53" Type="http://schemas.openxmlformats.org/officeDocument/2006/relationships/ctrlProp" Target="../ctrlProps/ctrlProp51.xml"/><Relationship Id="rId74" Type="http://schemas.openxmlformats.org/officeDocument/2006/relationships/ctrlProp" Target="../ctrlProps/ctrlProp72.xml"/><Relationship Id="rId128" Type="http://schemas.openxmlformats.org/officeDocument/2006/relationships/ctrlProp" Target="../ctrlProps/ctrlProp126.xml"/><Relationship Id="rId149" Type="http://schemas.openxmlformats.org/officeDocument/2006/relationships/ctrlProp" Target="../ctrlProps/ctrlProp147.xml"/><Relationship Id="rId5" Type="http://schemas.openxmlformats.org/officeDocument/2006/relationships/ctrlProp" Target="../ctrlProps/ctrlProp3.xml"/><Relationship Id="rId95" Type="http://schemas.openxmlformats.org/officeDocument/2006/relationships/ctrlProp" Target="../ctrlProps/ctrlProp93.xml"/><Relationship Id="rId160" Type="http://schemas.openxmlformats.org/officeDocument/2006/relationships/ctrlProp" Target="../ctrlProps/ctrlProp158.xml"/><Relationship Id="rId181" Type="http://schemas.openxmlformats.org/officeDocument/2006/relationships/ctrlProp" Target="../ctrlProps/ctrlProp179.xml"/><Relationship Id="rId22" Type="http://schemas.openxmlformats.org/officeDocument/2006/relationships/ctrlProp" Target="../ctrlProps/ctrlProp20.xml"/><Relationship Id="rId43" Type="http://schemas.openxmlformats.org/officeDocument/2006/relationships/ctrlProp" Target="../ctrlProps/ctrlProp41.xml"/><Relationship Id="rId64" Type="http://schemas.openxmlformats.org/officeDocument/2006/relationships/ctrlProp" Target="../ctrlProps/ctrlProp62.xml"/><Relationship Id="rId118" Type="http://schemas.openxmlformats.org/officeDocument/2006/relationships/ctrlProp" Target="../ctrlProps/ctrlProp116.xml"/><Relationship Id="rId139" Type="http://schemas.openxmlformats.org/officeDocument/2006/relationships/ctrlProp" Target="../ctrlProps/ctrlProp137.xml"/><Relationship Id="rId85" Type="http://schemas.openxmlformats.org/officeDocument/2006/relationships/ctrlProp" Target="../ctrlProps/ctrlProp83.xml"/><Relationship Id="rId150" Type="http://schemas.openxmlformats.org/officeDocument/2006/relationships/ctrlProp" Target="../ctrlProps/ctrlProp148.xml"/><Relationship Id="rId171" Type="http://schemas.openxmlformats.org/officeDocument/2006/relationships/ctrlProp" Target="../ctrlProps/ctrlProp169.xml"/><Relationship Id="rId192" Type="http://schemas.openxmlformats.org/officeDocument/2006/relationships/ctrlProp" Target="../ctrlProps/ctrlProp190.xml"/><Relationship Id="rId12" Type="http://schemas.openxmlformats.org/officeDocument/2006/relationships/ctrlProp" Target="../ctrlProps/ctrlProp10.xml"/><Relationship Id="rId33" Type="http://schemas.openxmlformats.org/officeDocument/2006/relationships/ctrlProp" Target="../ctrlProps/ctrlProp31.xml"/><Relationship Id="rId108" Type="http://schemas.openxmlformats.org/officeDocument/2006/relationships/ctrlProp" Target="../ctrlProps/ctrlProp106.xml"/><Relationship Id="rId129" Type="http://schemas.openxmlformats.org/officeDocument/2006/relationships/ctrlProp" Target="../ctrlProps/ctrlProp127.xml"/><Relationship Id="rId54" Type="http://schemas.openxmlformats.org/officeDocument/2006/relationships/ctrlProp" Target="../ctrlProps/ctrlProp52.xml"/><Relationship Id="rId75" Type="http://schemas.openxmlformats.org/officeDocument/2006/relationships/ctrlProp" Target="../ctrlProps/ctrlProp73.xml"/><Relationship Id="rId96" Type="http://schemas.openxmlformats.org/officeDocument/2006/relationships/ctrlProp" Target="../ctrlProps/ctrlProp94.xml"/><Relationship Id="rId140" Type="http://schemas.openxmlformats.org/officeDocument/2006/relationships/ctrlProp" Target="../ctrlProps/ctrlProp138.xml"/><Relationship Id="rId161" Type="http://schemas.openxmlformats.org/officeDocument/2006/relationships/ctrlProp" Target="../ctrlProps/ctrlProp159.xml"/><Relationship Id="rId182" Type="http://schemas.openxmlformats.org/officeDocument/2006/relationships/ctrlProp" Target="../ctrlProps/ctrlProp180.xml"/><Relationship Id="rId6" Type="http://schemas.openxmlformats.org/officeDocument/2006/relationships/ctrlProp" Target="../ctrlProps/ctrlProp4.xml"/><Relationship Id="rId23" Type="http://schemas.openxmlformats.org/officeDocument/2006/relationships/ctrlProp" Target="../ctrlProps/ctrlProp21.xml"/><Relationship Id="rId119" Type="http://schemas.openxmlformats.org/officeDocument/2006/relationships/ctrlProp" Target="../ctrlProps/ctrlProp117.xml"/><Relationship Id="rId44" Type="http://schemas.openxmlformats.org/officeDocument/2006/relationships/ctrlProp" Target="../ctrlProps/ctrlProp42.xml"/><Relationship Id="rId65" Type="http://schemas.openxmlformats.org/officeDocument/2006/relationships/ctrlProp" Target="../ctrlProps/ctrlProp63.xml"/><Relationship Id="rId86" Type="http://schemas.openxmlformats.org/officeDocument/2006/relationships/ctrlProp" Target="../ctrlProps/ctrlProp84.xml"/><Relationship Id="rId130" Type="http://schemas.openxmlformats.org/officeDocument/2006/relationships/ctrlProp" Target="../ctrlProps/ctrlProp128.xml"/><Relationship Id="rId151" Type="http://schemas.openxmlformats.org/officeDocument/2006/relationships/ctrlProp" Target="../ctrlProps/ctrlProp149.xml"/><Relationship Id="rId172" Type="http://schemas.openxmlformats.org/officeDocument/2006/relationships/ctrlProp" Target="../ctrlProps/ctrlProp170.xml"/><Relationship Id="rId193" Type="http://schemas.openxmlformats.org/officeDocument/2006/relationships/ctrlProp" Target="../ctrlProps/ctrlProp191.xml"/><Relationship Id="rId13" Type="http://schemas.openxmlformats.org/officeDocument/2006/relationships/ctrlProp" Target="../ctrlProps/ctrlProp11.xml"/><Relationship Id="rId109" Type="http://schemas.openxmlformats.org/officeDocument/2006/relationships/ctrlProp" Target="../ctrlProps/ctrlProp107.xml"/><Relationship Id="rId34" Type="http://schemas.openxmlformats.org/officeDocument/2006/relationships/ctrlProp" Target="../ctrlProps/ctrlProp32.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20" Type="http://schemas.openxmlformats.org/officeDocument/2006/relationships/ctrlProp" Target="../ctrlProps/ctrlProp118.xml"/><Relationship Id="rId141" Type="http://schemas.openxmlformats.org/officeDocument/2006/relationships/ctrlProp" Target="../ctrlProps/ctrlProp139.xml"/><Relationship Id="rId7" Type="http://schemas.openxmlformats.org/officeDocument/2006/relationships/ctrlProp" Target="../ctrlProps/ctrlProp5.xml"/><Relationship Id="rId162" Type="http://schemas.openxmlformats.org/officeDocument/2006/relationships/ctrlProp" Target="../ctrlProps/ctrlProp160.xml"/><Relationship Id="rId183" Type="http://schemas.openxmlformats.org/officeDocument/2006/relationships/ctrlProp" Target="../ctrlProps/ctrlProp181.xml"/><Relationship Id="rId2" Type="http://schemas.openxmlformats.org/officeDocument/2006/relationships/vmlDrawing" Target="../drawings/vmlDrawing1.v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110" Type="http://schemas.openxmlformats.org/officeDocument/2006/relationships/ctrlProp" Target="../ctrlProps/ctrlProp108.xml"/><Relationship Id="rId115" Type="http://schemas.openxmlformats.org/officeDocument/2006/relationships/ctrlProp" Target="../ctrlProps/ctrlProp113.xml"/><Relationship Id="rId131" Type="http://schemas.openxmlformats.org/officeDocument/2006/relationships/ctrlProp" Target="../ctrlProps/ctrlProp129.xml"/><Relationship Id="rId136" Type="http://schemas.openxmlformats.org/officeDocument/2006/relationships/ctrlProp" Target="../ctrlProps/ctrlProp134.xml"/><Relationship Id="rId157" Type="http://schemas.openxmlformats.org/officeDocument/2006/relationships/ctrlProp" Target="../ctrlProps/ctrlProp155.xml"/><Relationship Id="rId178" Type="http://schemas.openxmlformats.org/officeDocument/2006/relationships/ctrlProp" Target="../ctrlProps/ctrlProp176.xml"/><Relationship Id="rId61" Type="http://schemas.openxmlformats.org/officeDocument/2006/relationships/ctrlProp" Target="../ctrlProps/ctrlProp59.xml"/><Relationship Id="rId82" Type="http://schemas.openxmlformats.org/officeDocument/2006/relationships/ctrlProp" Target="../ctrlProps/ctrlProp80.xml"/><Relationship Id="rId152" Type="http://schemas.openxmlformats.org/officeDocument/2006/relationships/ctrlProp" Target="../ctrlProps/ctrlProp150.xml"/><Relationship Id="rId173" Type="http://schemas.openxmlformats.org/officeDocument/2006/relationships/ctrlProp" Target="../ctrlProps/ctrlProp171.xml"/><Relationship Id="rId194" Type="http://schemas.openxmlformats.org/officeDocument/2006/relationships/ctrlProp" Target="../ctrlProps/ctrlProp192.xml"/><Relationship Id="rId199" Type="http://schemas.openxmlformats.org/officeDocument/2006/relationships/ctrlProp" Target="../ctrlProps/ctrlProp197.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105" Type="http://schemas.openxmlformats.org/officeDocument/2006/relationships/ctrlProp" Target="../ctrlProps/ctrlProp103.xml"/><Relationship Id="rId126" Type="http://schemas.openxmlformats.org/officeDocument/2006/relationships/ctrlProp" Target="../ctrlProps/ctrlProp124.xml"/><Relationship Id="rId147" Type="http://schemas.openxmlformats.org/officeDocument/2006/relationships/ctrlProp" Target="../ctrlProps/ctrlProp145.xml"/><Relationship Id="rId168" Type="http://schemas.openxmlformats.org/officeDocument/2006/relationships/ctrlProp" Target="../ctrlProps/ctrlProp166.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98" Type="http://schemas.openxmlformats.org/officeDocument/2006/relationships/ctrlProp" Target="../ctrlProps/ctrlProp96.xml"/><Relationship Id="rId121" Type="http://schemas.openxmlformats.org/officeDocument/2006/relationships/ctrlProp" Target="../ctrlProps/ctrlProp119.xml"/><Relationship Id="rId142" Type="http://schemas.openxmlformats.org/officeDocument/2006/relationships/ctrlProp" Target="../ctrlProps/ctrlProp140.xml"/><Relationship Id="rId163" Type="http://schemas.openxmlformats.org/officeDocument/2006/relationships/ctrlProp" Target="../ctrlProps/ctrlProp161.xml"/><Relationship Id="rId184" Type="http://schemas.openxmlformats.org/officeDocument/2006/relationships/ctrlProp" Target="../ctrlProps/ctrlProp182.xml"/><Relationship Id="rId189" Type="http://schemas.openxmlformats.org/officeDocument/2006/relationships/ctrlProp" Target="../ctrlProps/ctrlProp187.xml"/><Relationship Id="rId3" Type="http://schemas.openxmlformats.org/officeDocument/2006/relationships/ctrlProp" Target="../ctrlProps/ctrlProp1.x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116" Type="http://schemas.openxmlformats.org/officeDocument/2006/relationships/ctrlProp" Target="../ctrlProps/ctrlProp114.xml"/><Relationship Id="rId137" Type="http://schemas.openxmlformats.org/officeDocument/2006/relationships/ctrlProp" Target="../ctrlProps/ctrlProp135.xml"/><Relationship Id="rId158" Type="http://schemas.openxmlformats.org/officeDocument/2006/relationships/ctrlProp" Target="../ctrlProps/ctrlProp156.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ctrlProp" Target="../ctrlProps/ctrlProp81.xml"/><Relationship Id="rId88" Type="http://schemas.openxmlformats.org/officeDocument/2006/relationships/ctrlProp" Target="../ctrlProps/ctrlProp86.xml"/><Relationship Id="rId111" Type="http://schemas.openxmlformats.org/officeDocument/2006/relationships/ctrlProp" Target="../ctrlProps/ctrlProp109.xml"/><Relationship Id="rId132" Type="http://schemas.openxmlformats.org/officeDocument/2006/relationships/ctrlProp" Target="../ctrlProps/ctrlProp130.xml"/><Relationship Id="rId153" Type="http://schemas.openxmlformats.org/officeDocument/2006/relationships/ctrlProp" Target="../ctrlProps/ctrlProp151.xml"/><Relationship Id="rId174" Type="http://schemas.openxmlformats.org/officeDocument/2006/relationships/ctrlProp" Target="../ctrlProps/ctrlProp172.xml"/><Relationship Id="rId179" Type="http://schemas.openxmlformats.org/officeDocument/2006/relationships/ctrlProp" Target="../ctrlProps/ctrlProp177.xml"/><Relationship Id="rId195" Type="http://schemas.openxmlformats.org/officeDocument/2006/relationships/ctrlProp" Target="../ctrlProps/ctrlProp193.xml"/><Relationship Id="rId190" Type="http://schemas.openxmlformats.org/officeDocument/2006/relationships/ctrlProp" Target="../ctrlProps/ctrlProp188.xml"/><Relationship Id="rId15" Type="http://schemas.openxmlformats.org/officeDocument/2006/relationships/ctrlProp" Target="../ctrlProps/ctrlProp13.xml"/><Relationship Id="rId36" Type="http://schemas.openxmlformats.org/officeDocument/2006/relationships/ctrlProp" Target="../ctrlProps/ctrlProp34.xml"/><Relationship Id="rId57" Type="http://schemas.openxmlformats.org/officeDocument/2006/relationships/ctrlProp" Target="../ctrlProps/ctrlProp55.xml"/><Relationship Id="rId106" Type="http://schemas.openxmlformats.org/officeDocument/2006/relationships/ctrlProp" Target="../ctrlProps/ctrlProp104.xml"/><Relationship Id="rId127" Type="http://schemas.openxmlformats.org/officeDocument/2006/relationships/ctrlProp" Target="../ctrlProps/ctrlProp125.xml"/><Relationship Id="rId10" Type="http://schemas.openxmlformats.org/officeDocument/2006/relationships/ctrlProp" Target="../ctrlProps/ctrlProp8.xml"/><Relationship Id="rId31" Type="http://schemas.openxmlformats.org/officeDocument/2006/relationships/ctrlProp" Target="../ctrlProps/ctrlProp29.xml"/><Relationship Id="rId52" Type="http://schemas.openxmlformats.org/officeDocument/2006/relationships/ctrlProp" Target="../ctrlProps/ctrlProp50.xml"/><Relationship Id="rId73" Type="http://schemas.openxmlformats.org/officeDocument/2006/relationships/ctrlProp" Target="../ctrlProps/ctrlProp71.xml"/><Relationship Id="rId78" Type="http://schemas.openxmlformats.org/officeDocument/2006/relationships/ctrlProp" Target="../ctrlProps/ctrlProp76.xml"/><Relationship Id="rId94" Type="http://schemas.openxmlformats.org/officeDocument/2006/relationships/ctrlProp" Target="../ctrlProps/ctrlProp92.xml"/><Relationship Id="rId99" Type="http://schemas.openxmlformats.org/officeDocument/2006/relationships/ctrlProp" Target="../ctrlProps/ctrlProp97.xml"/><Relationship Id="rId101" Type="http://schemas.openxmlformats.org/officeDocument/2006/relationships/ctrlProp" Target="../ctrlProps/ctrlProp99.xml"/><Relationship Id="rId122" Type="http://schemas.openxmlformats.org/officeDocument/2006/relationships/ctrlProp" Target="../ctrlProps/ctrlProp120.xml"/><Relationship Id="rId143" Type="http://schemas.openxmlformats.org/officeDocument/2006/relationships/ctrlProp" Target="../ctrlProps/ctrlProp141.xml"/><Relationship Id="rId148" Type="http://schemas.openxmlformats.org/officeDocument/2006/relationships/ctrlProp" Target="../ctrlProps/ctrlProp146.xml"/><Relationship Id="rId164" Type="http://schemas.openxmlformats.org/officeDocument/2006/relationships/ctrlProp" Target="../ctrlProps/ctrlProp162.xml"/><Relationship Id="rId169" Type="http://schemas.openxmlformats.org/officeDocument/2006/relationships/ctrlProp" Target="../ctrlProps/ctrlProp167.xml"/><Relationship Id="rId185" Type="http://schemas.openxmlformats.org/officeDocument/2006/relationships/ctrlProp" Target="../ctrlProps/ctrlProp183.xml"/><Relationship Id="rId4" Type="http://schemas.openxmlformats.org/officeDocument/2006/relationships/ctrlProp" Target="../ctrlProps/ctrlProp2.xml"/><Relationship Id="rId9" Type="http://schemas.openxmlformats.org/officeDocument/2006/relationships/ctrlProp" Target="../ctrlProps/ctrlProp7.xml"/><Relationship Id="rId180" Type="http://schemas.openxmlformats.org/officeDocument/2006/relationships/ctrlProp" Target="../ctrlProps/ctrlProp178.xml"/><Relationship Id="rId26" Type="http://schemas.openxmlformats.org/officeDocument/2006/relationships/ctrlProp" Target="../ctrlProps/ctrlProp24.xml"/><Relationship Id="rId47" Type="http://schemas.openxmlformats.org/officeDocument/2006/relationships/ctrlProp" Target="../ctrlProps/ctrlProp45.xml"/><Relationship Id="rId68" Type="http://schemas.openxmlformats.org/officeDocument/2006/relationships/ctrlProp" Target="../ctrlProps/ctrlProp66.xml"/><Relationship Id="rId89" Type="http://schemas.openxmlformats.org/officeDocument/2006/relationships/ctrlProp" Target="../ctrlProps/ctrlProp87.xml"/><Relationship Id="rId112" Type="http://schemas.openxmlformats.org/officeDocument/2006/relationships/ctrlProp" Target="../ctrlProps/ctrlProp110.xml"/><Relationship Id="rId133" Type="http://schemas.openxmlformats.org/officeDocument/2006/relationships/ctrlProp" Target="../ctrlProps/ctrlProp131.xml"/><Relationship Id="rId154" Type="http://schemas.openxmlformats.org/officeDocument/2006/relationships/ctrlProp" Target="../ctrlProps/ctrlProp152.xml"/><Relationship Id="rId175" Type="http://schemas.openxmlformats.org/officeDocument/2006/relationships/ctrlProp" Target="../ctrlProps/ctrlProp173.xml"/><Relationship Id="rId196" Type="http://schemas.openxmlformats.org/officeDocument/2006/relationships/ctrlProp" Target="../ctrlProps/ctrlProp194.xml"/><Relationship Id="rId200" Type="http://schemas.openxmlformats.org/officeDocument/2006/relationships/ctrlProp" Target="../ctrlProps/ctrlProp198.xml"/><Relationship Id="rId16" Type="http://schemas.openxmlformats.org/officeDocument/2006/relationships/ctrlProp" Target="../ctrlProps/ctrlProp14.xml"/><Relationship Id="rId37" Type="http://schemas.openxmlformats.org/officeDocument/2006/relationships/ctrlProp" Target="../ctrlProps/ctrlProp35.xml"/><Relationship Id="rId58" Type="http://schemas.openxmlformats.org/officeDocument/2006/relationships/ctrlProp" Target="../ctrlProps/ctrlProp56.xml"/><Relationship Id="rId79" Type="http://schemas.openxmlformats.org/officeDocument/2006/relationships/ctrlProp" Target="../ctrlProps/ctrlProp77.xml"/><Relationship Id="rId102" Type="http://schemas.openxmlformats.org/officeDocument/2006/relationships/ctrlProp" Target="../ctrlProps/ctrlProp100.xml"/><Relationship Id="rId123" Type="http://schemas.openxmlformats.org/officeDocument/2006/relationships/ctrlProp" Target="../ctrlProps/ctrlProp121.xml"/><Relationship Id="rId144" Type="http://schemas.openxmlformats.org/officeDocument/2006/relationships/ctrlProp" Target="../ctrlProps/ctrlProp142.xml"/><Relationship Id="rId90" Type="http://schemas.openxmlformats.org/officeDocument/2006/relationships/ctrlProp" Target="../ctrlProps/ctrlProp88.xml"/><Relationship Id="rId165" Type="http://schemas.openxmlformats.org/officeDocument/2006/relationships/ctrlProp" Target="../ctrlProps/ctrlProp163.xml"/><Relationship Id="rId186" Type="http://schemas.openxmlformats.org/officeDocument/2006/relationships/ctrlProp" Target="../ctrlProps/ctrlProp184.xml"/><Relationship Id="rId27" Type="http://schemas.openxmlformats.org/officeDocument/2006/relationships/ctrlProp" Target="../ctrlProps/ctrlProp25.xml"/><Relationship Id="rId48" Type="http://schemas.openxmlformats.org/officeDocument/2006/relationships/ctrlProp" Target="../ctrlProps/ctrlProp46.xml"/><Relationship Id="rId69" Type="http://schemas.openxmlformats.org/officeDocument/2006/relationships/ctrlProp" Target="../ctrlProps/ctrlProp67.xml"/><Relationship Id="rId113" Type="http://schemas.openxmlformats.org/officeDocument/2006/relationships/ctrlProp" Target="../ctrlProps/ctrlProp111.xml"/><Relationship Id="rId134" Type="http://schemas.openxmlformats.org/officeDocument/2006/relationships/ctrlProp" Target="../ctrlProps/ctrlProp132.xml"/><Relationship Id="rId80" Type="http://schemas.openxmlformats.org/officeDocument/2006/relationships/ctrlProp" Target="../ctrlProps/ctrlProp78.xml"/><Relationship Id="rId155" Type="http://schemas.openxmlformats.org/officeDocument/2006/relationships/ctrlProp" Target="../ctrlProps/ctrlProp153.xml"/><Relationship Id="rId176" Type="http://schemas.openxmlformats.org/officeDocument/2006/relationships/ctrlProp" Target="../ctrlProps/ctrlProp174.xml"/><Relationship Id="rId197" Type="http://schemas.openxmlformats.org/officeDocument/2006/relationships/ctrlProp" Target="../ctrlProps/ctrlProp195.xml"/><Relationship Id="rId201" Type="http://schemas.openxmlformats.org/officeDocument/2006/relationships/ctrlProp" Target="../ctrlProps/ctrlProp199.xml"/><Relationship Id="rId17" Type="http://schemas.openxmlformats.org/officeDocument/2006/relationships/ctrlProp" Target="../ctrlProps/ctrlProp15.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24" Type="http://schemas.openxmlformats.org/officeDocument/2006/relationships/ctrlProp" Target="../ctrlProps/ctrlProp122.xml"/><Relationship Id="rId70" Type="http://schemas.openxmlformats.org/officeDocument/2006/relationships/ctrlProp" Target="../ctrlProps/ctrlProp68.xml"/><Relationship Id="rId91" Type="http://schemas.openxmlformats.org/officeDocument/2006/relationships/ctrlProp" Target="../ctrlProps/ctrlProp89.xml"/><Relationship Id="rId145" Type="http://schemas.openxmlformats.org/officeDocument/2006/relationships/ctrlProp" Target="../ctrlProps/ctrlProp143.xml"/><Relationship Id="rId166" Type="http://schemas.openxmlformats.org/officeDocument/2006/relationships/ctrlProp" Target="../ctrlProps/ctrlProp164.xml"/><Relationship Id="rId187" Type="http://schemas.openxmlformats.org/officeDocument/2006/relationships/ctrlProp" Target="../ctrlProps/ctrlProp185.xml"/><Relationship Id="rId1" Type="http://schemas.openxmlformats.org/officeDocument/2006/relationships/drawing" Target="../drawings/drawing1.xml"/><Relationship Id="rId28" Type="http://schemas.openxmlformats.org/officeDocument/2006/relationships/ctrlProp" Target="../ctrlProps/ctrlProp26.xml"/><Relationship Id="rId49" Type="http://schemas.openxmlformats.org/officeDocument/2006/relationships/ctrlProp" Target="../ctrlProps/ctrlProp47.xml"/><Relationship Id="rId114" Type="http://schemas.openxmlformats.org/officeDocument/2006/relationships/ctrlProp" Target="../ctrlProps/ctrlProp112.xml"/><Relationship Id="rId60" Type="http://schemas.openxmlformats.org/officeDocument/2006/relationships/ctrlProp" Target="../ctrlProps/ctrlProp58.xml"/><Relationship Id="rId81" Type="http://schemas.openxmlformats.org/officeDocument/2006/relationships/ctrlProp" Target="../ctrlProps/ctrlProp79.xml"/><Relationship Id="rId135" Type="http://schemas.openxmlformats.org/officeDocument/2006/relationships/ctrlProp" Target="../ctrlProps/ctrlProp133.xml"/><Relationship Id="rId156" Type="http://schemas.openxmlformats.org/officeDocument/2006/relationships/ctrlProp" Target="../ctrlProps/ctrlProp154.xml"/><Relationship Id="rId177" Type="http://schemas.openxmlformats.org/officeDocument/2006/relationships/ctrlProp" Target="../ctrlProps/ctrlProp175.xml"/><Relationship Id="rId198" Type="http://schemas.openxmlformats.org/officeDocument/2006/relationships/ctrlProp" Target="../ctrlProps/ctrlProp196.xml"/><Relationship Id="rId202" Type="http://schemas.openxmlformats.org/officeDocument/2006/relationships/ctrlProp" Target="../ctrlProps/ctrlProp200.xml"/><Relationship Id="rId18" Type="http://schemas.openxmlformats.org/officeDocument/2006/relationships/ctrlProp" Target="../ctrlProps/ctrlProp16.xml"/><Relationship Id="rId39" Type="http://schemas.openxmlformats.org/officeDocument/2006/relationships/ctrlProp" Target="../ctrlProps/ctrlProp37.xml"/><Relationship Id="rId50" Type="http://schemas.openxmlformats.org/officeDocument/2006/relationships/ctrlProp" Target="../ctrlProps/ctrlProp48.xml"/><Relationship Id="rId104" Type="http://schemas.openxmlformats.org/officeDocument/2006/relationships/ctrlProp" Target="../ctrlProps/ctrlProp102.xml"/><Relationship Id="rId125" Type="http://schemas.openxmlformats.org/officeDocument/2006/relationships/ctrlProp" Target="../ctrlProps/ctrlProp123.xml"/><Relationship Id="rId146" Type="http://schemas.openxmlformats.org/officeDocument/2006/relationships/ctrlProp" Target="../ctrlProps/ctrlProp144.xml"/><Relationship Id="rId167" Type="http://schemas.openxmlformats.org/officeDocument/2006/relationships/ctrlProp" Target="../ctrlProps/ctrlProp165.xml"/><Relationship Id="rId188" Type="http://schemas.openxmlformats.org/officeDocument/2006/relationships/ctrlProp" Target="../ctrlProps/ctrlProp186.xml"/><Relationship Id="rId71" Type="http://schemas.openxmlformats.org/officeDocument/2006/relationships/ctrlProp" Target="../ctrlProps/ctrlProp69.xml"/><Relationship Id="rId92" Type="http://schemas.openxmlformats.org/officeDocument/2006/relationships/ctrlProp" Target="../ctrlProps/ctrlProp9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F7FC6-CA0B-E14B-943F-1D2C06ADC1F7}">
  <sheetPr codeName="Sheet1"/>
  <dimension ref="A1:D22"/>
  <sheetViews>
    <sheetView workbookViewId="0">
      <selection activeCell="B22" sqref="B22"/>
    </sheetView>
  </sheetViews>
  <sheetFormatPr baseColWidth="10" defaultRowHeight="16" x14ac:dyDescent="0.2"/>
  <cols>
    <col min="2" max="2" width="39.33203125" customWidth="1"/>
  </cols>
  <sheetData>
    <row r="1" spans="1:4" x14ac:dyDescent="0.2">
      <c r="A1" s="59" t="s">
        <v>0</v>
      </c>
      <c r="B1" s="60" t="s">
        <v>1</v>
      </c>
      <c r="C1" s="61" t="s">
        <v>2</v>
      </c>
      <c r="D1" s="60" t="s">
        <v>3</v>
      </c>
    </row>
    <row r="2" spans="1:4" x14ac:dyDescent="0.2">
      <c r="A2" s="59"/>
      <c r="B2" s="60"/>
      <c r="C2" s="62"/>
      <c r="D2" s="60"/>
    </row>
    <row r="3" spans="1:4" ht="30" customHeight="1" x14ac:dyDescent="0.2">
      <c r="A3" s="1">
        <v>1</v>
      </c>
      <c r="B3" s="4" t="s">
        <v>4</v>
      </c>
      <c r="C3" s="2"/>
      <c r="D3" s="2"/>
    </row>
    <row r="4" spans="1:4" ht="30" customHeight="1" x14ac:dyDescent="0.2">
      <c r="A4" s="1">
        <v>2</v>
      </c>
      <c r="B4" s="4" t="s">
        <v>5</v>
      </c>
      <c r="C4" s="3"/>
      <c r="D4" s="2"/>
    </row>
    <row r="5" spans="1:4" ht="30" customHeight="1" x14ac:dyDescent="0.2">
      <c r="A5" s="1">
        <v>3</v>
      </c>
      <c r="B5" s="4" t="s">
        <v>6</v>
      </c>
      <c r="C5" s="3"/>
      <c r="D5" s="2"/>
    </row>
    <row r="6" spans="1:4" ht="30" customHeight="1" x14ac:dyDescent="0.2">
      <c r="A6" s="1">
        <v>4</v>
      </c>
      <c r="B6" s="4" t="s">
        <v>7</v>
      </c>
      <c r="C6" s="3"/>
      <c r="D6" s="2"/>
    </row>
    <row r="7" spans="1:4" ht="30" customHeight="1" x14ac:dyDescent="0.2">
      <c r="A7" s="1">
        <v>5</v>
      </c>
      <c r="B7" s="4" t="s">
        <v>8</v>
      </c>
      <c r="C7" s="3"/>
      <c r="D7" s="2"/>
    </row>
    <row r="8" spans="1:4" ht="30" customHeight="1" x14ac:dyDescent="0.2">
      <c r="A8" s="1">
        <v>6</v>
      </c>
      <c r="B8" s="4" t="s">
        <v>9</v>
      </c>
      <c r="C8" s="3"/>
      <c r="D8" s="2"/>
    </row>
    <row r="9" spans="1:4" ht="30" customHeight="1" x14ac:dyDescent="0.2">
      <c r="A9" s="1">
        <v>7</v>
      </c>
      <c r="B9" s="4" t="s">
        <v>10</v>
      </c>
      <c r="C9" s="3"/>
      <c r="D9" s="2"/>
    </row>
    <row r="10" spans="1:4" ht="30" customHeight="1" x14ac:dyDescent="0.2">
      <c r="A10" s="1">
        <v>8</v>
      </c>
      <c r="B10" s="4" t="s">
        <v>11</v>
      </c>
      <c r="C10" s="3"/>
      <c r="D10" s="2"/>
    </row>
    <row r="11" spans="1:4" ht="30" customHeight="1" x14ac:dyDescent="0.2">
      <c r="A11" s="1">
        <v>9</v>
      </c>
      <c r="B11" s="4" t="s">
        <v>12</v>
      </c>
      <c r="C11" s="3"/>
      <c r="D11" s="2"/>
    </row>
    <row r="12" spans="1:4" ht="30" customHeight="1" x14ac:dyDescent="0.2"/>
    <row r="13" spans="1:4" ht="30" customHeight="1" x14ac:dyDescent="0.2"/>
    <row r="14" spans="1:4" ht="30" customHeight="1" x14ac:dyDescent="0.2"/>
    <row r="15" spans="1:4" ht="30" customHeight="1" x14ac:dyDescent="0.2"/>
    <row r="16" spans="1:4" ht="30" customHeight="1" x14ac:dyDescent="0.2"/>
    <row r="17" ht="30" customHeight="1" x14ac:dyDescent="0.2"/>
    <row r="18" ht="30" customHeight="1" x14ac:dyDescent="0.2"/>
    <row r="19" ht="30" customHeight="1" x14ac:dyDescent="0.2"/>
    <row r="20" ht="30" customHeight="1" x14ac:dyDescent="0.2"/>
    <row r="21" ht="30" customHeight="1" x14ac:dyDescent="0.2"/>
    <row r="22" ht="30" customHeight="1" x14ac:dyDescent="0.2"/>
  </sheetData>
  <mergeCells count="4">
    <mergeCell ref="A1:A2"/>
    <mergeCell ref="B1:B2"/>
    <mergeCell ref="C1:C2"/>
    <mergeCell ref="D1:D2"/>
  </mergeCells>
  <printOptions horizontalCentered="1"/>
  <pageMargins left="0.70866141732283472" right="0.70866141732283472" top="0.74803149606299213" bottom="0.74803149606299213" header="0.31496062992125984" footer="0.31496062992125984"/>
  <pageSetup paperSize="9" orientation="portrait" horizontalDpi="0" verticalDpi="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60591-4BC2-E245-A30A-E46C503393C9}">
  <sheetPr codeName="Sheet2">
    <pageSetUpPr fitToPage="1"/>
  </sheetPr>
  <dimension ref="A1:Q1260"/>
  <sheetViews>
    <sheetView tabSelected="1" view="pageBreakPreview" topLeftCell="A15" zoomScaleNormal="100" zoomScaleSheetLayoutView="100" workbookViewId="0">
      <selection activeCell="C50" sqref="C50:M50"/>
    </sheetView>
  </sheetViews>
  <sheetFormatPr baseColWidth="10" defaultRowHeight="14" x14ac:dyDescent="0.15"/>
  <cols>
    <col min="1" max="2" width="3.83203125" style="5" customWidth="1"/>
    <col min="3" max="3" width="9.83203125" style="5" customWidth="1"/>
    <col min="4" max="16" width="6.83203125" style="5" customWidth="1"/>
    <col min="17" max="16384" width="10.83203125" style="5"/>
  </cols>
  <sheetData>
    <row r="1" spans="1:17" ht="16" customHeight="1" x14ac:dyDescent="0.15">
      <c r="A1" s="67" t="s">
        <v>14</v>
      </c>
      <c r="B1" s="67"/>
      <c r="C1" s="67"/>
      <c r="D1" s="67"/>
      <c r="E1" s="67"/>
      <c r="F1" s="67"/>
      <c r="G1" s="67"/>
      <c r="H1" s="67"/>
      <c r="I1" s="67"/>
      <c r="J1" s="67"/>
      <c r="K1" s="67"/>
      <c r="L1" s="67"/>
      <c r="M1" s="67"/>
      <c r="N1" s="5">
        <v>1</v>
      </c>
    </row>
    <row r="2" spans="1:17" ht="16" customHeight="1" x14ac:dyDescent="0.15">
      <c r="A2" s="67" t="str">
        <f>"NOMOR "&amp;VLOOKUP($N1,[94]Base_02!$A$5:$AD$24,2,0)</f>
        <v>NOMOR 000001</v>
      </c>
      <c r="B2" s="67"/>
      <c r="C2" s="67"/>
      <c r="D2" s="67"/>
      <c r="E2" s="67"/>
      <c r="F2" s="67"/>
      <c r="G2" s="67"/>
      <c r="H2" s="67"/>
      <c r="I2" s="67"/>
      <c r="J2" s="67"/>
      <c r="K2" s="67"/>
      <c r="L2" s="67"/>
      <c r="M2" s="67"/>
    </row>
    <row r="3" spans="1:17" x14ac:dyDescent="0.15">
      <c r="A3" s="6"/>
      <c r="B3" s="7"/>
      <c r="C3" s="7"/>
      <c r="D3" s="7"/>
      <c r="E3" s="7"/>
      <c r="F3" s="7"/>
      <c r="G3" s="7"/>
      <c r="H3" s="7"/>
      <c r="I3" s="7"/>
      <c r="J3" s="7"/>
      <c r="K3" s="6"/>
      <c r="L3" s="6"/>
      <c r="M3" s="6"/>
    </row>
    <row r="4" spans="1:17" ht="15" customHeight="1" x14ac:dyDescent="0.15">
      <c r="A4" s="8" t="s">
        <v>13</v>
      </c>
      <c r="B4" s="9" t="s">
        <v>15</v>
      </c>
      <c r="C4" s="6"/>
      <c r="D4" s="6"/>
      <c r="E4" s="6"/>
      <c r="F4" s="6"/>
      <c r="G4" s="6"/>
      <c r="H4" s="6"/>
      <c r="I4" s="6"/>
      <c r="J4" s="6"/>
      <c r="K4" s="6"/>
      <c r="L4" s="6"/>
      <c r="M4" s="6"/>
    </row>
    <row r="5" spans="1:17" ht="15" customHeight="1" x14ac:dyDescent="0.15">
      <c r="A5" s="6"/>
      <c r="B5" s="57" t="s">
        <v>16</v>
      </c>
      <c r="C5" s="57"/>
      <c r="D5" s="57"/>
      <c r="E5" s="57"/>
      <c r="F5" s="57"/>
      <c r="G5" s="6" t="str">
        <f>VLOOKUP($N1,[94]Base_02!$A$5:$AD$24,3,0)</f>
        <v>Nama PB 1</v>
      </c>
      <c r="H5" s="6"/>
      <c r="I5" s="6"/>
      <c r="J5" s="6"/>
      <c r="K5" s="6"/>
      <c r="L5" s="6"/>
      <c r="M5" s="6"/>
    </row>
    <row r="6" spans="1:17" ht="15" customHeight="1" x14ac:dyDescent="0.15">
      <c r="A6" s="6"/>
      <c r="B6" s="57" t="s">
        <v>17</v>
      </c>
      <c r="C6" s="57"/>
      <c r="D6" s="57"/>
      <c r="E6" s="57"/>
      <c r="F6" s="57"/>
      <c r="G6" s="6" t="str">
        <f>VLOOKUP($N1,[94]Base_02!$A$5:$AD$24,14,0)</f>
        <v>3310080902970001</v>
      </c>
      <c r="H6" s="6"/>
      <c r="I6" s="6"/>
      <c r="J6" s="6"/>
      <c r="K6" s="6"/>
      <c r="L6" s="6"/>
      <c r="M6" s="6"/>
    </row>
    <row r="7" spans="1:17" ht="15" customHeight="1" x14ac:dyDescent="0.15">
      <c r="A7" s="6"/>
      <c r="B7" s="57" t="s">
        <v>18</v>
      </c>
      <c r="C7" s="57"/>
      <c r="D7" s="57"/>
      <c r="E7" s="57"/>
      <c r="F7" s="57"/>
      <c r="G7" s="6" t="str">
        <f>VLOOKUP(N1,[94]Base_02!$A$5:$Z$24,11,FALSE)&amp;", RT "&amp;VLOOKUP(N1,[94]Base_02!$A$5:$Z$24,12,FALSE)&amp;", RW "&amp;VLOOKUP(N1,[94]Base_02!$A$5:$Z$24,13,FALSE)</f>
        <v>Jalan Kanal Victory, RT 1, RW 1</v>
      </c>
      <c r="H7" s="6"/>
      <c r="I7" s="6"/>
      <c r="J7" s="6"/>
      <c r="K7" s="6"/>
      <c r="L7" s="6"/>
      <c r="M7" s="6"/>
    </row>
    <row r="8" spans="1:17" ht="15" customHeight="1" x14ac:dyDescent="0.15">
      <c r="A8" s="6"/>
      <c r="B8" s="57" t="str">
        <f>[94]Base_01!$B$2</f>
        <v>Kelurahan</v>
      </c>
      <c r="C8" s="57"/>
      <c r="D8" s="57"/>
      <c r="E8" s="57"/>
      <c r="F8" s="57"/>
      <c r="G8" s="10" t="str">
        <f>[94]Base_01!$C$2</f>
        <v>Klasabi</v>
      </c>
      <c r="H8" s="6"/>
      <c r="I8" s="6"/>
      <c r="J8" s="6"/>
      <c r="K8" s="6"/>
      <c r="L8" s="6"/>
      <c r="M8" s="6"/>
    </row>
    <row r="9" spans="1:17" ht="15" customHeight="1" x14ac:dyDescent="0.15">
      <c r="A9" s="6"/>
      <c r="B9" s="57" t="s">
        <v>19</v>
      </c>
      <c r="C9" s="57"/>
      <c r="D9" s="57"/>
      <c r="E9" s="57"/>
      <c r="F9" s="57"/>
      <c r="G9" s="10" t="str">
        <f>[94]Base_01!$C$3</f>
        <v>Sorong Manoi</v>
      </c>
      <c r="H9" s="6"/>
      <c r="I9" s="6"/>
      <c r="J9" s="6"/>
      <c r="K9" s="6"/>
      <c r="L9" s="6"/>
      <c r="M9" s="6"/>
    </row>
    <row r="10" spans="1:17" ht="15" customHeight="1" x14ac:dyDescent="0.15">
      <c r="A10" s="6"/>
      <c r="B10" s="57" t="str">
        <f>[94]Base_01!$B$4</f>
        <v>Kota</v>
      </c>
      <c r="C10" s="57"/>
      <c r="D10" s="57"/>
      <c r="E10" s="57"/>
      <c r="F10" s="57"/>
      <c r="G10" s="10" t="str">
        <f>[94]Base_01!$C$4</f>
        <v>Sorong</v>
      </c>
      <c r="H10" s="6"/>
      <c r="I10" s="6"/>
      <c r="J10" s="6"/>
      <c r="K10" s="6"/>
      <c r="L10" s="6"/>
      <c r="M10" s="6"/>
    </row>
    <row r="11" spans="1:17" ht="15" customHeight="1" x14ac:dyDescent="0.15">
      <c r="A11" s="6"/>
      <c r="B11" s="57" t="s">
        <v>20</v>
      </c>
      <c r="C11" s="57"/>
      <c r="D11" s="57"/>
      <c r="E11" s="57"/>
      <c r="F11" s="57"/>
      <c r="G11" s="11" t="str">
        <f>[94]Base_01!$C$5</f>
        <v>Papua Barat Daya</v>
      </c>
      <c r="H11" s="6"/>
      <c r="I11" s="6"/>
      <c r="J11" s="6"/>
      <c r="K11" s="6"/>
      <c r="L11" s="6"/>
      <c r="M11" s="6"/>
    </row>
    <row r="12" spans="1:17" ht="15" customHeight="1" x14ac:dyDescent="0.15">
      <c r="A12" s="6"/>
      <c r="B12" s="57" t="s">
        <v>21</v>
      </c>
      <c r="C12" s="57"/>
      <c r="D12" s="57"/>
      <c r="E12" s="57"/>
      <c r="F12" s="57"/>
      <c r="G12" s="6" t="str">
        <f>VLOOKUP($N1,[94]Base_02!$A$5:$AG$24,32,0)&amp;" - "&amp;VLOOKUP($N1,[94]Base_02!$A$5:$AG$24,31,0)</f>
        <v>1600006544205 - Bank Mandiri</v>
      </c>
      <c r="H12" s="6"/>
      <c r="I12" s="6"/>
      <c r="J12" s="6"/>
      <c r="K12" s="6"/>
      <c r="L12" s="6"/>
      <c r="M12" s="6"/>
    </row>
    <row r="13" spans="1:17" ht="15" customHeight="1" x14ac:dyDescent="0.15">
      <c r="A13" s="6"/>
      <c r="B13" s="6"/>
      <c r="C13" s="6"/>
      <c r="D13" s="6"/>
      <c r="E13" s="6"/>
      <c r="F13" s="6"/>
      <c r="G13" s="6"/>
      <c r="H13" s="6"/>
      <c r="I13" s="6"/>
      <c r="J13" s="6"/>
      <c r="K13" s="6"/>
      <c r="L13" s="6"/>
      <c r="M13" s="6"/>
    </row>
    <row r="14" spans="1:17" ht="15" customHeight="1" x14ac:dyDescent="0.15">
      <c r="A14" s="8" t="s">
        <v>22</v>
      </c>
      <c r="B14" s="9" t="s">
        <v>23</v>
      </c>
      <c r="C14" s="6"/>
      <c r="D14" s="6"/>
      <c r="E14" s="6"/>
      <c r="F14" s="6"/>
      <c r="G14" s="6"/>
      <c r="H14" s="6"/>
      <c r="I14" s="6"/>
      <c r="J14" s="6"/>
      <c r="K14" s="6"/>
      <c r="L14" s="6"/>
      <c r="M14" s="6"/>
    </row>
    <row r="15" spans="1:17" ht="15" customHeight="1" x14ac:dyDescent="0.15">
      <c r="A15" s="6"/>
      <c r="B15" s="66" t="s">
        <v>30</v>
      </c>
      <c r="C15" s="66"/>
      <c r="D15" s="66"/>
      <c r="E15" s="66"/>
      <c r="F15" s="66" t="s">
        <v>31</v>
      </c>
      <c r="G15" s="66"/>
      <c r="H15" s="66"/>
      <c r="I15" s="66"/>
      <c r="J15" s="66" t="s">
        <v>32</v>
      </c>
      <c r="K15" s="66"/>
      <c r="L15" s="66"/>
      <c r="M15" s="66"/>
      <c r="O15" s="15" t="s">
        <v>61</v>
      </c>
    </row>
    <row r="16" spans="1:17" ht="15" customHeight="1" x14ac:dyDescent="0.15">
      <c r="A16" s="6"/>
      <c r="B16" s="66"/>
      <c r="C16" s="66"/>
      <c r="D16" s="66"/>
      <c r="E16" s="66"/>
      <c r="F16" s="66"/>
      <c r="G16" s="66"/>
      <c r="H16" s="66"/>
      <c r="I16" s="66"/>
      <c r="J16" s="66"/>
      <c r="K16" s="66"/>
      <c r="L16" s="66"/>
      <c r="M16" s="66"/>
      <c r="Q16" s="5" t="s">
        <v>62</v>
      </c>
    </row>
    <row r="17" spans="1:13" ht="15" customHeight="1" x14ac:dyDescent="0.15">
      <c r="A17" s="6"/>
      <c r="B17" s="66"/>
      <c r="C17" s="66"/>
      <c r="D17" s="66"/>
      <c r="E17" s="66"/>
      <c r="F17" s="66"/>
      <c r="G17" s="66"/>
      <c r="H17" s="66"/>
      <c r="I17" s="66"/>
      <c r="J17" s="66"/>
      <c r="K17" s="66"/>
      <c r="L17" s="66"/>
      <c r="M17" s="66"/>
    </row>
    <row r="18" spans="1:13" ht="15" customHeight="1" x14ac:dyDescent="0.15">
      <c r="A18" s="6"/>
      <c r="B18" s="66"/>
      <c r="C18" s="66"/>
      <c r="D18" s="66"/>
      <c r="E18" s="66"/>
      <c r="F18" s="66"/>
      <c r="G18" s="66"/>
      <c r="H18" s="66"/>
      <c r="I18" s="66"/>
      <c r="J18" s="66"/>
      <c r="K18" s="66"/>
      <c r="L18" s="66"/>
      <c r="M18" s="66"/>
    </row>
    <row r="19" spans="1:13" ht="15" customHeight="1" x14ac:dyDescent="0.15">
      <c r="A19" s="6"/>
      <c r="B19" s="66"/>
      <c r="C19" s="66"/>
      <c r="D19" s="66"/>
      <c r="E19" s="66"/>
      <c r="F19" s="66"/>
      <c r="G19" s="66"/>
      <c r="H19" s="66"/>
      <c r="I19" s="66"/>
      <c r="J19" s="66"/>
      <c r="K19" s="66"/>
      <c r="L19" s="66"/>
      <c r="M19" s="66"/>
    </row>
    <row r="20" spans="1:13" ht="15" customHeight="1" x14ac:dyDescent="0.15">
      <c r="A20" s="6"/>
      <c r="B20" s="66"/>
      <c r="C20" s="66"/>
      <c r="D20" s="66"/>
      <c r="E20" s="66"/>
      <c r="F20" s="66"/>
      <c r="G20" s="66"/>
      <c r="H20" s="66"/>
      <c r="I20" s="66"/>
      <c r="J20" s="66"/>
      <c r="K20" s="66"/>
      <c r="L20" s="66"/>
      <c r="M20" s="66"/>
    </row>
    <row r="21" spans="1:13" ht="15" customHeight="1" x14ac:dyDescent="0.15">
      <c r="A21" s="6"/>
      <c r="B21" s="6"/>
      <c r="C21" s="6"/>
      <c r="D21" s="6"/>
      <c r="E21" s="6"/>
      <c r="F21" s="6"/>
      <c r="G21" s="6"/>
      <c r="H21" s="6"/>
      <c r="I21" s="6"/>
      <c r="J21" s="6"/>
      <c r="K21" s="6"/>
      <c r="L21" s="6"/>
      <c r="M21" s="6"/>
    </row>
    <row r="22" spans="1:13" ht="15" customHeight="1" x14ac:dyDescent="0.15">
      <c r="A22" s="8" t="s">
        <v>24</v>
      </c>
      <c r="B22" s="9" t="s">
        <v>25</v>
      </c>
      <c r="C22" s="6"/>
      <c r="D22" s="6"/>
      <c r="E22" s="6"/>
      <c r="F22" s="6"/>
      <c r="G22" s="6"/>
      <c r="H22" s="6"/>
      <c r="I22" s="6"/>
      <c r="J22" s="6"/>
      <c r="K22" s="6"/>
      <c r="L22" s="6"/>
      <c r="M22" s="6"/>
    </row>
    <row r="23" spans="1:13" ht="15" customHeight="1" x14ac:dyDescent="0.15">
      <c r="A23" s="12"/>
      <c r="B23" s="66" t="s">
        <v>35</v>
      </c>
      <c r="C23" s="66"/>
      <c r="D23" s="66"/>
      <c r="E23" s="66"/>
      <c r="F23" s="66"/>
      <c r="G23" s="66"/>
      <c r="H23" s="66" t="s">
        <v>36</v>
      </c>
      <c r="I23" s="66"/>
      <c r="J23" s="66"/>
      <c r="K23" s="66"/>
      <c r="L23" s="66"/>
      <c r="M23" s="66"/>
    </row>
    <row r="24" spans="1:13" ht="15" customHeight="1" x14ac:dyDescent="0.15">
      <c r="A24" s="6"/>
      <c r="B24" s="66"/>
      <c r="C24" s="66"/>
      <c r="D24" s="66"/>
      <c r="E24" s="66"/>
      <c r="F24" s="66"/>
      <c r="G24" s="66"/>
      <c r="H24" s="66"/>
      <c r="I24" s="66"/>
      <c r="J24" s="66"/>
      <c r="K24" s="66"/>
      <c r="L24" s="66"/>
      <c r="M24" s="66"/>
    </row>
    <row r="25" spans="1:13" ht="15" customHeight="1" x14ac:dyDescent="0.15">
      <c r="A25" s="6"/>
      <c r="B25" s="66"/>
      <c r="C25" s="66"/>
      <c r="D25" s="66"/>
      <c r="E25" s="66"/>
      <c r="F25" s="66"/>
      <c r="G25" s="66"/>
      <c r="H25" s="66"/>
      <c r="I25" s="66"/>
      <c r="J25" s="66"/>
      <c r="K25" s="66"/>
      <c r="L25" s="66"/>
      <c r="M25" s="66"/>
    </row>
    <row r="26" spans="1:13" ht="15" customHeight="1" x14ac:dyDescent="0.15">
      <c r="A26" s="6"/>
      <c r="B26" s="66"/>
      <c r="C26" s="66"/>
      <c r="D26" s="66"/>
      <c r="E26" s="66"/>
      <c r="F26" s="66"/>
      <c r="G26" s="66"/>
      <c r="H26" s="66"/>
      <c r="I26" s="66"/>
      <c r="J26" s="66"/>
      <c r="K26" s="66"/>
      <c r="L26" s="66"/>
      <c r="M26" s="66"/>
    </row>
    <row r="27" spans="1:13" ht="15" customHeight="1" x14ac:dyDescent="0.15">
      <c r="A27" s="6"/>
      <c r="B27" s="66"/>
      <c r="C27" s="66"/>
      <c r="D27" s="66"/>
      <c r="E27" s="66"/>
      <c r="F27" s="66"/>
      <c r="G27" s="66"/>
      <c r="H27" s="66"/>
      <c r="I27" s="66"/>
      <c r="J27" s="66"/>
      <c r="K27" s="66"/>
      <c r="L27" s="66"/>
      <c r="M27" s="66"/>
    </row>
    <row r="28" spans="1:13" ht="15" customHeight="1" x14ac:dyDescent="0.15">
      <c r="A28" s="6"/>
      <c r="B28" s="66"/>
      <c r="C28" s="66"/>
      <c r="D28" s="66"/>
      <c r="E28" s="66"/>
      <c r="F28" s="66"/>
      <c r="G28" s="66"/>
      <c r="H28" s="66"/>
      <c r="I28" s="66"/>
      <c r="J28" s="66"/>
      <c r="K28" s="66"/>
      <c r="L28" s="66"/>
      <c r="M28" s="66"/>
    </row>
    <row r="29" spans="1:13" ht="15" customHeight="1" x14ac:dyDescent="0.15">
      <c r="A29" s="6"/>
      <c r="B29" s="66"/>
      <c r="C29" s="66"/>
      <c r="D29" s="66"/>
      <c r="E29" s="66"/>
      <c r="F29" s="66"/>
      <c r="G29" s="66"/>
      <c r="H29" s="66"/>
      <c r="I29" s="66"/>
      <c r="J29" s="66"/>
      <c r="K29" s="66"/>
      <c r="L29" s="66"/>
      <c r="M29" s="66"/>
    </row>
    <row r="30" spans="1:13" ht="15" customHeight="1" x14ac:dyDescent="0.15">
      <c r="A30" s="6"/>
      <c r="B30" s="66"/>
      <c r="C30" s="66"/>
      <c r="D30" s="66"/>
      <c r="E30" s="66"/>
      <c r="F30" s="66"/>
      <c r="G30" s="66"/>
      <c r="H30" s="66"/>
      <c r="I30" s="66"/>
      <c r="J30" s="66"/>
      <c r="K30" s="66"/>
      <c r="L30" s="66"/>
      <c r="M30" s="66"/>
    </row>
    <row r="31" spans="1:13" ht="15" customHeight="1" x14ac:dyDescent="0.15">
      <c r="A31" s="6"/>
      <c r="B31" s="6"/>
      <c r="C31" s="6"/>
      <c r="D31" s="6"/>
      <c r="E31" s="6"/>
      <c r="F31" s="6"/>
      <c r="G31" s="6"/>
      <c r="H31" s="6"/>
      <c r="I31" s="6"/>
      <c r="J31" s="6"/>
      <c r="K31" s="6"/>
      <c r="L31" s="6"/>
      <c r="M31" s="6"/>
    </row>
    <row r="32" spans="1:13" ht="15" customHeight="1" x14ac:dyDescent="0.15">
      <c r="A32" s="8" t="s">
        <v>26</v>
      </c>
      <c r="B32" s="9" t="s">
        <v>27</v>
      </c>
      <c r="C32" s="6"/>
      <c r="D32" s="6"/>
      <c r="E32" s="6"/>
      <c r="F32" s="6"/>
      <c r="G32" s="6"/>
      <c r="H32" s="6"/>
      <c r="I32" s="6"/>
      <c r="J32" s="6"/>
      <c r="K32" s="6"/>
      <c r="L32" s="6"/>
      <c r="M32" s="6"/>
    </row>
    <row r="33" spans="1:13" ht="15" customHeight="1" x14ac:dyDescent="0.15">
      <c r="A33" s="12"/>
      <c r="B33" s="66" t="s">
        <v>30</v>
      </c>
      <c r="C33" s="66"/>
      <c r="D33" s="66"/>
      <c r="E33" s="66"/>
      <c r="F33" s="66" t="s">
        <v>33</v>
      </c>
      <c r="G33" s="66"/>
      <c r="H33" s="66"/>
      <c r="I33" s="66"/>
      <c r="J33" s="66" t="s">
        <v>34</v>
      </c>
      <c r="K33" s="66"/>
      <c r="L33" s="66"/>
      <c r="M33" s="66"/>
    </row>
    <row r="34" spans="1:13" ht="15" customHeight="1" x14ac:dyDescent="0.15">
      <c r="A34" s="6"/>
      <c r="B34" s="66"/>
      <c r="C34" s="66"/>
      <c r="D34" s="66"/>
      <c r="E34" s="66"/>
      <c r="F34" s="66"/>
      <c r="G34" s="66"/>
      <c r="H34" s="66"/>
      <c r="I34" s="66"/>
      <c r="J34" s="66"/>
      <c r="K34" s="66"/>
      <c r="L34" s="66"/>
      <c r="M34" s="66"/>
    </row>
    <row r="35" spans="1:13" ht="15" customHeight="1" x14ac:dyDescent="0.15">
      <c r="A35" s="6"/>
      <c r="B35" s="66"/>
      <c r="C35" s="66"/>
      <c r="D35" s="66"/>
      <c r="E35" s="66"/>
      <c r="F35" s="66"/>
      <c r="G35" s="66"/>
      <c r="H35" s="66"/>
      <c r="I35" s="66"/>
      <c r="J35" s="66"/>
      <c r="K35" s="66"/>
      <c r="L35" s="66"/>
      <c r="M35" s="66"/>
    </row>
    <row r="36" spans="1:13" ht="15" customHeight="1" x14ac:dyDescent="0.15">
      <c r="A36" s="6"/>
      <c r="B36" s="66"/>
      <c r="C36" s="66"/>
      <c r="D36" s="66"/>
      <c r="E36" s="66"/>
      <c r="F36" s="66"/>
      <c r="G36" s="66"/>
      <c r="H36" s="66"/>
      <c r="I36" s="66"/>
      <c r="J36" s="66"/>
      <c r="K36" s="66"/>
      <c r="L36" s="66"/>
      <c r="M36" s="66"/>
    </row>
    <row r="37" spans="1:13" ht="15" customHeight="1" x14ac:dyDescent="0.15">
      <c r="A37" s="6"/>
      <c r="B37" s="66"/>
      <c r="C37" s="66"/>
      <c r="D37" s="66"/>
      <c r="E37" s="66"/>
      <c r="F37" s="66"/>
      <c r="G37" s="66"/>
      <c r="H37" s="66"/>
      <c r="I37" s="66"/>
      <c r="J37" s="66"/>
      <c r="K37" s="66"/>
      <c r="L37" s="66"/>
      <c r="M37" s="66"/>
    </row>
    <row r="38" spans="1:13" ht="15" customHeight="1" x14ac:dyDescent="0.15">
      <c r="A38" s="6"/>
      <c r="B38" s="66"/>
      <c r="C38" s="66"/>
      <c r="D38" s="66"/>
      <c r="E38" s="66"/>
      <c r="F38" s="66"/>
      <c r="G38" s="66"/>
      <c r="H38" s="66"/>
      <c r="I38" s="66"/>
      <c r="J38" s="66"/>
      <c r="K38" s="66"/>
      <c r="L38" s="66"/>
      <c r="M38" s="66"/>
    </row>
    <row r="39" spans="1:13" ht="15" customHeight="1" x14ac:dyDescent="0.15">
      <c r="A39" s="6"/>
      <c r="B39" s="6"/>
      <c r="C39" s="6"/>
      <c r="D39" s="6"/>
      <c r="E39" s="6"/>
      <c r="F39" s="6"/>
      <c r="G39" s="6"/>
      <c r="H39" s="6"/>
      <c r="I39" s="6"/>
      <c r="J39" s="6"/>
      <c r="K39" s="6"/>
      <c r="L39" s="6"/>
      <c r="M39" s="6"/>
    </row>
    <row r="40" spans="1:13" ht="15" customHeight="1" x14ac:dyDescent="0.15">
      <c r="A40" s="8" t="s">
        <v>28</v>
      </c>
      <c r="B40" s="9" t="s">
        <v>29</v>
      </c>
      <c r="C40" s="6"/>
      <c r="D40" s="6"/>
      <c r="E40" s="6"/>
      <c r="F40" s="6"/>
      <c r="G40" s="6"/>
      <c r="H40" s="6"/>
      <c r="I40" s="6"/>
      <c r="J40" s="6"/>
      <c r="K40" s="6"/>
      <c r="L40" s="6"/>
      <c r="M40" s="6"/>
    </row>
    <row r="41" spans="1:13" ht="15" customHeight="1" x14ac:dyDescent="0.15">
      <c r="A41" s="6"/>
      <c r="B41" s="6" t="s">
        <v>37</v>
      </c>
      <c r="C41" s="6"/>
      <c r="D41" s="6"/>
      <c r="E41" s="6"/>
      <c r="F41" s="6"/>
      <c r="G41" s="6"/>
      <c r="H41" s="6"/>
      <c r="I41" s="6"/>
      <c r="J41" s="6"/>
      <c r="K41" s="6"/>
      <c r="L41" s="6"/>
      <c r="M41" s="6"/>
    </row>
    <row r="42" spans="1:13" ht="15" customHeight="1" x14ac:dyDescent="0.15">
      <c r="A42" s="6"/>
      <c r="B42" s="6" t="s">
        <v>38</v>
      </c>
      <c r="C42" s="65" t="s">
        <v>41</v>
      </c>
      <c r="D42" s="65"/>
      <c r="E42" s="65"/>
      <c r="F42" s="65"/>
      <c r="G42" s="65"/>
      <c r="H42" s="65"/>
      <c r="I42" s="65"/>
      <c r="J42" s="65"/>
      <c r="K42" s="65"/>
      <c r="L42" s="65"/>
      <c r="M42" s="65"/>
    </row>
    <row r="43" spans="1:13" ht="15" customHeight="1" x14ac:dyDescent="0.15">
      <c r="A43" s="6"/>
      <c r="B43" s="6"/>
      <c r="C43" s="65"/>
      <c r="D43" s="65"/>
      <c r="E43" s="65"/>
      <c r="F43" s="65"/>
      <c r="G43" s="65"/>
      <c r="H43" s="65"/>
      <c r="I43" s="65"/>
      <c r="J43" s="65"/>
      <c r="K43" s="65"/>
      <c r="L43" s="65"/>
      <c r="M43" s="65"/>
    </row>
    <row r="44" spans="1:13" ht="15" customHeight="1" x14ac:dyDescent="0.15">
      <c r="A44" s="6"/>
      <c r="B44" s="6" t="s">
        <v>39</v>
      </c>
      <c r="C44" s="64" t="s">
        <v>40</v>
      </c>
      <c r="D44" s="64"/>
      <c r="E44" s="64"/>
      <c r="F44" s="64"/>
      <c r="G44" s="64"/>
      <c r="H44" s="64"/>
      <c r="I44" s="64"/>
      <c r="J44" s="64"/>
      <c r="K44" s="64"/>
      <c r="L44" s="64"/>
      <c r="M44" s="64"/>
    </row>
    <row r="45" spans="1:13" ht="15" customHeight="1" x14ac:dyDescent="0.15">
      <c r="A45" s="6"/>
      <c r="B45" s="6" t="s">
        <v>42</v>
      </c>
      <c r="C45" s="64" t="s">
        <v>43</v>
      </c>
      <c r="D45" s="64"/>
      <c r="E45" s="64"/>
      <c r="F45" s="64"/>
      <c r="G45" s="64"/>
      <c r="H45" s="64"/>
      <c r="I45" s="64"/>
      <c r="J45" s="64"/>
      <c r="K45" s="64"/>
      <c r="L45" s="64"/>
      <c r="M45" s="64"/>
    </row>
    <row r="46" spans="1:13" ht="15" customHeight="1" x14ac:dyDescent="0.15">
      <c r="A46" s="6"/>
      <c r="B46" s="6" t="s">
        <v>44</v>
      </c>
      <c r="C46" s="64" t="s">
        <v>45</v>
      </c>
      <c r="D46" s="64"/>
      <c r="E46" s="64"/>
      <c r="F46" s="64"/>
      <c r="G46" s="64"/>
      <c r="H46" s="64"/>
      <c r="I46" s="64"/>
      <c r="J46" s="64"/>
      <c r="K46" s="64"/>
      <c r="L46" s="64"/>
      <c r="M46" s="64"/>
    </row>
    <row r="47" spans="1:13" ht="15" customHeight="1" x14ac:dyDescent="0.15">
      <c r="A47" s="6"/>
      <c r="B47" s="6" t="s">
        <v>46</v>
      </c>
      <c r="C47" s="64" t="s">
        <v>47</v>
      </c>
      <c r="D47" s="64"/>
      <c r="E47" s="64"/>
      <c r="F47" s="64"/>
      <c r="G47" s="64"/>
      <c r="H47" s="64"/>
      <c r="I47" s="64"/>
      <c r="J47" s="64"/>
      <c r="K47" s="64"/>
      <c r="L47" s="64"/>
      <c r="M47" s="64"/>
    </row>
    <row r="48" spans="1:13" ht="15" customHeight="1" x14ac:dyDescent="0.15">
      <c r="A48" s="6"/>
      <c r="B48" s="6" t="s">
        <v>50</v>
      </c>
      <c r="C48" s="64" t="s">
        <v>48</v>
      </c>
      <c r="D48" s="64"/>
      <c r="E48" s="64"/>
      <c r="F48" s="64"/>
      <c r="G48" s="64"/>
      <c r="H48" s="64"/>
      <c r="I48" s="64"/>
      <c r="J48" s="64"/>
      <c r="K48" s="64"/>
      <c r="L48" s="64"/>
      <c r="M48" s="64"/>
    </row>
    <row r="49" spans="1:14" ht="15" customHeight="1" x14ac:dyDescent="0.15">
      <c r="A49" s="6"/>
      <c r="B49" s="6" t="s">
        <v>51</v>
      </c>
      <c r="C49" s="64" t="s">
        <v>49</v>
      </c>
      <c r="D49" s="64"/>
      <c r="E49" s="64"/>
      <c r="F49" s="64"/>
      <c r="G49" s="64"/>
      <c r="H49" s="64"/>
      <c r="I49" s="64"/>
      <c r="J49" s="64"/>
      <c r="K49" s="64"/>
      <c r="L49" s="64"/>
      <c r="M49" s="64"/>
    </row>
    <row r="50" spans="1:14" ht="15" customHeight="1" x14ac:dyDescent="0.15">
      <c r="A50" s="6"/>
      <c r="B50" s="6" t="s">
        <v>52</v>
      </c>
      <c r="C50" s="64" t="s">
        <v>154</v>
      </c>
      <c r="D50" s="64"/>
      <c r="E50" s="64"/>
      <c r="F50" s="64"/>
      <c r="G50" s="64"/>
      <c r="H50" s="64"/>
      <c r="I50" s="64"/>
      <c r="J50" s="64"/>
      <c r="K50" s="64"/>
      <c r="L50" s="64"/>
      <c r="M50" s="64"/>
    </row>
    <row r="51" spans="1:14" ht="15" customHeight="1" x14ac:dyDescent="0.15">
      <c r="A51" s="6"/>
      <c r="B51" s="6" t="s">
        <v>53</v>
      </c>
      <c r="C51" s="65" t="s">
        <v>54</v>
      </c>
      <c r="D51" s="65"/>
      <c r="E51" s="65"/>
      <c r="F51" s="65"/>
      <c r="G51" s="65"/>
      <c r="H51" s="65"/>
      <c r="I51" s="65"/>
      <c r="J51" s="65"/>
      <c r="K51" s="65"/>
      <c r="L51" s="65"/>
      <c r="M51" s="65"/>
    </row>
    <row r="52" spans="1:14" ht="15" customHeight="1" x14ac:dyDescent="0.15">
      <c r="A52" s="6"/>
      <c r="B52" s="6"/>
      <c r="C52" s="65"/>
      <c r="D52" s="65"/>
      <c r="E52" s="65"/>
      <c r="F52" s="65"/>
      <c r="G52" s="65"/>
      <c r="H52" s="65"/>
      <c r="I52" s="65"/>
      <c r="J52" s="65"/>
      <c r="K52" s="65"/>
      <c r="L52" s="65"/>
      <c r="M52" s="65"/>
    </row>
    <row r="53" spans="1:14" ht="15" customHeight="1" x14ac:dyDescent="0.15">
      <c r="A53" s="6"/>
      <c r="B53" s="6"/>
      <c r="C53" s="6"/>
      <c r="D53" s="6"/>
      <c r="E53" s="6"/>
      <c r="F53" s="6"/>
      <c r="G53" s="6"/>
      <c r="H53" s="6"/>
      <c r="I53" s="6"/>
      <c r="J53" s="6"/>
      <c r="K53" s="6"/>
      <c r="L53" s="6"/>
      <c r="M53" s="6"/>
    </row>
    <row r="54" spans="1:14" ht="15" customHeight="1" x14ac:dyDescent="0.15">
      <c r="A54" s="6"/>
      <c r="B54" s="6"/>
      <c r="C54" s="6"/>
      <c r="D54" s="6"/>
      <c r="E54" s="6"/>
      <c r="F54" s="6"/>
      <c r="G54" s="6"/>
      <c r="H54" s="6"/>
      <c r="I54" s="6"/>
      <c r="J54" s="6"/>
      <c r="K54" s="6"/>
      <c r="L54" s="6"/>
      <c r="M54" s="13" t="str">
        <f>[94]Base_01!$C$4&amp;", …..  …........................  2026"</f>
        <v>Sorong, …..  …........................  2026</v>
      </c>
    </row>
    <row r="55" spans="1:14" ht="15" customHeight="1" x14ac:dyDescent="0.15">
      <c r="A55" s="6"/>
      <c r="B55" s="6"/>
      <c r="C55" s="6"/>
      <c r="D55" s="6"/>
      <c r="E55" s="6"/>
      <c r="F55" s="6"/>
      <c r="G55" s="6"/>
      <c r="H55" s="6"/>
      <c r="I55" s="6"/>
      <c r="J55" s="6"/>
      <c r="K55" s="6"/>
      <c r="L55" s="6"/>
      <c r="M55" s="6"/>
    </row>
    <row r="56" spans="1:14" ht="15" customHeight="1" x14ac:dyDescent="0.15">
      <c r="A56" s="6"/>
      <c r="B56" s="63" t="s">
        <v>57</v>
      </c>
      <c r="C56" s="63"/>
      <c r="D56" s="63"/>
      <c r="E56" s="63"/>
      <c r="F56" s="63" t="s">
        <v>56</v>
      </c>
      <c r="G56" s="63"/>
      <c r="H56" s="63"/>
      <c r="I56" s="63"/>
      <c r="J56" s="6"/>
      <c r="K56" s="6"/>
      <c r="L56" s="6"/>
      <c r="M56" s="6"/>
    </row>
    <row r="57" spans="1:14" ht="15" customHeight="1" x14ac:dyDescent="0.15">
      <c r="A57" s="6"/>
      <c r="B57" s="63" t="s">
        <v>60</v>
      </c>
      <c r="C57" s="63"/>
      <c r="D57" s="63"/>
      <c r="E57" s="63"/>
      <c r="F57" s="63" t="s">
        <v>58</v>
      </c>
      <c r="G57" s="63"/>
      <c r="H57" s="63"/>
      <c r="I57" s="63"/>
      <c r="J57" s="63" t="s">
        <v>55</v>
      </c>
      <c r="K57" s="63"/>
      <c r="L57" s="63"/>
      <c r="M57" s="63"/>
    </row>
    <row r="58" spans="1:14" ht="15" customHeight="1" x14ac:dyDescent="0.15">
      <c r="A58" s="6"/>
      <c r="B58" s="63" t="str">
        <f>[94]Base_01!$B$4&amp;" "&amp;[94]Base_01!$C$4</f>
        <v>Kota Sorong</v>
      </c>
      <c r="C58" s="63"/>
      <c r="D58" s="63"/>
      <c r="E58" s="63"/>
      <c r="F58" s="63" t="s">
        <v>59</v>
      </c>
      <c r="G58" s="63"/>
      <c r="H58" s="63"/>
      <c r="I58" s="63"/>
      <c r="J58" s="6"/>
      <c r="K58" s="6"/>
      <c r="L58" s="6"/>
      <c r="M58" s="6"/>
    </row>
    <row r="59" spans="1:14" ht="15" customHeight="1" x14ac:dyDescent="0.15">
      <c r="A59" s="6"/>
      <c r="B59" s="14"/>
      <c r="C59" s="14"/>
      <c r="D59" s="14"/>
      <c r="E59" s="14"/>
      <c r="F59" s="14"/>
      <c r="G59" s="14"/>
      <c r="H59" s="14"/>
      <c r="I59" s="6"/>
      <c r="J59" s="6"/>
      <c r="K59" s="6"/>
      <c r="L59" s="6"/>
      <c r="M59" s="6"/>
    </row>
    <row r="60" spans="1:14" ht="15" customHeight="1" x14ac:dyDescent="0.15">
      <c r="A60" s="6"/>
      <c r="B60" s="14"/>
      <c r="C60" s="14"/>
      <c r="D60" s="14"/>
      <c r="E60" s="14"/>
      <c r="F60" s="14"/>
      <c r="G60" s="14"/>
      <c r="H60" s="14"/>
      <c r="I60" s="6"/>
      <c r="J60" s="6"/>
      <c r="K60" s="6"/>
      <c r="L60" s="6"/>
      <c r="M60" s="6"/>
    </row>
    <row r="61" spans="1:14" ht="15" customHeight="1" x14ac:dyDescent="0.15">
      <c r="A61" s="6"/>
      <c r="B61" s="6"/>
      <c r="C61" s="6"/>
      <c r="D61" s="6"/>
      <c r="E61" s="6"/>
      <c r="F61" s="6"/>
      <c r="G61" s="6"/>
      <c r="H61" s="6"/>
      <c r="I61" s="6"/>
      <c r="J61" s="6"/>
      <c r="K61" s="6"/>
      <c r="L61" s="6"/>
      <c r="M61" s="6"/>
    </row>
    <row r="62" spans="1:14" ht="15" customHeight="1" x14ac:dyDescent="0.15">
      <c r="A62" s="6"/>
      <c r="B62" s="6"/>
      <c r="C62" s="6"/>
      <c r="D62" s="6"/>
      <c r="E62" s="6"/>
      <c r="F62" s="6"/>
      <c r="G62" s="6"/>
      <c r="H62" s="6"/>
      <c r="I62" s="6"/>
      <c r="J62" s="6"/>
      <c r="K62" s="6"/>
      <c r="L62" s="6"/>
      <c r="M62" s="6"/>
    </row>
    <row r="63" spans="1:14" ht="15" customHeight="1" x14ac:dyDescent="0.15">
      <c r="A63" s="6"/>
      <c r="B63" s="63" t="str">
        <f>[94]Base_01!$C$17</f>
        <v>AfrIandi Yudhistira, S.T.</v>
      </c>
      <c r="C63" s="63"/>
      <c r="D63" s="63"/>
      <c r="E63" s="63"/>
      <c r="F63" s="63" t="str">
        <f>[94]Base_01!$C$20</f>
        <v>…...............         …...............</v>
      </c>
      <c r="G63" s="63"/>
      <c r="H63" s="63"/>
      <c r="I63" s="63"/>
      <c r="J63" s="63" t="str">
        <f>G5</f>
        <v>Nama PB 1</v>
      </c>
      <c r="K63" s="63"/>
      <c r="L63" s="63"/>
      <c r="M63" s="63"/>
    </row>
    <row r="64" spans="1:14" ht="16" customHeight="1" x14ac:dyDescent="0.15">
      <c r="A64" s="67" t="s">
        <v>14</v>
      </c>
      <c r="B64" s="67"/>
      <c r="C64" s="67"/>
      <c r="D64" s="67"/>
      <c r="E64" s="67"/>
      <c r="F64" s="67"/>
      <c r="G64" s="67"/>
      <c r="H64" s="67"/>
      <c r="I64" s="67"/>
      <c r="J64" s="67"/>
      <c r="K64" s="67"/>
      <c r="L64" s="67"/>
      <c r="M64" s="67"/>
      <c r="N64" s="5">
        <f>N1+1</f>
        <v>2</v>
      </c>
    </row>
    <row r="65" spans="1:17" ht="16" customHeight="1" x14ac:dyDescent="0.15">
      <c r="A65" s="67" t="str">
        <f>"NOMOR "&amp;VLOOKUP($N64,[94]Base_02!$A$5:$AD$24,2,0)</f>
        <v>NOMOR 000002</v>
      </c>
      <c r="B65" s="67"/>
      <c r="C65" s="67"/>
      <c r="D65" s="67"/>
      <c r="E65" s="67"/>
      <c r="F65" s="67"/>
      <c r="G65" s="67"/>
      <c r="H65" s="67"/>
      <c r="I65" s="67"/>
      <c r="J65" s="67"/>
      <c r="K65" s="67"/>
      <c r="L65" s="67"/>
      <c r="M65" s="67"/>
    </row>
    <row r="66" spans="1:17" x14ac:dyDescent="0.15">
      <c r="A66" s="6"/>
      <c r="B66" s="7"/>
      <c r="C66" s="7"/>
      <c r="D66" s="7"/>
      <c r="E66" s="7"/>
      <c r="F66" s="7"/>
      <c r="G66" s="7"/>
      <c r="H66" s="7"/>
      <c r="I66" s="7"/>
      <c r="J66" s="7"/>
      <c r="K66" s="6"/>
      <c r="L66" s="6"/>
      <c r="M66" s="6"/>
    </row>
    <row r="67" spans="1:17" ht="15" customHeight="1" x14ac:dyDescent="0.15">
      <c r="A67" s="8" t="s">
        <v>13</v>
      </c>
      <c r="B67" s="9" t="s">
        <v>15</v>
      </c>
      <c r="C67" s="6"/>
      <c r="D67" s="6"/>
      <c r="E67" s="6"/>
      <c r="F67" s="6"/>
      <c r="G67" s="6"/>
      <c r="H67" s="6"/>
      <c r="I67" s="6"/>
      <c r="J67" s="6"/>
      <c r="K67" s="6"/>
      <c r="L67" s="6"/>
      <c r="M67" s="6"/>
    </row>
    <row r="68" spans="1:17" ht="15" customHeight="1" x14ac:dyDescent="0.15">
      <c r="A68" s="6"/>
      <c r="B68" s="57" t="s">
        <v>16</v>
      </c>
      <c r="C68" s="57"/>
      <c r="D68" s="57"/>
      <c r="E68" s="57"/>
      <c r="F68" s="57"/>
      <c r="G68" s="6" t="str">
        <f>VLOOKUP($N64,[94]Base_02!$A$5:$AD$24,3,0)</f>
        <v>Nama PB 2</v>
      </c>
      <c r="H68" s="6"/>
      <c r="I68" s="6"/>
      <c r="J68" s="6"/>
      <c r="K68" s="6"/>
      <c r="L68" s="6"/>
      <c r="M68" s="6"/>
    </row>
    <row r="69" spans="1:17" ht="15" customHeight="1" x14ac:dyDescent="0.15">
      <c r="A69" s="6"/>
      <c r="B69" s="57" t="s">
        <v>17</v>
      </c>
      <c r="C69" s="57"/>
      <c r="D69" s="57"/>
      <c r="E69" s="57"/>
      <c r="F69" s="57"/>
      <c r="G69" s="6" t="str">
        <f>VLOOKUP($N64,[94]Base_02!$A$5:$AD$24,14,0)</f>
        <v>3304160101810004</v>
      </c>
      <c r="H69" s="6"/>
      <c r="I69" s="6"/>
      <c r="J69" s="6"/>
      <c r="K69" s="6"/>
      <c r="L69" s="6"/>
      <c r="M69" s="6"/>
    </row>
    <row r="70" spans="1:17" ht="15" customHeight="1" x14ac:dyDescent="0.15">
      <c r="A70" s="6"/>
      <c r="B70" s="57" t="s">
        <v>18</v>
      </c>
      <c r="C70" s="57"/>
      <c r="D70" s="57"/>
      <c r="E70" s="57"/>
      <c r="F70" s="57"/>
      <c r="G70" s="6" t="str">
        <f>VLOOKUP(N64,[94]Base_02!$A$5:$Z$24,11,FALSE)&amp;", RT "&amp;VLOOKUP(N64,[94]Base_02!$A$5:$Z$24,12,FALSE)&amp;", RW "&amp;VLOOKUP(N64,[94]Base_02!$A$5:$Z$24,13,FALSE)</f>
        <v>Jalan Kanal Victory, RT 1, RW 1</v>
      </c>
      <c r="H70" s="6"/>
      <c r="I70" s="6"/>
      <c r="J70" s="6"/>
      <c r="K70" s="6"/>
      <c r="L70" s="6"/>
      <c r="M70" s="6"/>
    </row>
    <row r="71" spans="1:17" ht="15" customHeight="1" x14ac:dyDescent="0.15">
      <c r="A71" s="6"/>
      <c r="B71" s="57" t="str">
        <f>[94]Base_01!$B$2</f>
        <v>Kelurahan</v>
      </c>
      <c r="C71" s="57"/>
      <c r="D71" s="57"/>
      <c r="E71" s="57"/>
      <c r="F71" s="57"/>
      <c r="G71" s="10" t="str">
        <f>[94]Base_01!$C$2</f>
        <v>Klasabi</v>
      </c>
      <c r="H71" s="6"/>
      <c r="I71" s="6"/>
      <c r="J71" s="6"/>
      <c r="K71" s="6"/>
      <c r="L71" s="6"/>
      <c r="M71" s="6"/>
    </row>
    <row r="72" spans="1:17" ht="15" customHeight="1" x14ac:dyDescent="0.15">
      <c r="A72" s="6"/>
      <c r="B72" s="57" t="s">
        <v>19</v>
      </c>
      <c r="C72" s="57"/>
      <c r="D72" s="57"/>
      <c r="E72" s="57"/>
      <c r="F72" s="57"/>
      <c r="G72" s="10" t="str">
        <f>[94]Base_01!$C$3</f>
        <v>Sorong Manoi</v>
      </c>
      <c r="H72" s="6"/>
      <c r="I72" s="6"/>
      <c r="J72" s="6"/>
      <c r="K72" s="6"/>
      <c r="L72" s="6"/>
      <c r="M72" s="6"/>
    </row>
    <row r="73" spans="1:17" ht="15" customHeight="1" x14ac:dyDescent="0.15">
      <c r="A73" s="6"/>
      <c r="B73" s="57" t="str">
        <f>[94]Base_01!$B$4</f>
        <v>Kota</v>
      </c>
      <c r="C73" s="57"/>
      <c r="D73" s="57"/>
      <c r="E73" s="57"/>
      <c r="F73" s="57"/>
      <c r="G73" s="10" t="str">
        <f>[94]Base_01!$C$4</f>
        <v>Sorong</v>
      </c>
      <c r="H73" s="6"/>
      <c r="I73" s="6"/>
      <c r="J73" s="6"/>
      <c r="K73" s="6"/>
      <c r="L73" s="6"/>
      <c r="M73" s="6"/>
    </row>
    <row r="74" spans="1:17" ht="15" customHeight="1" x14ac:dyDescent="0.15">
      <c r="A74" s="6"/>
      <c r="B74" s="57" t="s">
        <v>20</v>
      </c>
      <c r="C74" s="57"/>
      <c r="D74" s="57"/>
      <c r="E74" s="57"/>
      <c r="F74" s="57"/>
      <c r="G74" s="11" t="str">
        <f>[94]Base_01!$C$5</f>
        <v>Papua Barat Daya</v>
      </c>
      <c r="H74" s="6"/>
      <c r="I74" s="6"/>
      <c r="J74" s="6"/>
      <c r="K74" s="6"/>
      <c r="L74" s="6"/>
      <c r="M74" s="6"/>
    </row>
    <row r="75" spans="1:17" ht="15" customHeight="1" x14ac:dyDescent="0.15">
      <c r="A75" s="6"/>
      <c r="B75" s="57" t="s">
        <v>21</v>
      </c>
      <c r="C75" s="57"/>
      <c r="D75" s="57"/>
      <c r="E75" s="57"/>
      <c r="F75" s="57"/>
      <c r="G75" s="6" t="str">
        <f>VLOOKUP($N64,[94]Base_02!$A$5:$AG$24,32,0)&amp;" - "&amp;VLOOKUP($N64,[94]Base_02!$A$5:$AG$24,31,0)</f>
        <v>1600006544213 - Bank Mandiri</v>
      </c>
      <c r="H75" s="6"/>
      <c r="I75" s="6"/>
      <c r="J75" s="6"/>
      <c r="K75" s="6"/>
      <c r="L75" s="6"/>
      <c r="M75" s="6"/>
    </row>
    <row r="76" spans="1:17" ht="15" customHeight="1" x14ac:dyDescent="0.15">
      <c r="A76" s="6"/>
      <c r="B76" s="6"/>
      <c r="C76" s="6"/>
      <c r="D76" s="6"/>
      <c r="E76" s="6"/>
      <c r="F76" s="6"/>
      <c r="G76" s="6"/>
      <c r="H76" s="6"/>
      <c r="I76" s="6"/>
      <c r="J76" s="6"/>
      <c r="K76" s="6"/>
      <c r="L76" s="6"/>
      <c r="M76" s="6"/>
    </row>
    <row r="77" spans="1:17" ht="15" customHeight="1" x14ac:dyDescent="0.15">
      <c r="A77" s="8" t="s">
        <v>22</v>
      </c>
      <c r="B77" s="9" t="s">
        <v>23</v>
      </c>
      <c r="C77" s="6"/>
      <c r="D77" s="6"/>
      <c r="E77" s="6"/>
      <c r="F77" s="6"/>
      <c r="G77" s="6"/>
      <c r="H77" s="6"/>
      <c r="I77" s="6"/>
      <c r="J77" s="6"/>
      <c r="K77" s="6"/>
      <c r="L77" s="6"/>
      <c r="M77" s="6"/>
    </row>
    <row r="78" spans="1:17" ht="15" customHeight="1" x14ac:dyDescent="0.15">
      <c r="A78" s="6"/>
      <c r="B78" s="66" t="s">
        <v>30</v>
      </c>
      <c r="C78" s="66"/>
      <c r="D78" s="66"/>
      <c r="E78" s="66"/>
      <c r="F78" s="66" t="s">
        <v>31</v>
      </c>
      <c r="G78" s="66"/>
      <c r="H78" s="66"/>
      <c r="I78" s="66"/>
      <c r="J78" s="66" t="s">
        <v>32</v>
      </c>
      <c r="K78" s="66"/>
      <c r="L78" s="66"/>
      <c r="M78" s="66"/>
      <c r="O78" s="15" t="s">
        <v>61</v>
      </c>
    </row>
    <row r="79" spans="1:17" ht="15" customHeight="1" x14ac:dyDescent="0.15">
      <c r="A79" s="6"/>
      <c r="B79" s="66"/>
      <c r="C79" s="66"/>
      <c r="D79" s="66"/>
      <c r="E79" s="66"/>
      <c r="F79" s="66"/>
      <c r="G79" s="66"/>
      <c r="H79" s="66"/>
      <c r="I79" s="66"/>
      <c r="J79" s="66"/>
      <c r="K79" s="66"/>
      <c r="L79" s="66"/>
      <c r="M79" s="66"/>
      <c r="Q79" s="5" t="s">
        <v>62</v>
      </c>
    </row>
    <row r="80" spans="1:17" ht="15" customHeight="1" x14ac:dyDescent="0.15">
      <c r="A80" s="6"/>
      <c r="B80" s="66"/>
      <c r="C80" s="66"/>
      <c r="D80" s="66"/>
      <c r="E80" s="66"/>
      <c r="F80" s="66"/>
      <c r="G80" s="66"/>
      <c r="H80" s="66"/>
      <c r="I80" s="66"/>
      <c r="J80" s="66"/>
      <c r="K80" s="66"/>
      <c r="L80" s="66"/>
      <c r="M80" s="66"/>
    </row>
    <row r="81" spans="1:13" ht="15" customHeight="1" x14ac:dyDescent="0.15">
      <c r="A81" s="6"/>
      <c r="B81" s="66"/>
      <c r="C81" s="66"/>
      <c r="D81" s="66"/>
      <c r="E81" s="66"/>
      <c r="F81" s="66"/>
      <c r="G81" s="66"/>
      <c r="H81" s="66"/>
      <c r="I81" s="66"/>
      <c r="J81" s="66"/>
      <c r="K81" s="66"/>
      <c r="L81" s="66"/>
      <c r="M81" s="66"/>
    </row>
    <row r="82" spans="1:13" ht="15" customHeight="1" x14ac:dyDescent="0.15">
      <c r="A82" s="6"/>
      <c r="B82" s="66"/>
      <c r="C82" s="66"/>
      <c r="D82" s="66"/>
      <c r="E82" s="66"/>
      <c r="F82" s="66"/>
      <c r="G82" s="66"/>
      <c r="H82" s="66"/>
      <c r="I82" s="66"/>
      <c r="J82" s="66"/>
      <c r="K82" s="66"/>
      <c r="L82" s="66"/>
      <c r="M82" s="66"/>
    </row>
    <row r="83" spans="1:13" ht="15" customHeight="1" x14ac:dyDescent="0.15">
      <c r="A83" s="6"/>
      <c r="B83" s="66"/>
      <c r="C83" s="66"/>
      <c r="D83" s="66"/>
      <c r="E83" s="66"/>
      <c r="F83" s="66"/>
      <c r="G83" s="66"/>
      <c r="H83" s="66"/>
      <c r="I83" s="66"/>
      <c r="J83" s="66"/>
      <c r="K83" s="66"/>
      <c r="L83" s="66"/>
      <c r="M83" s="66"/>
    </row>
    <row r="84" spans="1:13" ht="15" customHeight="1" x14ac:dyDescent="0.15">
      <c r="A84" s="6"/>
      <c r="B84" s="6"/>
      <c r="C84" s="6"/>
      <c r="D84" s="6"/>
      <c r="E84" s="6"/>
      <c r="F84" s="6"/>
      <c r="G84" s="6"/>
      <c r="H84" s="6"/>
      <c r="I84" s="6"/>
      <c r="J84" s="6"/>
      <c r="K84" s="6"/>
      <c r="L84" s="6"/>
      <c r="M84" s="6"/>
    </row>
    <row r="85" spans="1:13" ht="15" customHeight="1" x14ac:dyDescent="0.15">
      <c r="A85" s="8" t="s">
        <v>24</v>
      </c>
      <c r="B85" s="9" t="s">
        <v>25</v>
      </c>
      <c r="C85" s="6"/>
      <c r="D85" s="6"/>
      <c r="E85" s="6"/>
      <c r="F85" s="6"/>
      <c r="G85" s="6"/>
      <c r="H85" s="6"/>
      <c r="I85" s="6"/>
      <c r="J85" s="6"/>
      <c r="K85" s="6"/>
      <c r="L85" s="6"/>
      <c r="M85" s="6"/>
    </row>
    <row r="86" spans="1:13" ht="15" customHeight="1" x14ac:dyDescent="0.15">
      <c r="A86" s="12"/>
      <c r="B86" s="66" t="s">
        <v>35</v>
      </c>
      <c r="C86" s="66"/>
      <c r="D86" s="66"/>
      <c r="E86" s="66"/>
      <c r="F86" s="66"/>
      <c r="G86" s="66"/>
      <c r="H86" s="66" t="s">
        <v>36</v>
      </c>
      <c r="I86" s="66"/>
      <c r="J86" s="66"/>
      <c r="K86" s="66"/>
      <c r="L86" s="66"/>
      <c r="M86" s="66"/>
    </row>
    <row r="87" spans="1:13" ht="15" customHeight="1" x14ac:dyDescent="0.15">
      <c r="A87" s="6"/>
      <c r="B87" s="66"/>
      <c r="C87" s="66"/>
      <c r="D87" s="66"/>
      <c r="E87" s="66"/>
      <c r="F87" s="66"/>
      <c r="G87" s="66"/>
      <c r="H87" s="66"/>
      <c r="I87" s="66"/>
      <c r="J87" s="66"/>
      <c r="K87" s="66"/>
      <c r="L87" s="66"/>
      <c r="M87" s="66"/>
    </row>
    <row r="88" spans="1:13" ht="15" customHeight="1" x14ac:dyDescent="0.15">
      <c r="A88" s="6"/>
      <c r="B88" s="66"/>
      <c r="C88" s="66"/>
      <c r="D88" s="66"/>
      <c r="E88" s="66"/>
      <c r="F88" s="66"/>
      <c r="G88" s="66"/>
      <c r="H88" s="66"/>
      <c r="I88" s="66"/>
      <c r="J88" s="66"/>
      <c r="K88" s="66"/>
      <c r="L88" s="66"/>
      <c r="M88" s="66"/>
    </row>
    <row r="89" spans="1:13" ht="15" customHeight="1" x14ac:dyDescent="0.15">
      <c r="A89" s="6"/>
      <c r="B89" s="66"/>
      <c r="C89" s="66"/>
      <c r="D89" s="66"/>
      <c r="E89" s="66"/>
      <c r="F89" s="66"/>
      <c r="G89" s="66"/>
      <c r="H89" s="66"/>
      <c r="I89" s="66"/>
      <c r="J89" s="66"/>
      <c r="K89" s="66"/>
      <c r="L89" s="66"/>
      <c r="M89" s="66"/>
    </row>
    <row r="90" spans="1:13" ht="15" customHeight="1" x14ac:dyDescent="0.15">
      <c r="A90" s="6"/>
      <c r="B90" s="66"/>
      <c r="C90" s="66"/>
      <c r="D90" s="66"/>
      <c r="E90" s="66"/>
      <c r="F90" s="66"/>
      <c r="G90" s="66"/>
      <c r="H90" s="66"/>
      <c r="I90" s="66"/>
      <c r="J90" s="66"/>
      <c r="K90" s="66"/>
      <c r="L90" s="66"/>
      <c r="M90" s="66"/>
    </row>
    <row r="91" spans="1:13" ht="15" customHeight="1" x14ac:dyDescent="0.15">
      <c r="A91" s="6"/>
      <c r="B91" s="66"/>
      <c r="C91" s="66"/>
      <c r="D91" s="66"/>
      <c r="E91" s="66"/>
      <c r="F91" s="66"/>
      <c r="G91" s="66"/>
      <c r="H91" s="66"/>
      <c r="I91" s="66"/>
      <c r="J91" s="66"/>
      <c r="K91" s="66"/>
      <c r="L91" s="66"/>
      <c r="M91" s="66"/>
    </row>
    <row r="92" spans="1:13" ht="15" customHeight="1" x14ac:dyDescent="0.15">
      <c r="A92" s="6"/>
      <c r="B92" s="66"/>
      <c r="C92" s="66"/>
      <c r="D92" s="66"/>
      <c r="E92" s="66"/>
      <c r="F92" s="66"/>
      <c r="G92" s="66"/>
      <c r="H92" s="66"/>
      <c r="I92" s="66"/>
      <c r="J92" s="66"/>
      <c r="K92" s="66"/>
      <c r="L92" s="66"/>
      <c r="M92" s="66"/>
    </row>
    <row r="93" spans="1:13" ht="15" customHeight="1" x14ac:dyDescent="0.15">
      <c r="A93" s="6"/>
      <c r="B93" s="66"/>
      <c r="C93" s="66"/>
      <c r="D93" s="66"/>
      <c r="E93" s="66"/>
      <c r="F93" s="66"/>
      <c r="G93" s="66"/>
      <c r="H93" s="66"/>
      <c r="I93" s="66"/>
      <c r="J93" s="66"/>
      <c r="K93" s="66"/>
      <c r="L93" s="66"/>
      <c r="M93" s="66"/>
    </row>
    <row r="94" spans="1:13" ht="15" customHeight="1" x14ac:dyDescent="0.15">
      <c r="A94" s="6"/>
      <c r="B94" s="6"/>
      <c r="C94" s="6"/>
      <c r="D94" s="6"/>
      <c r="E94" s="6"/>
      <c r="F94" s="6"/>
      <c r="G94" s="6"/>
      <c r="H94" s="6"/>
      <c r="I94" s="6"/>
      <c r="J94" s="6"/>
      <c r="K94" s="6"/>
      <c r="L94" s="6"/>
      <c r="M94" s="6"/>
    </row>
    <row r="95" spans="1:13" ht="15" customHeight="1" x14ac:dyDescent="0.15">
      <c r="A95" s="8" t="s">
        <v>26</v>
      </c>
      <c r="B95" s="9" t="s">
        <v>27</v>
      </c>
      <c r="C95" s="6"/>
      <c r="D95" s="6"/>
      <c r="E95" s="6"/>
      <c r="F95" s="6"/>
      <c r="G95" s="6"/>
      <c r="H95" s="6"/>
      <c r="I95" s="6"/>
      <c r="J95" s="6"/>
      <c r="K95" s="6"/>
      <c r="L95" s="6"/>
      <c r="M95" s="6"/>
    </row>
    <row r="96" spans="1:13" ht="15" customHeight="1" x14ac:dyDescent="0.15">
      <c r="A96" s="12"/>
      <c r="B96" s="66" t="s">
        <v>30</v>
      </c>
      <c r="C96" s="66"/>
      <c r="D96" s="66"/>
      <c r="E96" s="66"/>
      <c r="F96" s="66" t="s">
        <v>33</v>
      </c>
      <c r="G96" s="66"/>
      <c r="H96" s="66"/>
      <c r="I96" s="66"/>
      <c r="J96" s="66" t="s">
        <v>34</v>
      </c>
      <c r="K96" s="66"/>
      <c r="L96" s="66"/>
      <c r="M96" s="66"/>
    </row>
    <row r="97" spans="1:13" ht="15" customHeight="1" x14ac:dyDescent="0.15">
      <c r="A97" s="6"/>
      <c r="B97" s="66"/>
      <c r="C97" s="66"/>
      <c r="D97" s="66"/>
      <c r="E97" s="66"/>
      <c r="F97" s="66"/>
      <c r="G97" s="66"/>
      <c r="H97" s="66"/>
      <c r="I97" s="66"/>
      <c r="J97" s="66"/>
      <c r="K97" s="66"/>
      <c r="L97" s="66"/>
      <c r="M97" s="66"/>
    </row>
    <row r="98" spans="1:13" ht="15" customHeight="1" x14ac:dyDescent="0.15">
      <c r="A98" s="6"/>
      <c r="B98" s="66"/>
      <c r="C98" s="66"/>
      <c r="D98" s="66"/>
      <c r="E98" s="66"/>
      <c r="F98" s="66"/>
      <c r="G98" s="66"/>
      <c r="H98" s="66"/>
      <c r="I98" s="66"/>
      <c r="J98" s="66"/>
      <c r="K98" s="66"/>
      <c r="L98" s="66"/>
      <c r="M98" s="66"/>
    </row>
    <row r="99" spans="1:13" ht="15" customHeight="1" x14ac:dyDescent="0.15">
      <c r="A99" s="6"/>
      <c r="B99" s="66"/>
      <c r="C99" s="66"/>
      <c r="D99" s="66"/>
      <c r="E99" s="66"/>
      <c r="F99" s="66"/>
      <c r="G99" s="66"/>
      <c r="H99" s="66"/>
      <c r="I99" s="66"/>
      <c r="J99" s="66"/>
      <c r="K99" s="66"/>
      <c r="L99" s="66"/>
      <c r="M99" s="66"/>
    </row>
    <row r="100" spans="1:13" ht="15" customHeight="1" x14ac:dyDescent="0.15">
      <c r="A100" s="6"/>
      <c r="B100" s="66"/>
      <c r="C100" s="66"/>
      <c r="D100" s="66"/>
      <c r="E100" s="66"/>
      <c r="F100" s="66"/>
      <c r="G100" s="66"/>
      <c r="H100" s="66"/>
      <c r="I100" s="66"/>
      <c r="J100" s="66"/>
      <c r="K100" s="66"/>
      <c r="L100" s="66"/>
      <c r="M100" s="66"/>
    </row>
    <row r="101" spans="1:13" ht="15" customHeight="1" x14ac:dyDescent="0.15">
      <c r="A101" s="6"/>
      <c r="B101" s="66"/>
      <c r="C101" s="66"/>
      <c r="D101" s="66"/>
      <c r="E101" s="66"/>
      <c r="F101" s="66"/>
      <c r="G101" s="66"/>
      <c r="H101" s="66"/>
      <c r="I101" s="66"/>
      <c r="J101" s="66"/>
      <c r="K101" s="66"/>
      <c r="L101" s="66"/>
      <c r="M101" s="66"/>
    </row>
    <row r="102" spans="1:13" ht="15" customHeight="1" x14ac:dyDescent="0.15">
      <c r="A102" s="6"/>
      <c r="B102" s="6"/>
      <c r="C102" s="6"/>
      <c r="D102" s="6"/>
      <c r="E102" s="6"/>
      <c r="F102" s="6"/>
      <c r="G102" s="6"/>
      <c r="H102" s="6"/>
      <c r="I102" s="6"/>
      <c r="J102" s="6"/>
      <c r="K102" s="6"/>
      <c r="L102" s="6"/>
      <c r="M102" s="6"/>
    </row>
    <row r="103" spans="1:13" ht="15" customHeight="1" x14ac:dyDescent="0.15">
      <c r="A103" s="8" t="s">
        <v>28</v>
      </c>
      <c r="B103" s="9" t="s">
        <v>29</v>
      </c>
      <c r="C103" s="6"/>
      <c r="D103" s="6"/>
      <c r="E103" s="6"/>
      <c r="F103" s="6"/>
      <c r="G103" s="6"/>
      <c r="H103" s="6"/>
      <c r="I103" s="6"/>
      <c r="J103" s="6"/>
      <c r="K103" s="6"/>
      <c r="L103" s="6"/>
      <c r="M103" s="6"/>
    </row>
    <row r="104" spans="1:13" ht="15" customHeight="1" x14ac:dyDescent="0.15">
      <c r="A104" s="6"/>
      <c r="B104" s="6" t="s">
        <v>37</v>
      </c>
      <c r="C104" s="6"/>
      <c r="D104" s="6"/>
      <c r="E104" s="6"/>
      <c r="F104" s="6"/>
      <c r="G104" s="6"/>
      <c r="H104" s="6"/>
      <c r="I104" s="6"/>
      <c r="J104" s="6"/>
      <c r="K104" s="6"/>
      <c r="L104" s="6"/>
      <c r="M104" s="6"/>
    </row>
    <row r="105" spans="1:13" ht="15" customHeight="1" x14ac:dyDescent="0.15">
      <c r="A105" s="6"/>
      <c r="B105" s="6" t="s">
        <v>38</v>
      </c>
      <c r="C105" s="65" t="s">
        <v>41</v>
      </c>
      <c r="D105" s="65"/>
      <c r="E105" s="65"/>
      <c r="F105" s="65"/>
      <c r="G105" s="65"/>
      <c r="H105" s="65"/>
      <c r="I105" s="65"/>
      <c r="J105" s="65"/>
      <c r="K105" s="65"/>
      <c r="L105" s="65"/>
      <c r="M105" s="65"/>
    </row>
    <row r="106" spans="1:13" ht="15" customHeight="1" x14ac:dyDescent="0.15">
      <c r="A106" s="6"/>
      <c r="B106" s="6"/>
      <c r="C106" s="65"/>
      <c r="D106" s="65"/>
      <c r="E106" s="65"/>
      <c r="F106" s="65"/>
      <c r="G106" s="65"/>
      <c r="H106" s="65"/>
      <c r="I106" s="65"/>
      <c r="J106" s="65"/>
      <c r="K106" s="65"/>
      <c r="L106" s="65"/>
      <c r="M106" s="65"/>
    </row>
    <row r="107" spans="1:13" ht="15" customHeight="1" x14ac:dyDescent="0.15">
      <c r="A107" s="6"/>
      <c r="B107" s="6" t="s">
        <v>39</v>
      </c>
      <c r="C107" s="64" t="s">
        <v>40</v>
      </c>
      <c r="D107" s="64"/>
      <c r="E107" s="64"/>
      <c r="F107" s="64"/>
      <c r="G107" s="64"/>
      <c r="H107" s="64"/>
      <c r="I107" s="64"/>
      <c r="J107" s="64"/>
      <c r="K107" s="64"/>
      <c r="L107" s="64"/>
      <c r="M107" s="64"/>
    </row>
    <row r="108" spans="1:13" ht="15" customHeight="1" x14ac:dyDescent="0.15">
      <c r="A108" s="6"/>
      <c r="B108" s="6" t="s">
        <v>42</v>
      </c>
      <c r="C108" s="64" t="s">
        <v>43</v>
      </c>
      <c r="D108" s="64"/>
      <c r="E108" s="64"/>
      <c r="F108" s="64"/>
      <c r="G108" s="64"/>
      <c r="H108" s="64"/>
      <c r="I108" s="64"/>
      <c r="J108" s="64"/>
      <c r="K108" s="64"/>
      <c r="L108" s="64"/>
      <c r="M108" s="64"/>
    </row>
    <row r="109" spans="1:13" ht="15" customHeight="1" x14ac:dyDescent="0.15">
      <c r="A109" s="6"/>
      <c r="B109" s="6" t="s">
        <v>44</v>
      </c>
      <c r="C109" s="64" t="s">
        <v>45</v>
      </c>
      <c r="D109" s="64"/>
      <c r="E109" s="64"/>
      <c r="F109" s="64"/>
      <c r="G109" s="64"/>
      <c r="H109" s="64"/>
      <c r="I109" s="64"/>
      <c r="J109" s="64"/>
      <c r="K109" s="64"/>
      <c r="L109" s="64"/>
      <c r="M109" s="64"/>
    </row>
    <row r="110" spans="1:13" ht="15" customHeight="1" x14ac:dyDescent="0.15">
      <c r="A110" s="6"/>
      <c r="B110" s="6" t="s">
        <v>46</v>
      </c>
      <c r="C110" s="64" t="s">
        <v>47</v>
      </c>
      <c r="D110" s="64"/>
      <c r="E110" s="64"/>
      <c r="F110" s="64"/>
      <c r="G110" s="64"/>
      <c r="H110" s="64"/>
      <c r="I110" s="64"/>
      <c r="J110" s="64"/>
      <c r="K110" s="64"/>
      <c r="L110" s="64"/>
      <c r="M110" s="64"/>
    </row>
    <row r="111" spans="1:13" ht="15" customHeight="1" x14ac:dyDescent="0.15">
      <c r="A111" s="6"/>
      <c r="B111" s="6" t="s">
        <v>50</v>
      </c>
      <c r="C111" s="64" t="s">
        <v>48</v>
      </c>
      <c r="D111" s="64"/>
      <c r="E111" s="64"/>
      <c r="F111" s="64"/>
      <c r="G111" s="64"/>
      <c r="H111" s="64"/>
      <c r="I111" s="64"/>
      <c r="J111" s="64"/>
      <c r="K111" s="64"/>
      <c r="L111" s="64"/>
      <c r="M111" s="64"/>
    </row>
    <row r="112" spans="1:13" ht="15" customHeight="1" x14ac:dyDescent="0.15">
      <c r="A112" s="6"/>
      <c r="B112" s="6" t="s">
        <v>51</v>
      </c>
      <c r="C112" s="64" t="s">
        <v>49</v>
      </c>
      <c r="D112" s="64"/>
      <c r="E112" s="64"/>
      <c r="F112" s="64"/>
      <c r="G112" s="64"/>
      <c r="H112" s="64"/>
      <c r="I112" s="64"/>
      <c r="J112" s="64"/>
      <c r="K112" s="64"/>
      <c r="L112" s="64"/>
      <c r="M112" s="64"/>
    </row>
    <row r="113" spans="1:14" ht="15" customHeight="1" x14ac:dyDescent="0.15">
      <c r="A113" s="6"/>
      <c r="B113" s="6" t="s">
        <v>52</v>
      </c>
      <c r="C113" s="64" t="s">
        <v>154</v>
      </c>
      <c r="D113" s="64"/>
      <c r="E113" s="64"/>
      <c r="F113" s="64"/>
      <c r="G113" s="64"/>
      <c r="H113" s="64"/>
      <c r="I113" s="64"/>
      <c r="J113" s="64"/>
      <c r="K113" s="64"/>
      <c r="L113" s="64"/>
      <c r="M113" s="64"/>
    </row>
    <row r="114" spans="1:14" ht="15" customHeight="1" x14ac:dyDescent="0.15">
      <c r="A114" s="6"/>
      <c r="B114" s="6" t="s">
        <v>53</v>
      </c>
      <c r="C114" s="65" t="s">
        <v>54</v>
      </c>
      <c r="D114" s="65"/>
      <c r="E114" s="65"/>
      <c r="F114" s="65"/>
      <c r="G114" s="65"/>
      <c r="H114" s="65"/>
      <c r="I114" s="65"/>
      <c r="J114" s="65"/>
      <c r="K114" s="65"/>
      <c r="L114" s="65"/>
      <c r="M114" s="65"/>
    </row>
    <row r="115" spans="1:14" ht="15" customHeight="1" x14ac:dyDescent="0.15">
      <c r="A115" s="6"/>
      <c r="B115" s="6"/>
      <c r="C115" s="65"/>
      <c r="D115" s="65"/>
      <c r="E115" s="65"/>
      <c r="F115" s="65"/>
      <c r="G115" s="65"/>
      <c r="H115" s="65"/>
      <c r="I115" s="65"/>
      <c r="J115" s="65"/>
      <c r="K115" s="65"/>
      <c r="L115" s="65"/>
      <c r="M115" s="65"/>
    </row>
    <row r="116" spans="1:14" ht="15" customHeight="1" x14ac:dyDescent="0.15">
      <c r="A116" s="6"/>
      <c r="B116" s="6"/>
      <c r="C116" s="6"/>
      <c r="D116" s="6"/>
      <c r="E116" s="6"/>
      <c r="F116" s="6"/>
      <c r="G116" s="6"/>
      <c r="H116" s="6"/>
      <c r="I116" s="6"/>
      <c r="J116" s="6"/>
      <c r="K116" s="6"/>
      <c r="L116" s="6"/>
      <c r="M116" s="6"/>
    </row>
    <row r="117" spans="1:14" ht="15" customHeight="1" x14ac:dyDescent="0.15">
      <c r="A117" s="6"/>
      <c r="B117" s="6"/>
      <c r="C117" s="6"/>
      <c r="D117" s="6"/>
      <c r="E117" s="6"/>
      <c r="F117" s="6"/>
      <c r="G117" s="6"/>
      <c r="H117" s="6"/>
      <c r="I117" s="6"/>
      <c r="J117" s="6"/>
      <c r="K117" s="6"/>
      <c r="L117" s="6"/>
      <c r="M117" s="13" t="str">
        <f>[94]Base_01!$C$4&amp;", …..  …........................  2026"</f>
        <v>Sorong, …..  …........................  2026</v>
      </c>
    </row>
    <row r="118" spans="1:14" ht="15" customHeight="1" x14ac:dyDescent="0.15">
      <c r="A118" s="6"/>
      <c r="B118" s="6"/>
      <c r="C118" s="6"/>
      <c r="D118" s="6"/>
      <c r="E118" s="6"/>
      <c r="F118" s="6"/>
      <c r="G118" s="6"/>
      <c r="H118" s="6"/>
      <c r="I118" s="6"/>
      <c r="J118" s="6"/>
      <c r="K118" s="6"/>
      <c r="L118" s="6"/>
      <c r="M118" s="6"/>
    </row>
    <row r="119" spans="1:14" ht="15" customHeight="1" x14ac:dyDescent="0.15">
      <c r="A119" s="6"/>
      <c r="B119" s="63" t="s">
        <v>57</v>
      </c>
      <c r="C119" s="63"/>
      <c r="D119" s="63"/>
      <c r="E119" s="63"/>
      <c r="F119" s="63" t="s">
        <v>56</v>
      </c>
      <c r="G119" s="63"/>
      <c r="H119" s="63"/>
      <c r="I119" s="63"/>
      <c r="J119" s="6"/>
      <c r="K119" s="6"/>
      <c r="L119" s="6"/>
      <c r="M119" s="6"/>
    </row>
    <row r="120" spans="1:14" ht="15" customHeight="1" x14ac:dyDescent="0.15">
      <c r="A120" s="6"/>
      <c r="B120" s="63" t="s">
        <v>60</v>
      </c>
      <c r="C120" s="63"/>
      <c r="D120" s="63"/>
      <c r="E120" s="63"/>
      <c r="F120" s="63" t="s">
        <v>58</v>
      </c>
      <c r="G120" s="63"/>
      <c r="H120" s="63"/>
      <c r="I120" s="63"/>
      <c r="J120" s="63" t="s">
        <v>55</v>
      </c>
      <c r="K120" s="63"/>
      <c r="L120" s="63"/>
      <c r="M120" s="63"/>
    </row>
    <row r="121" spans="1:14" ht="15" customHeight="1" x14ac:dyDescent="0.15">
      <c r="A121" s="6"/>
      <c r="B121" s="63" t="str">
        <f>[94]Base_01!$B$4&amp;" "&amp;[94]Base_01!$C$4</f>
        <v>Kota Sorong</v>
      </c>
      <c r="C121" s="63"/>
      <c r="D121" s="63"/>
      <c r="E121" s="63"/>
      <c r="F121" s="63" t="s">
        <v>59</v>
      </c>
      <c r="G121" s="63"/>
      <c r="H121" s="63"/>
      <c r="I121" s="63"/>
      <c r="J121" s="6"/>
      <c r="K121" s="6"/>
      <c r="L121" s="6"/>
      <c r="M121" s="6"/>
    </row>
    <row r="122" spans="1:14" ht="15" customHeight="1" x14ac:dyDescent="0.15">
      <c r="A122" s="6"/>
      <c r="B122" s="14"/>
      <c r="C122" s="14"/>
      <c r="D122" s="14"/>
      <c r="E122" s="14"/>
      <c r="F122" s="14"/>
      <c r="G122" s="14"/>
      <c r="H122" s="14"/>
      <c r="I122" s="6"/>
      <c r="J122" s="6"/>
      <c r="K122" s="6"/>
      <c r="L122" s="6"/>
      <c r="M122" s="6"/>
    </row>
    <row r="123" spans="1:14" ht="15" customHeight="1" x14ac:dyDescent="0.15">
      <c r="A123" s="6"/>
      <c r="B123" s="14"/>
      <c r="C123" s="14"/>
      <c r="D123" s="14"/>
      <c r="E123" s="14"/>
      <c r="F123" s="14"/>
      <c r="G123" s="14"/>
      <c r="H123" s="14"/>
      <c r="I123" s="6"/>
      <c r="J123" s="6"/>
      <c r="K123" s="6"/>
      <c r="L123" s="6"/>
      <c r="M123" s="6"/>
    </row>
    <row r="124" spans="1:14" ht="15" customHeight="1" x14ac:dyDescent="0.15">
      <c r="A124" s="6"/>
      <c r="B124" s="6"/>
      <c r="C124" s="6"/>
      <c r="D124" s="6"/>
      <c r="E124" s="6"/>
      <c r="F124" s="6"/>
      <c r="G124" s="6"/>
      <c r="H124" s="6"/>
      <c r="I124" s="6"/>
      <c r="J124" s="6"/>
      <c r="K124" s="6"/>
      <c r="L124" s="6"/>
      <c r="M124" s="6"/>
    </row>
    <row r="125" spans="1:14" ht="15" customHeight="1" x14ac:dyDescent="0.15">
      <c r="A125" s="6"/>
      <c r="B125" s="6"/>
      <c r="C125" s="6"/>
      <c r="D125" s="6"/>
      <c r="E125" s="6"/>
      <c r="F125" s="6"/>
      <c r="G125" s="6"/>
      <c r="H125" s="6"/>
      <c r="I125" s="6"/>
      <c r="J125" s="6"/>
      <c r="K125" s="6"/>
      <c r="L125" s="6"/>
      <c r="M125" s="6"/>
    </row>
    <row r="126" spans="1:14" ht="15" customHeight="1" x14ac:dyDescent="0.15">
      <c r="A126" s="6"/>
      <c r="B126" s="63" t="str">
        <f>[94]Base_01!$C$17</f>
        <v>AfrIandi Yudhistira, S.T.</v>
      </c>
      <c r="C126" s="63"/>
      <c r="D126" s="63"/>
      <c r="E126" s="63"/>
      <c r="F126" s="63" t="str">
        <f>[94]Base_01!$C$20</f>
        <v>…...............         …...............</v>
      </c>
      <c r="G126" s="63"/>
      <c r="H126" s="63"/>
      <c r="I126" s="63"/>
      <c r="J126" s="63" t="str">
        <f>G68</f>
        <v>Nama PB 2</v>
      </c>
      <c r="K126" s="63"/>
      <c r="L126" s="63"/>
      <c r="M126" s="63"/>
    </row>
    <row r="127" spans="1:14" ht="16" customHeight="1" x14ac:dyDescent="0.15">
      <c r="A127" s="67" t="s">
        <v>14</v>
      </c>
      <c r="B127" s="67"/>
      <c r="C127" s="67"/>
      <c r="D127" s="67"/>
      <c r="E127" s="67"/>
      <c r="F127" s="67"/>
      <c r="G127" s="67"/>
      <c r="H127" s="67"/>
      <c r="I127" s="67"/>
      <c r="J127" s="67"/>
      <c r="K127" s="67"/>
      <c r="L127" s="67"/>
      <c r="M127" s="67"/>
      <c r="N127" s="5">
        <f>N64+1</f>
        <v>3</v>
      </c>
    </row>
    <row r="128" spans="1:14" ht="16" customHeight="1" x14ac:dyDescent="0.15">
      <c r="A128" s="67" t="str">
        <f>"NOMOR "&amp;VLOOKUP($N127,[94]Base_02!$A$5:$AD$24,2,0)</f>
        <v>NOMOR 000003</v>
      </c>
      <c r="B128" s="67"/>
      <c r="C128" s="67"/>
      <c r="D128" s="67"/>
      <c r="E128" s="67"/>
      <c r="F128" s="67"/>
      <c r="G128" s="67"/>
      <c r="H128" s="67"/>
      <c r="I128" s="67"/>
      <c r="J128" s="67"/>
      <c r="K128" s="67"/>
      <c r="L128" s="67"/>
      <c r="M128" s="67"/>
    </row>
    <row r="129" spans="1:17" x14ac:dyDescent="0.15">
      <c r="A129" s="6"/>
      <c r="B129" s="7"/>
      <c r="C129" s="7"/>
      <c r="D129" s="7"/>
      <c r="E129" s="7"/>
      <c r="F129" s="7"/>
      <c r="G129" s="7"/>
      <c r="H129" s="7"/>
      <c r="I129" s="7"/>
      <c r="J129" s="7"/>
      <c r="K129" s="6"/>
      <c r="L129" s="6"/>
      <c r="M129" s="6"/>
    </row>
    <row r="130" spans="1:17" ht="15" customHeight="1" x14ac:dyDescent="0.15">
      <c r="A130" s="8" t="s">
        <v>13</v>
      </c>
      <c r="B130" s="9" t="s">
        <v>15</v>
      </c>
      <c r="C130" s="6"/>
      <c r="D130" s="6"/>
      <c r="E130" s="6"/>
      <c r="F130" s="6"/>
      <c r="G130" s="6"/>
      <c r="H130" s="6"/>
      <c r="I130" s="6"/>
      <c r="J130" s="6"/>
      <c r="K130" s="6"/>
      <c r="L130" s="6"/>
      <c r="M130" s="6"/>
    </row>
    <row r="131" spans="1:17" ht="15" customHeight="1" x14ac:dyDescent="0.15">
      <c r="A131" s="6"/>
      <c r="B131" s="57" t="s">
        <v>16</v>
      </c>
      <c r="C131" s="57"/>
      <c r="D131" s="57"/>
      <c r="E131" s="57"/>
      <c r="F131" s="57"/>
      <c r="G131" s="6" t="str">
        <f>VLOOKUP($N127,[94]Base_02!$A$5:$AD$24,3,0)</f>
        <v>Nama PB 3</v>
      </c>
      <c r="H131" s="6"/>
      <c r="I131" s="6"/>
      <c r="J131" s="6"/>
      <c r="K131" s="6"/>
      <c r="L131" s="6"/>
      <c r="M131" s="6"/>
    </row>
    <row r="132" spans="1:17" ht="15" customHeight="1" x14ac:dyDescent="0.15">
      <c r="A132" s="6"/>
      <c r="B132" s="57" t="s">
        <v>17</v>
      </c>
      <c r="C132" s="57"/>
      <c r="D132" s="57"/>
      <c r="E132" s="57"/>
      <c r="F132" s="57"/>
      <c r="G132" s="6" t="str">
        <f>VLOOKUP($N127,[94]Base_02!$A$5:$AD$24,14,0)</f>
        <v>3304160101820004</v>
      </c>
      <c r="H132" s="6"/>
      <c r="I132" s="6"/>
      <c r="J132" s="6"/>
      <c r="K132" s="6"/>
      <c r="L132" s="6"/>
      <c r="M132" s="6"/>
    </row>
    <row r="133" spans="1:17" ht="15" customHeight="1" x14ac:dyDescent="0.15">
      <c r="A133" s="6"/>
      <c r="B133" s="57" t="s">
        <v>18</v>
      </c>
      <c r="C133" s="57"/>
      <c r="D133" s="57"/>
      <c r="E133" s="57"/>
      <c r="F133" s="57"/>
      <c r="G133" s="6" t="str">
        <f>VLOOKUP(N127,[94]Base_02!$A$5:$Z$24,11,FALSE)&amp;", RT "&amp;VLOOKUP(N127,[94]Base_02!$A$5:$Z$24,12,FALSE)&amp;", RW "&amp;VLOOKUP(N127,[94]Base_02!$A$5:$Z$24,13,FALSE)</f>
        <v>Jalan Kanal Victory, RT 1, RW 1</v>
      </c>
      <c r="H133" s="6"/>
      <c r="I133" s="6"/>
      <c r="J133" s="6"/>
      <c r="K133" s="6"/>
      <c r="L133" s="6"/>
      <c r="M133" s="6"/>
    </row>
    <row r="134" spans="1:17" ht="15" customHeight="1" x14ac:dyDescent="0.15">
      <c r="A134" s="6"/>
      <c r="B134" s="57" t="str">
        <f>[94]Base_01!$B$2</f>
        <v>Kelurahan</v>
      </c>
      <c r="C134" s="57"/>
      <c r="D134" s="57"/>
      <c r="E134" s="57"/>
      <c r="F134" s="57"/>
      <c r="G134" s="10" t="str">
        <f>[94]Base_01!$C$2</f>
        <v>Klasabi</v>
      </c>
      <c r="H134" s="6"/>
      <c r="I134" s="6"/>
      <c r="J134" s="6"/>
      <c r="K134" s="6"/>
      <c r="L134" s="6"/>
      <c r="M134" s="6"/>
    </row>
    <row r="135" spans="1:17" ht="15" customHeight="1" x14ac:dyDescent="0.15">
      <c r="A135" s="6"/>
      <c r="B135" s="57" t="s">
        <v>19</v>
      </c>
      <c r="C135" s="57"/>
      <c r="D135" s="57"/>
      <c r="E135" s="57"/>
      <c r="F135" s="57"/>
      <c r="G135" s="10" t="str">
        <f>[94]Base_01!$C$3</f>
        <v>Sorong Manoi</v>
      </c>
      <c r="H135" s="6"/>
      <c r="I135" s="6"/>
      <c r="J135" s="6"/>
      <c r="K135" s="6"/>
      <c r="L135" s="6"/>
      <c r="M135" s="6"/>
    </row>
    <row r="136" spans="1:17" ht="15" customHeight="1" x14ac:dyDescent="0.15">
      <c r="A136" s="6"/>
      <c r="B136" s="57" t="str">
        <f>[94]Base_01!$B$4</f>
        <v>Kota</v>
      </c>
      <c r="C136" s="57"/>
      <c r="D136" s="57"/>
      <c r="E136" s="57"/>
      <c r="F136" s="57"/>
      <c r="G136" s="10" t="str">
        <f>[94]Base_01!$C$4</f>
        <v>Sorong</v>
      </c>
      <c r="H136" s="6"/>
      <c r="I136" s="6"/>
      <c r="J136" s="6"/>
      <c r="K136" s="6"/>
      <c r="L136" s="6"/>
      <c r="M136" s="6"/>
    </row>
    <row r="137" spans="1:17" ht="15" customHeight="1" x14ac:dyDescent="0.15">
      <c r="A137" s="6"/>
      <c r="B137" s="57" t="s">
        <v>20</v>
      </c>
      <c r="C137" s="57"/>
      <c r="D137" s="57"/>
      <c r="E137" s="57"/>
      <c r="F137" s="57"/>
      <c r="G137" s="11" t="str">
        <f>[94]Base_01!$C$5</f>
        <v>Papua Barat Daya</v>
      </c>
      <c r="H137" s="6"/>
      <c r="I137" s="6"/>
      <c r="J137" s="6"/>
      <c r="K137" s="6"/>
      <c r="L137" s="6"/>
      <c r="M137" s="6"/>
    </row>
    <row r="138" spans="1:17" ht="15" customHeight="1" x14ac:dyDescent="0.15">
      <c r="A138" s="6"/>
      <c r="B138" s="57" t="s">
        <v>21</v>
      </c>
      <c r="C138" s="57"/>
      <c r="D138" s="57"/>
      <c r="E138" s="57"/>
      <c r="F138" s="57"/>
      <c r="G138" s="6" t="str">
        <f>VLOOKUP($N127,[94]Base_02!$A$5:$AG$24,32,0)&amp;" - "&amp;VLOOKUP($N127,[94]Base_02!$A$5:$AG$24,31,0)</f>
        <v>1600006544221 - Bank Mandiri</v>
      </c>
      <c r="H138" s="6"/>
      <c r="I138" s="6"/>
      <c r="J138" s="6"/>
      <c r="K138" s="6"/>
      <c r="L138" s="6"/>
      <c r="M138" s="6"/>
    </row>
    <row r="139" spans="1:17" ht="15" customHeight="1" x14ac:dyDescent="0.15">
      <c r="A139" s="6"/>
      <c r="B139" s="6"/>
      <c r="C139" s="6"/>
      <c r="D139" s="6"/>
      <c r="E139" s="6"/>
      <c r="F139" s="6"/>
      <c r="G139" s="6"/>
      <c r="H139" s="6"/>
      <c r="I139" s="6"/>
      <c r="J139" s="6"/>
      <c r="K139" s="6"/>
      <c r="L139" s="6"/>
      <c r="M139" s="6"/>
    </row>
    <row r="140" spans="1:17" ht="15" customHeight="1" x14ac:dyDescent="0.15">
      <c r="A140" s="8" t="s">
        <v>22</v>
      </c>
      <c r="B140" s="9" t="s">
        <v>23</v>
      </c>
      <c r="C140" s="6"/>
      <c r="D140" s="6"/>
      <c r="E140" s="6"/>
      <c r="F140" s="6"/>
      <c r="G140" s="6"/>
      <c r="H140" s="6"/>
      <c r="I140" s="6"/>
      <c r="J140" s="6"/>
      <c r="K140" s="6"/>
      <c r="L140" s="6"/>
      <c r="M140" s="6"/>
    </row>
    <row r="141" spans="1:17" ht="15" customHeight="1" x14ac:dyDescent="0.15">
      <c r="A141" s="6"/>
      <c r="B141" s="66" t="s">
        <v>30</v>
      </c>
      <c r="C141" s="66"/>
      <c r="D141" s="66"/>
      <c r="E141" s="66"/>
      <c r="F141" s="66" t="s">
        <v>31</v>
      </c>
      <c r="G141" s="66"/>
      <c r="H141" s="66"/>
      <c r="I141" s="66"/>
      <c r="J141" s="66" t="s">
        <v>32</v>
      </c>
      <c r="K141" s="66"/>
      <c r="L141" s="66"/>
      <c r="M141" s="66"/>
      <c r="O141" s="15" t="s">
        <v>61</v>
      </c>
    </row>
    <row r="142" spans="1:17" ht="15" customHeight="1" x14ac:dyDescent="0.15">
      <c r="A142" s="6"/>
      <c r="B142" s="66"/>
      <c r="C142" s="66"/>
      <c r="D142" s="66"/>
      <c r="E142" s="66"/>
      <c r="F142" s="66"/>
      <c r="G142" s="66"/>
      <c r="H142" s="66"/>
      <c r="I142" s="66"/>
      <c r="J142" s="66"/>
      <c r="K142" s="66"/>
      <c r="L142" s="66"/>
      <c r="M142" s="66"/>
      <c r="Q142" s="5" t="s">
        <v>62</v>
      </c>
    </row>
    <row r="143" spans="1:17" ht="15" customHeight="1" x14ac:dyDescent="0.15">
      <c r="A143" s="6"/>
      <c r="B143" s="66"/>
      <c r="C143" s="66"/>
      <c r="D143" s="66"/>
      <c r="E143" s="66"/>
      <c r="F143" s="66"/>
      <c r="G143" s="66"/>
      <c r="H143" s="66"/>
      <c r="I143" s="66"/>
      <c r="J143" s="66"/>
      <c r="K143" s="66"/>
      <c r="L143" s="66"/>
      <c r="M143" s="66"/>
    </row>
    <row r="144" spans="1:17" ht="15" customHeight="1" x14ac:dyDescent="0.15">
      <c r="A144" s="6"/>
      <c r="B144" s="66"/>
      <c r="C144" s="66"/>
      <c r="D144" s="66"/>
      <c r="E144" s="66"/>
      <c r="F144" s="66"/>
      <c r="G144" s="66"/>
      <c r="H144" s="66"/>
      <c r="I144" s="66"/>
      <c r="J144" s="66"/>
      <c r="K144" s="66"/>
      <c r="L144" s="66"/>
      <c r="M144" s="66"/>
    </row>
    <row r="145" spans="1:13" ht="15" customHeight="1" x14ac:dyDescent="0.15">
      <c r="A145" s="6"/>
      <c r="B145" s="66"/>
      <c r="C145" s="66"/>
      <c r="D145" s="66"/>
      <c r="E145" s="66"/>
      <c r="F145" s="66"/>
      <c r="G145" s="66"/>
      <c r="H145" s="66"/>
      <c r="I145" s="66"/>
      <c r="J145" s="66"/>
      <c r="K145" s="66"/>
      <c r="L145" s="66"/>
      <c r="M145" s="66"/>
    </row>
    <row r="146" spans="1:13" ht="15" customHeight="1" x14ac:dyDescent="0.15">
      <c r="A146" s="6"/>
      <c r="B146" s="66"/>
      <c r="C146" s="66"/>
      <c r="D146" s="66"/>
      <c r="E146" s="66"/>
      <c r="F146" s="66"/>
      <c r="G146" s="66"/>
      <c r="H146" s="66"/>
      <c r="I146" s="66"/>
      <c r="J146" s="66"/>
      <c r="K146" s="66"/>
      <c r="L146" s="66"/>
      <c r="M146" s="66"/>
    </row>
    <row r="147" spans="1:13" ht="15" customHeight="1" x14ac:dyDescent="0.15">
      <c r="A147" s="6"/>
      <c r="B147" s="6"/>
      <c r="C147" s="6"/>
      <c r="D147" s="6"/>
      <c r="E147" s="6"/>
      <c r="F147" s="6"/>
      <c r="G147" s="6"/>
      <c r="H147" s="6"/>
      <c r="I147" s="6"/>
      <c r="J147" s="6"/>
      <c r="K147" s="6"/>
      <c r="L147" s="6"/>
      <c r="M147" s="6"/>
    </row>
    <row r="148" spans="1:13" ht="15" customHeight="1" x14ac:dyDescent="0.15">
      <c r="A148" s="8" t="s">
        <v>24</v>
      </c>
      <c r="B148" s="9" t="s">
        <v>25</v>
      </c>
      <c r="C148" s="6"/>
      <c r="D148" s="6"/>
      <c r="E148" s="6"/>
      <c r="F148" s="6"/>
      <c r="G148" s="6"/>
      <c r="H148" s="6"/>
      <c r="I148" s="6"/>
      <c r="J148" s="6"/>
      <c r="K148" s="6"/>
      <c r="L148" s="6"/>
      <c r="M148" s="6"/>
    </row>
    <row r="149" spans="1:13" ht="15" customHeight="1" x14ac:dyDescent="0.15">
      <c r="A149" s="12"/>
      <c r="B149" s="66" t="s">
        <v>35</v>
      </c>
      <c r="C149" s="66"/>
      <c r="D149" s="66"/>
      <c r="E149" s="66"/>
      <c r="F149" s="66"/>
      <c r="G149" s="66"/>
      <c r="H149" s="66" t="s">
        <v>36</v>
      </c>
      <c r="I149" s="66"/>
      <c r="J149" s="66"/>
      <c r="K149" s="66"/>
      <c r="L149" s="66"/>
      <c r="M149" s="66"/>
    </row>
    <row r="150" spans="1:13" ht="15" customHeight="1" x14ac:dyDescent="0.15">
      <c r="A150" s="6"/>
      <c r="B150" s="66"/>
      <c r="C150" s="66"/>
      <c r="D150" s="66"/>
      <c r="E150" s="66"/>
      <c r="F150" s="66"/>
      <c r="G150" s="66"/>
      <c r="H150" s="66"/>
      <c r="I150" s="66"/>
      <c r="J150" s="66"/>
      <c r="K150" s="66"/>
      <c r="L150" s="66"/>
      <c r="M150" s="66"/>
    </row>
    <row r="151" spans="1:13" ht="15" customHeight="1" x14ac:dyDescent="0.15">
      <c r="A151" s="6"/>
      <c r="B151" s="66"/>
      <c r="C151" s="66"/>
      <c r="D151" s="66"/>
      <c r="E151" s="66"/>
      <c r="F151" s="66"/>
      <c r="G151" s="66"/>
      <c r="H151" s="66"/>
      <c r="I151" s="66"/>
      <c r="J151" s="66"/>
      <c r="K151" s="66"/>
      <c r="L151" s="66"/>
      <c r="M151" s="66"/>
    </row>
    <row r="152" spans="1:13" ht="15" customHeight="1" x14ac:dyDescent="0.15">
      <c r="A152" s="6"/>
      <c r="B152" s="66"/>
      <c r="C152" s="66"/>
      <c r="D152" s="66"/>
      <c r="E152" s="66"/>
      <c r="F152" s="66"/>
      <c r="G152" s="66"/>
      <c r="H152" s="66"/>
      <c r="I152" s="66"/>
      <c r="J152" s="66"/>
      <c r="K152" s="66"/>
      <c r="L152" s="66"/>
      <c r="M152" s="66"/>
    </row>
    <row r="153" spans="1:13" ht="15" customHeight="1" x14ac:dyDescent="0.15">
      <c r="A153" s="6"/>
      <c r="B153" s="66"/>
      <c r="C153" s="66"/>
      <c r="D153" s="66"/>
      <c r="E153" s="66"/>
      <c r="F153" s="66"/>
      <c r="G153" s="66"/>
      <c r="H153" s="66"/>
      <c r="I153" s="66"/>
      <c r="J153" s="66"/>
      <c r="K153" s="66"/>
      <c r="L153" s="66"/>
      <c r="M153" s="66"/>
    </row>
    <row r="154" spans="1:13" ht="15" customHeight="1" x14ac:dyDescent="0.15">
      <c r="A154" s="6"/>
      <c r="B154" s="66"/>
      <c r="C154" s="66"/>
      <c r="D154" s="66"/>
      <c r="E154" s="66"/>
      <c r="F154" s="66"/>
      <c r="G154" s="66"/>
      <c r="H154" s="66"/>
      <c r="I154" s="66"/>
      <c r="J154" s="66"/>
      <c r="K154" s="66"/>
      <c r="L154" s="66"/>
      <c r="M154" s="66"/>
    </row>
    <row r="155" spans="1:13" ht="15" customHeight="1" x14ac:dyDescent="0.15">
      <c r="A155" s="6"/>
      <c r="B155" s="66"/>
      <c r="C155" s="66"/>
      <c r="D155" s="66"/>
      <c r="E155" s="66"/>
      <c r="F155" s="66"/>
      <c r="G155" s="66"/>
      <c r="H155" s="66"/>
      <c r="I155" s="66"/>
      <c r="J155" s="66"/>
      <c r="K155" s="66"/>
      <c r="L155" s="66"/>
      <c r="M155" s="66"/>
    </row>
    <row r="156" spans="1:13" ht="15" customHeight="1" x14ac:dyDescent="0.15">
      <c r="A156" s="6"/>
      <c r="B156" s="66"/>
      <c r="C156" s="66"/>
      <c r="D156" s="66"/>
      <c r="E156" s="66"/>
      <c r="F156" s="66"/>
      <c r="G156" s="66"/>
      <c r="H156" s="66"/>
      <c r="I156" s="66"/>
      <c r="J156" s="66"/>
      <c r="K156" s="66"/>
      <c r="L156" s="66"/>
      <c r="M156" s="66"/>
    </row>
    <row r="157" spans="1:13" ht="15" customHeight="1" x14ac:dyDescent="0.15">
      <c r="A157" s="6"/>
      <c r="B157" s="6"/>
      <c r="C157" s="6"/>
      <c r="D157" s="6"/>
      <c r="E157" s="6"/>
      <c r="F157" s="6"/>
      <c r="G157" s="6"/>
      <c r="H157" s="6"/>
      <c r="I157" s="6"/>
      <c r="J157" s="6"/>
      <c r="K157" s="6"/>
      <c r="L157" s="6"/>
      <c r="M157" s="6"/>
    </row>
    <row r="158" spans="1:13" ht="15" customHeight="1" x14ac:dyDescent="0.15">
      <c r="A158" s="8" t="s">
        <v>26</v>
      </c>
      <c r="B158" s="9" t="s">
        <v>27</v>
      </c>
      <c r="C158" s="6"/>
      <c r="D158" s="6"/>
      <c r="E158" s="6"/>
      <c r="F158" s="6"/>
      <c r="G158" s="6"/>
      <c r="H158" s="6"/>
      <c r="I158" s="6"/>
      <c r="J158" s="6"/>
      <c r="K158" s="6"/>
      <c r="L158" s="6"/>
      <c r="M158" s="6"/>
    </row>
    <row r="159" spans="1:13" ht="15" customHeight="1" x14ac:dyDescent="0.15">
      <c r="A159" s="12"/>
      <c r="B159" s="66" t="s">
        <v>30</v>
      </c>
      <c r="C159" s="66"/>
      <c r="D159" s="66"/>
      <c r="E159" s="66"/>
      <c r="F159" s="66" t="s">
        <v>33</v>
      </c>
      <c r="G159" s="66"/>
      <c r="H159" s="66"/>
      <c r="I159" s="66"/>
      <c r="J159" s="66" t="s">
        <v>34</v>
      </c>
      <c r="K159" s="66"/>
      <c r="L159" s="66"/>
      <c r="M159" s="66"/>
    </row>
    <row r="160" spans="1:13" ht="15" customHeight="1" x14ac:dyDescent="0.15">
      <c r="A160" s="6"/>
      <c r="B160" s="66"/>
      <c r="C160" s="66"/>
      <c r="D160" s="66"/>
      <c r="E160" s="66"/>
      <c r="F160" s="66"/>
      <c r="G160" s="66"/>
      <c r="H160" s="66"/>
      <c r="I160" s="66"/>
      <c r="J160" s="66"/>
      <c r="K160" s="66"/>
      <c r="L160" s="66"/>
      <c r="M160" s="66"/>
    </row>
    <row r="161" spans="1:13" ht="15" customHeight="1" x14ac:dyDescent="0.15">
      <c r="A161" s="6"/>
      <c r="B161" s="66"/>
      <c r="C161" s="66"/>
      <c r="D161" s="66"/>
      <c r="E161" s="66"/>
      <c r="F161" s="66"/>
      <c r="G161" s="66"/>
      <c r="H161" s="66"/>
      <c r="I161" s="66"/>
      <c r="J161" s="66"/>
      <c r="K161" s="66"/>
      <c r="L161" s="66"/>
      <c r="M161" s="66"/>
    </row>
    <row r="162" spans="1:13" ht="15" customHeight="1" x14ac:dyDescent="0.15">
      <c r="A162" s="6"/>
      <c r="B162" s="66"/>
      <c r="C162" s="66"/>
      <c r="D162" s="66"/>
      <c r="E162" s="66"/>
      <c r="F162" s="66"/>
      <c r="G162" s="66"/>
      <c r="H162" s="66"/>
      <c r="I162" s="66"/>
      <c r="J162" s="66"/>
      <c r="K162" s="66"/>
      <c r="L162" s="66"/>
      <c r="M162" s="66"/>
    </row>
    <row r="163" spans="1:13" ht="15" customHeight="1" x14ac:dyDescent="0.15">
      <c r="A163" s="6"/>
      <c r="B163" s="66"/>
      <c r="C163" s="66"/>
      <c r="D163" s="66"/>
      <c r="E163" s="66"/>
      <c r="F163" s="66"/>
      <c r="G163" s="66"/>
      <c r="H163" s="66"/>
      <c r="I163" s="66"/>
      <c r="J163" s="66"/>
      <c r="K163" s="66"/>
      <c r="L163" s="66"/>
      <c r="M163" s="66"/>
    </row>
    <row r="164" spans="1:13" ht="15" customHeight="1" x14ac:dyDescent="0.15">
      <c r="A164" s="6"/>
      <c r="B164" s="66"/>
      <c r="C164" s="66"/>
      <c r="D164" s="66"/>
      <c r="E164" s="66"/>
      <c r="F164" s="66"/>
      <c r="G164" s="66"/>
      <c r="H164" s="66"/>
      <c r="I164" s="66"/>
      <c r="J164" s="66"/>
      <c r="K164" s="66"/>
      <c r="L164" s="66"/>
      <c r="M164" s="66"/>
    </row>
    <row r="165" spans="1:13" ht="15" customHeight="1" x14ac:dyDescent="0.15">
      <c r="A165" s="6"/>
      <c r="B165" s="6"/>
      <c r="C165" s="6"/>
      <c r="D165" s="6"/>
      <c r="E165" s="6"/>
      <c r="F165" s="6"/>
      <c r="G165" s="6"/>
      <c r="H165" s="6"/>
      <c r="I165" s="6"/>
      <c r="J165" s="6"/>
      <c r="K165" s="6"/>
      <c r="L165" s="6"/>
      <c r="M165" s="6"/>
    </row>
    <row r="166" spans="1:13" ht="15" customHeight="1" x14ac:dyDescent="0.15">
      <c r="A166" s="8" t="s">
        <v>28</v>
      </c>
      <c r="B166" s="9" t="s">
        <v>29</v>
      </c>
      <c r="C166" s="6"/>
      <c r="D166" s="6"/>
      <c r="E166" s="6"/>
      <c r="F166" s="6"/>
      <c r="G166" s="6"/>
      <c r="H166" s="6"/>
      <c r="I166" s="6"/>
      <c r="J166" s="6"/>
      <c r="K166" s="6"/>
      <c r="L166" s="6"/>
      <c r="M166" s="6"/>
    </row>
    <row r="167" spans="1:13" ht="15" customHeight="1" x14ac:dyDescent="0.15">
      <c r="A167" s="6"/>
      <c r="B167" s="6" t="s">
        <v>37</v>
      </c>
      <c r="C167" s="6"/>
      <c r="D167" s="6"/>
      <c r="E167" s="6"/>
      <c r="F167" s="6"/>
      <c r="G167" s="6"/>
      <c r="H167" s="6"/>
      <c r="I167" s="6"/>
      <c r="J167" s="6"/>
      <c r="K167" s="6"/>
      <c r="L167" s="6"/>
      <c r="M167" s="6"/>
    </row>
    <row r="168" spans="1:13" ht="15" customHeight="1" x14ac:dyDescent="0.15">
      <c r="A168" s="6"/>
      <c r="B168" s="6" t="s">
        <v>38</v>
      </c>
      <c r="C168" s="65" t="s">
        <v>41</v>
      </c>
      <c r="D168" s="65"/>
      <c r="E168" s="65"/>
      <c r="F168" s="65"/>
      <c r="G168" s="65"/>
      <c r="H168" s="65"/>
      <c r="I168" s="65"/>
      <c r="J168" s="65"/>
      <c r="K168" s="65"/>
      <c r="L168" s="65"/>
      <c r="M168" s="65"/>
    </row>
    <row r="169" spans="1:13" ht="15" customHeight="1" x14ac:dyDescent="0.15">
      <c r="A169" s="6"/>
      <c r="B169" s="6"/>
      <c r="C169" s="65"/>
      <c r="D169" s="65"/>
      <c r="E169" s="65"/>
      <c r="F169" s="65"/>
      <c r="G169" s="65"/>
      <c r="H169" s="65"/>
      <c r="I169" s="65"/>
      <c r="J169" s="65"/>
      <c r="K169" s="65"/>
      <c r="L169" s="65"/>
      <c r="M169" s="65"/>
    </row>
    <row r="170" spans="1:13" ht="15" customHeight="1" x14ac:dyDescent="0.15">
      <c r="A170" s="6"/>
      <c r="B170" s="6" t="s">
        <v>39</v>
      </c>
      <c r="C170" s="64" t="s">
        <v>40</v>
      </c>
      <c r="D170" s="64"/>
      <c r="E170" s="64"/>
      <c r="F170" s="64"/>
      <c r="G170" s="64"/>
      <c r="H170" s="64"/>
      <c r="I170" s="64"/>
      <c r="J170" s="64"/>
      <c r="K170" s="64"/>
      <c r="L170" s="64"/>
      <c r="M170" s="64"/>
    </row>
    <row r="171" spans="1:13" ht="15" customHeight="1" x14ac:dyDescent="0.15">
      <c r="A171" s="6"/>
      <c r="B171" s="6" t="s">
        <v>42</v>
      </c>
      <c r="C171" s="64" t="s">
        <v>43</v>
      </c>
      <c r="D171" s="64"/>
      <c r="E171" s="64"/>
      <c r="F171" s="64"/>
      <c r="G171" s="64"/>
      <c r="H171" s="64"/>
      <c r="I171" s="64"/>
      <c r="J171" s="64"/>
      <c r="K171" s="64"/>
      <c r="L171" s="64"/>
      <c r="M171" s="64"/>
    </row>
    <row r="172" spans="1:13" ht="15" customHeight="1" x14ac:dyDescent="0.15">
      <c r="A172" s="6"/>
      <c r="B172" s="6" t="s">
        <v>44</v>
      </c>
      <c r="C172" s="64" t="s">
        <v>45</v>
      </c>
      <c r="D172" s="64"/>
      <c r="E172" s="64"/>
      <c r="F172" s="64"/>
      <c r="G172" s="64"/>
      <c r="H172" s="64"/>
      <c r="I172" s="64"/>
      <c r="J172" s="64"/>
      <c r="K172" s="64"/>
      <c r="L172" s="64"/>
      <c r="M172" s="64"/>
    </row>
    <row r="173" spans="1:13" ht="15" customHeight="1" x14ac:dyDescent="0.15">
      <c r="A173" s="6"/>
      <c r="B173" s="6" t="s">
        <v>46</v>
      </c>
      <c r="C173" s="64" t="s">
        <v>47</v>
      </c>
      <c r="D173" s="64"/>
      <c r="E173" s="64"/>
      <c r="F173" s="64"/>
      <c r="G173" s="64"/>
      <c r="H173" s="64"/>
      <c r="I173" s="64"/>
      <c r="J173" s="64"/>
      <c r="K173" s="64"/>
      <c r="L173" s="64"/>
      <c r="M173" s="64"/>
    </row>
    <row r="174" spans="1:13" ht="15" customHeight="1" x14ac:dyDescent="0.15">
      <c r="A174" s="6"/>
      <c r="B174" s="6" t="s">
        <v>50</v>
      </c>
      <c r="C174" s="64" t="s">
        <v>48</v>
      </c>
      <c r="D174" s="64"/>
      <c r="E174" s="64"/>
      <c r="F174" s="64"/>
      <c r="G174" s="64"/>
      <c r="H174" s="64"/>
      <c r="I174" s="64"/>
      <c r="J174" s="64"/>
      <c r="K174" s="64"/>
      <c r="L174" s="64"/>
      <c r="M174" s="64"/>
    </row>
    <row r="175" spans="1:13" ht="15" customHeight="1" x14ac:dyDescent="0.15">
      <c r="A175" s="6"/>
      <c r="B175" s="6" t="s">
        <v>51</v>
      </c>
      <c r="C175" s="64" t="s">
        <v>49</v>
      </c>
      <c r="D175" s="64"/>
      <c r="E175" s="64"/>
      <c r="F175" s="64"/>
      <c r="G175" s="64"/>
      <c r="H175" s="64"/>
      <c r="I175" s="64"/>
      <c r="J175" s="64"/>
      <c r="K175" s="64"/>
      <c r="L175" s="64"/>
      <c r="M175" s="64"/>
    </row>
    <row r="176" spans="1:13" ht="15" customHeight="1" x14ac:dyDescent="0.15">
      <c r="A176" s="6"/>
      <c r="B176" s="6" t="s">
        <v>52</v>
      </c>
      <c r="C176" s="64" t="s">
        <v>154</v>
      </c>
      <c r="D176" s="64"/>
      <c r="E176" s="64"/>
      <c r="F176" s="64"/>
      <c r="G176" s="64"/>
      <c r="H176" s="64"/>
      <c r="I176" s="64"/>
      <c r="J176" s="64"/>
      <c r="K176" s="64"/>
      <c r="L176" s="64"/>
      <c r="M176" s="64"/>
    </row>
    <row r="177" spans="1:14" ht="15" customHeight="1" x14ac:dyDescent="0.15">
      <c r="A177" s="6"/>
      <c r="B177" s="6" t="s">
        <v>53</v>
      </c>
      <c r="C177" s="65" t="s">
        <v>54</v>
      </c>
      <c r="D177" s="65"/>
      <c r="E177" s="65"/>
      <c r="F177" s="65"/>
      <c r="G177" s="65"/>
      <c r="H177" s="65"/>
      <c r="I177" s="65"/>
      <c r="J177" s="65"/>
      <c r="K177" s="65"/>
      <c r="L177" s="65"/>
      <c r="M177" s="65"/>
    </row>
    <row r="178" spans="1:14" ht="15" customHeight="1" x14ac:dyDescent="0.15">
      <c r="A178" s="6"/>
      <c r="B178" s="6"/>
      <c r="C178" s="65"/>
      <c r="D178" s="65"/>
      <c r="E178" s="65"/>
      <c r="F178" s="65"/>
      <c r="G178" s="65"/>
      <c r="H178" s="65"/>
      <c r="I178" s="65"/>
      <c r="J178" s="65"/>
      <c r="K178" s="65"/>
      <c r="L178" s="65"/>
      <c r="M178" s="65"/>
    </row>
    <row r="179" spans="1:14" ht="15" customHeight="1" x14ac:dyDescent="0.15">
      <c r="A179" s="6"/>
      <c r="B179" s="6"/>
      <c r="C179" s="6"/>
      <c r="D179" s="6"/>
      <c r="E179" s="6"/>
      <c r="F179" s="6"/>
      <c r="G179" s="6"/>
      <c r="H179" s="6"/>
      <c r="I179" s="6"/>
      <c r="J179" s="6"/>
      <c r="K179" s="6"/>
      <c r="L179" s="6"/>
      <c r="M179" s="6"/>
    </row>
    <row r="180" spans="1:14" ht="15" customHeight="1" x14ac:dyDescent="0.15">
      <c r="A180" s="6"/>
      <c r="B180" s="6"/>
      <c r="C180" s="6"/>
      <c r="D180" s="6"/>
      <c r="E180" s="6"/>
      <c r="F180" s="6"/>
      <c r="G180" s="6"/>
      <c r="H180" s="6"/>
      <c r="I180" s="6"/>
      <c r="J180" s="6"/>
      <c r="K180" s="6"/>
      <c r="L180" s="6"/>
      <c r="M180" s="13" t="str">
        <f>[94]Base_01!$C$4&amp;", …..  …........................  2026"</f>
        <v>Sorong, …..  …........................  2026</v>
      </c>
    </row>
    <row r="181" spans="1:14" ht="15" customHeight="1" x14ac:dyDescent="0.15">
      <c r="A181" s="6"/>
      <c r="B181" s="6"/>
      <c r="C181" s="6"/>
      <c r="D181" s="6"/>
      <c r="E181" s="6"/>
      <c r="F181" s="6"/>
      <c r="G181" s="6"/>
      <c r="H181" s="6"/>
      <c r="I181" s="6"/>
      <c r="J181" s="6"/>
      <c r="K181" s="6"/>
      <c r="L181" s="6"/>
      <c r="M181" s="6"/>
    </row>
    <row r="182" spans="1:14" ht="15" customHeight="1" x14ac:dyDescent="0.15">
      <c r="A182" s="6"/>
      <c r="B182" s="63" t="s">
        <v>57</v>
      </c>
      <c r="C182" s="63"/>
      <c r="D182" s="63"/>
      <c r="E182" s="63"/>
      <c r="F182" s="63" t="s">
        <v>56</v>
      </c>
      <c r="G182" s="63"/>
      <c r="H182" s="63"/>
      <c r="I182" s="63"/>
      <c r="J182" s="6"/>
      <c r="K182" s="6"/>
      <c r="L182" s="6"/>
      <c r="M182" s="6"/>
    </row>
    <row r="183" spans="1:14" ht="15" customHeight="1" x14ac:dyDescent="0.15">
      <c r="A183" s="6"/>
      <c r="B183" s="63" t="s">
        <v>60</v>
      </c>
      <c r="C183" s="63"/>
      <c r="D183" s="63"/>
      <c r="E183" s="63"/>
      <c r="F183" s="63" t="s">
        <v>58</v>
      </c>
      <c r="G183" s="63"/>
      <c r="H183" s="63"/>
      <c r="I183" s="63"/>
      <c r="J183" s="63" t="s">
        <v>55</v>
      </c>
      <c r="K183" s="63"/>
      <c r="L183" s="63"/>
      <c r="M183" s="63"/>
    </row>
    <row r="184" spans="1:14" ht="15" customHeight="1" x14ac:dyDescent="0.15">
      <c r="A184" s="6"/>
      <c r="B184" s="63" t="str">
        <f>[94]Base_01!$B$4&amp;" "&amp;[94]Base_01!$C$4</f>
        <v>Kota Sorong</v>
      </c>
      <c r="C184" s="63"/>
      <c r="D184" s="63"/>
      <c r="E184" s="63"/>
      <c r="F184" s="63" t="s">
        <v>59</v>
      </c>
      <c r="G184" s="63"/>
      <c r="H184" s="63"/>
      <c r="I184" s="63"/>
      <c r="J184" s="6"/>
      <c r="K184" s="6"/>
      <c r="L184" s="6"/>
      <c r="M184" s="6"/>
    </row>
    <row r="185" spans="1:14" ht="15" customHeight="1" x14ac:dyDescent="0.15">
      <c r="A185" s="6"/>
      <c r="B185" s="14"/>
      <c r="C185" s="14"/>
      <c r="D185" s="14"/>
      <c r="E185" s="14"/>
      <c r="F185" s="14"/>
      <c r="G185" s="14"/>
      <c r="H185" s="14"/>
      <c r="I185" s="6"/>
      <c r="J185" s="6"/>
      <c r="K185" s="6"/>
      <c r="L185" s="6"/>
      <c r="M185" s="6"/>
    </row>
    <row r="186" spans="1:14" ht="15" customHeight="1" x14ac:dyDescent="0.15">
      <c r="A186" s="6"/>
      <c r="B186" s="14"/>
      <c r="C186" s="14"/>
      <c r="D186" s="14"/>
      <c r="E186" s="14"/>
      <c r="F186" s="14"/>
      <c r="G186" s="14"/>
      <c r="H186" s="14"/>
      <c r="I186" s="6"/>
      <c r="J186" s="6"/>
      <c r="K186" s="6"/>
      <c r="L186" s="6"/>
      <c r="M186" s="6"/>
    </row>
    <row r="187" spans="1:14" ht="15" customHeight="1" x14ac:dyDescent="0.15">
      <c r="A187" s="6"/>
      <c r="B187" s="6"/>
      <c r="C187" s="6"/>
      <c r="D187" s="6"/>
      <c r="E187" s="6"/>
      <c r="F187" s="6"/>
      <c r="G187" s="6"/>
      <c r="H187" s="6"/>
      <c r="I187" s="6"/>
      <c r="J187" s="6"/>
      <c r="K187" s="6"/>
      <c r="L187" s="6"/>
      <c r="M187" s="6"/>
    </row>
    <row r="188" spans="1:14" ht="15" customHeight="1" x14ac:dyDescent="0.15">
      <c r="A188" s="6"/>
      <c r="B188" s="6"/>
      <c r="C188" s="6"/>
      <c r="D188" s="6"/>
      <c r="E188" s="6"/>
      <c r="F188" s="6"/>
      <c r="G188" s="6"/>
      <c r="H188" s="6"/>
      <c r="I188" s="6"/>
      <c r="J188" s="6"/>
      <c r="K188" s="6"/>
      <c r="L188" s="6"/>
      <c r="M188" s="6"/>
    </row>
    <row r="189" spans="1:14" ht="15" customHeight="1" x14ac:dyDescent="0.15">
      <c r="A189" s="6"/>
      <c r="B189" s="63" t="str">
        <f>[94]Base_01!$C$17</f>
        <v>AfrIandi Yudhistira, S.T.</v>
      </c>
      <c r="C189" s="63"/>
      <c r="D189" s="63"/>
      <c r="E189" s="63"/>
      <c r="F189" s="63" t="str">
        <f>[94]Base_01!$C$20</f>
        <v>…...............         …...............</v>
      </c>
      <c r="G189" s="63"/>
      <c r="H189" s="63"/>
      <c r="I189" s="63"/>
      <c r="J189" s="63" t="str">
        <f>G131</f>
        <v>Nama PB 3</v>
      </c>
      <c r="K189" s="63"/>
      <c r="L189" s="63"/>
      <c r="M189" s="63"/>
    </row>
    <row r="190" spans="1:14" ht="16" customHeight="1" x14ac:dyDescent="0.15">
      <c r="A190" s="67" t="s">
        <v>14</v>
      </c>
      <c r="B190" s="67"/>
      <c r="C190" s="67"/>
      <c r="D190" s="67"/>
      <c r="E190" s="67"/>
      <c r="F190" s="67"/>
      <c r="G190" s="67"/>
      <c r="H190" s="67"/>
      <c r="I190" s="67"/>
      <c r="J190" s="67"/>
      <c r="K190" s="67"/>
      <c r="L190" s="67"/>
      <c r="M190" s="67"/>
      <c r="N190" s="5">
        <f>N127+1</f>
        <v>4</v>
      </c>
    </row>
    <row r="191" spans="1:14" ht="16" customHeight="1" x14ac:dyDescent="0.15">
      <c r="A191" s="67" t="str">
        <f>"NOMOR "&amp;VLOOKUP($N190,[94]Base_02!$A$5:$AD$24,2,0)</f>
        <v>NOMOR 000004</v>
      </c>
      <c r="B191" s="67"/>
      <c r="C191" s="67"/>
      <c r="D191" s="67"/>
      <c r="E191" s="67"/>
      <c r="F191" s="67"/>
      <c r="G191" s="67"/>
      <c r="H191" s="67"/>
      <c r="I191" s="67"/>
      <c r="J191" s="67"/>
      <c r="K191" s="67"/>
      <c r="L191" s="67"/>
      <c r="M191" s="67"/>
    </row>
    <row r="192" spans="1:14" x14ac:dyDescent="0.15">
      <c r="A192" s="6"/>
      <c r="B192" s="7"/>
      <c r="C192" s="7"/>
      <c r="D192" s="7"/>
      <c r="E192" s="7"/>
      <c r="F192" s="7"/>
      <c r="G192" s="7"/>
      <c r="H192" s="7"/>
      <c r="I192" s="7"/>
      <c r="J192" s="7"/>
      <c r="K192" s="6"/>
      <c r="L192" s="6"/>
      <c r="M192" s="6"/>
    </row>
    <row r="193" spans="1:17" ht="15" customHeight="1" x14ac:dyDescent="0.15">
      <c r="A193" s="8" t="s">
        <v>13</v>
      </c>
      <c r="B193" s="9" t="s">
        <v>15</v>
      </c>
      <c r="C193" s="6"/>
      <c r="D193" s="6"/>
      <c r="E193" s="6"/>
      <c r="F193" s="6"/>
      <c r="G193" s="6"/>
      <c r="H193" s="6"/>
      <c r="I193" s="6"/>
      <c r="J193" s="6"/>
      <c r="K193" s="6"/>
      <c r="L193" s="6"/>
      <c r="M193" s="6"/>
    </row>
    <row r="194" spans="1:17" ht="15" customHeight="1" x14ac:dyDescent="0.15">
      <c r="A194" s="6"/>
      <c r="B194" s="57" t="s">
        <v>16</v>
      </c>
      <c r="C194" s="57"/>
      <c r="D194" s="57"/>
      <c r="E194" s="57"/>
      <c r="F194" s="57"/>
      <c r="G194" s="6" t="str">
        <f>VLOOKUP($N190,[94]Base_02!$A$5:$AD$24,3,0)</f>
        <v>Nama PB 4</v>
      </c>
      <c r="H194" s="6"/>
      <c r="I194" s="6"/>
      <c r="J194" s="6"/>
      <c r="K194" s="6"/>
      <c r="L194" s="6"/>
      <c r="M194" s="6"/>
    </row>
    <row r="195" spans="1:17" ht="15" customHeight="1" x14ac:dyDescent="0.15">
      <c r="A195" s="6"/>
      <c r="B195" s="57" t="s">
        <v>17</v>
      </c>
      <c r="C195" s="57"/>
      <c r="D195" s="57"/>
      <c r="E195" s="57"/>
      <c r="F195" s="57"/>
      <c r="G195" s="6" t="str">
        <f>VLOOKUP($N190,[94]Base_02!$A$5:$AD$24,14,0)</f>
        <v>3304160101830004</v>
      </c>
      <c r="H195" s="6"/>
      <c r="I195" s="6"/>
      <c r="J195" s="6"/>
      <c r="K195" s="6"/>
      <c r="L195" s="6"/>
      <c r="M195" s="6"/>
    </row>
    <row r="196" spans="1:17" ht="15" customHeight="1" x14ac:dyDescent="0.15">
      <c r="A196" s="6"/>
      <c r="B196" s="57" t="s">
        <v>18</v>
      </c>
      <c r="C196" s="57"/>
      <c r="D196" s="57"/>
      <c r="E196" s="57"/>
      <c r="F196" s="57"/>
      <c r="G196" s="6" t="str">
        <f>VLOOKUP(N190,[94]Base_02!$A$5:$Z$24,11,FALSE)&amp;", RT "&amp;VLOOKUP(N190,[94]Base_02!$A$5:$Z$24,12,FALSE)&amp;", RW "&amp;VLOOKUP(N190,[94]Base_02!$A$5:$Z$24,13,FALSE)</f>
        <v>Jalan Kanal Victory, RT 1, RW 1</v>
      </c>
      <c r="H196" s="6"/>
      <c r="I196" s="6"/>
      <c r="J196" s="6"/>
      <c r="K196" s="6"/>
      <c r="L196" s="6"/>
      <c r="M196" s="6"/>
    </row>
    <row r="197" spans="1:17" ht="15" customHeight="1" x14ac:dyDescent="0.15">
      <c r="A197" s="6"/>
      <c r="B197" s="57" t="str">
        <f>[94]Base_01!$B$2</f>
        <v>Kelurahan</v>
      </c>
      <c r="C197" s="57"/>
      <c r="D197" s="57"/>
      <c r="E197" s="57"/>
      <c r="F197" s="57"/>
      <c r="G197" s="10" t="str">
        <f>[94]Base_01!$C$2</f>
        <v>Klasabi</v>
      </c>
      <c r="H197" s="6"/>
      <c r="I197" s="6"/>
      <c r="J197" s="6"/>
      <c r="K197" s="6"/>
      <c r="L197" s="6"/>
      <c r="M197" s="6"/>
    </row>
    <row r="198" spans="1:17" ht="15" customHeight="1" x14ac:dyDescent="0.15">
      <c r="A198" s="6"/>
      <c r="B198" s="57" t="s">
        <v>19</v>
      </c>
      <c r="C198" s="57"/>
      <c r="D198" s="57"/>
      <c r="E198" s="57"/>
      <c r="F198" s="57"/>
      <c r="G198" s="10" t="str">
        <f>[94]Base_01!$C$3</f>
        <v>Sorong Manoi</v>
      </c>
      <c r="H198" s="6"/>
      <c r="I198" s="6"/>
      <c r="J198" s="6"/>
      <c r="K198" s="6"/>
      <c r="L198" s="6"/>
      <c r="M198" s="6"/>
    </row>
    <row r="199" spans="1:17" ht="15" customHeight="1" x14ac:dyDescent="0.15">
      <c r="A199" s="6"/>
      <c r="B199" s="57" t="str">
        <f>[94]Base_01!$B$4</f>
        <v>Kota</v>
      </c>
      <c r="C199" s="57"/>
      <c r="D199" s="57"/>
      <c r="E199" s="57"/>
      <c r="F199" s="57"/>
      <c r="G199" s="10" t="str">
        <f>[94]Base_01!$C$4</f>
        <v>Sorong</v>
      </c>
      <c r="H199" s="6"/>
      <c r="I199" s="6"/>
      <c r="J199" s="6"/>
      <c r="K199" s="6"/>
      <c r="L199" s="6"/>
      <c r="M199" s="6"/>
    </row>
    <row r="200" spans="1:17" ht="15" customHeight="1" x14ac:dyDescent="0.15">
      <c r="A200" s="6"/>
      <c r="B200" s="57" t="s">
        <v>20</v>
      </c>
      <c r="C200" s="57"/>
      <c r="D200" s="57"/>
      <c r="E200" s="57"/>
      <c r="F200" s="57"/>
      <c r="G200" s="11" t="str">
        <f>[94]Base_01!$C$5</f>
        <v>Papua Barat Daya</v>
      </c>
      <c r="H200" s="6"/>
      <c r="I200" s="6"/>
      <c r="J200" s="6"/>
      <c r="K200" s="6"/>
      <c r="L200" s="6"/>
      <c r="M200" s="6"/>
    </row>
    <row r="201" spans="1:17" ht="15" customHeight="1" x14ac:dyDescent="0.15">
      <c r="A201" s="6"/>
      <c r="B201" s="57" t="s">
        <v>21</v>
      </c>
      <c r="C201" s="57"/>
      <c r="D201" s="57"/>
      <c r="E201" s="57"/>
      <c r="F201" s="57"/>
      <c r="G201" s="6" t="str">
        <f>VLOOKUP($N190,[94]Base_02!$A$5:$AG$24,32,0)&amp;" - "&amp;VLOOKUP($N190,[94]Base_02!$A$5:$AG$24,31,0)</f>
        <v>1600006544239 - Bank Mandiri</v>
      </c>
      <c r="H201" s="6"/>
      <c r="I201" s="6"/>
      <c r="J201" s="6"/>
      <c r="K201" s="6"/>
      <c r="L201" s="6"/>
      <c r="M201" s="6"/>
    </row>
    <row r="202" spans="1:17" ht="15" customHeight="1" x14ac:dyDescent="0.15">
      <c r="A202" s="6"/>
      <c r="B202" s="6"/>
      <c r="C202" s="6"/>
      <c r="D202" s="6"/>
      <c r="E202" s="6"/>
      <c r="F202" s="6"/>
      <c r="G202" s="6"/>
      <c r="H202" s="6"/>
      <c r="I202" s="6"/>
      <c r="J202" s="6"/>
      <c r="K202" s="6"/>
      <c r="L202" s="6"/>
      <c r="M202" s="6"/>
    </row>
    <row r="203" spans="1:17" ht="15" customHeight="1" x14ac:dyDescent="0.15">
      <c r="A203" s="8" t="s">
        <v>22</v>
      </c>
      <c r="B203" s="9" t="s">
        <v>23</v>
      </c>
      <c r="C203" s="6"/>
      <c r="D203" s="6"/>
      <c r="E203" s="6"/>
      <c r="F203" s="6"/>
      <c r="G203" s="6"/>
      <c r="H203" s="6"/>
      <c r="I203" s="6"/>
      <c r="J203" s="6"/>
      <c r="K203" s="6"/>
      <c r="L203" s="6"/>
      <c r="M203" s="6"/>
    </row>
    <row r="204" spans="1:17" ht="15" customHeight="1" x14ac:dyDescent="0.15">
      <c r="A204" s="6"/>
      <c r="B204" s="66" t="s">
        <v>30</v>
      </c>
      <c r="C204" s="66"/>
      <c r="D204" s="66"/>
      <c r="E204" s="66"/>
      <c r="F204" s="66" t="s">
        <v>31</v>
      </c>
      <c r="G204" s="66"/>
      <c r="H204" s="66"/>
      <c r="I204" s="66"/>
      <c r="J204" s="66" t="s">
        <v>32</v>
      </c>
      <c r="K204" s="66"/>
      <c r="L204" s="66"/>
      <c r="M204" s="66"/>
      <c r="O204" s="15" t="s">
        <v>61</v>
      </c>
    </row>
    <row r="205" spans="1:17" ht="15" customHeight="1" x14ac:dyDescent="0.15">
      <c r="A205" s="6"/>
      <c r="B205" s="66"/>
      <c r="C205" s="66"/>
      <c r="D205" s="66"/>
      <c r="E205" s="66"/>
      <c r="F205" s="66"/>
      <c r="G205" s="66"/>
      <c r="H205" s="66"/>
      <c r="I205" s="66"/>
      <c r="J205" s="66"/>
      <c r="K205" s="66"/>
      <c r="L205" s="66"/>
      <c r="M205" s="66"/>
      <c r="Q205" s="5" t="s">
        <v>62</v>
      </c>
    </row>
    <row r="206" spans="1:17" ht="15" customHeight="1" x14ac:dyDescent="0.15">
      <c r="A206" s="6"/>
      <c r="B206" s="66"/>
      <c r="C206" s="66"/>
      <c r="D206" s="66"/>
      <c r="E206" s="66"/>
      <c r="F206" s="66"/>
      <c r="G206" s="66"/>
      <c r="H206" s="66"/>
      <c r="I206" s="66"/>
      <c r="J206" s="66"/>
      <c r="K206" s="66"/>
      <c r="L206" s="66"/>
      <c r="M206" s="66"/>
    </row>
    <row r="207" spans="1:17" ht="15" customHeight="1" x14ac:dyDescent="0.15">
      <c r="A207" s="6"/>
      <c r="B207" s="66"/>
      <c r="C207" s="66"/>
      <c r="D207" s="66"/>
      <c r="E207" s="66"/>
      <c r="F207" s="66"/>
      <c r="G207" s="66"/>
      <c r="H207" s="66"/>
      <c r="I207" s="66"/>
      <c r="J207" s="66"/>
      <c r="K207" s="66"/>
      <c r="L207" s="66"/>
      <c r="M207" s="66"/>
    </row>
    <row r="208" spans="1:17" ht="15" customHeight="1" x14ac:dyDescent="0.15">
      <c r="A208" s="6"/>
      <c r="B208" s="66"/>
      <c r="C208" s="66"/>
      <c r="D208" s="66"/>
      <c r="E208" s="66"/>
      <c r="F208" s="66"/>
      <c r="G208" s="66"/>
      <c r="H208" s="66"/>
      <c r="I208" s="66"/>
      <c r="J208" s="66"/>
      <c r="K208" s="66"/>
      <c r="L208" s="66"/>
      <c r="M208" s="66"/>
    </row>
    <row r="209" spans="1:13" ht="15" customHeight="1" x14ac:dyDescent="0.15">
      <c r="A209" s="6"/>
      <c r="B209" s="66"/>
      <c r="C209" s="66"/>
      <c r="D209" s="66"/>
      <c r="E209" s="66"/>
      <c r="F209" s="66"/>
      <c r="G209" s="66"/>
      <c r="H209" s="66"/>
      <c r="I209" s="66"/>
      <c r="J209" s="66"/>
      <c r="K209" s="66"/>
      <c r="L209" s="66"/>
      <c r="M209" s="66"/>
    </row>
    <row r="210" spans="1:13" ht="15" customHeight="1" x14ac:dyDescent="0.15">
      <c r="A210" s="6"/>
      <c r="B210" s="6"/>
      <c r="C210" s="6"/>
      <c r="D210" s="6"/>
      <c r="E210" s="6"/>
      <c r="F210" s="6"/>
      <c r="G210" s="6"/>
      <c r="H210" s="6"/>
      <c r="I210" s="6"/>
      <c r="J210" s="6"/>
      <c r="K210" s="6"/>
      <c r="L210" s="6"/>
      <c r="M210" s="6"/>
    </row>
    <row r="211" spans="1:13" ht="15" customHeight="1" x14ac:dyDescent="0.15">
      <c r="A211" s="8" t="s">
        <v>24</v>
      </c>
      <c r="B211" s="9" t="s">
        <v>25</v>
      </c>
      <c r="C211" s="6"/>
      <c r="D211" s="6"/>
      <c r="E211" s="6"/>
      <c r="F211" s="6"/>
      <c r="G211" s="6"/>
      <c r="H211" s="6"/>
      <c r="I211" s="6"/>
      <c r="J211" s="6"/>
      <c r="K211" s="6"/>
      <c r="L211" s="6"/>
      <c r="M211" s="6"/>
    </row>
    <row r="212" spans="1:13" ht="15" customHeight="1" x14ac:dyDescent="0.15">
      <c r="A212" s="12"/>
      <c r="B212" s="66" t="s">
        <v>35</v>
      </c>
      <c r="C212" s="66"/>
      <c r="D212" s="66"/>
      <c r="E212" s="66"/>
      <c r="F212" s="66"/>
      <c r="G212" s="66"/>
      <c r="H212" s="66" t="s">
        <v>36</v>
      </c>
      <c r="I212" s="66"/>
      <c r="J212" s="66"/>
      <c r="K212" s="66"/>
      <c r="L212" s="66"/>
      <c r="M212" s="66"/>
    </row>
    <row r="213" spans="1:13" ht="15" customHeight="1" x14ac:dyDescent="0.15">
      <c r="A213" s="6"/>
      <c r="B213" s="66"/>
      <c r="C213" s="66"/>
      <c r="D213" s="66"/>
      <c r="E213" s="66"/>
      <c r="F213" s="66"/>
      <c r="G213" s="66"/>
      <c r="H213" s="66"/>
      <c r="I213" s="66"/>
      <c r="J213" s="66"/>
      <c r="K213" s="66"/>
      <c r="L213" s="66"/>
      <c r="M213" s="66"/>
    </row>
    <row r="214" spans="1:13" ht="15" customHeight="1" x14ac:dyDescent="0.15">
      <c r="A214" s="6"/>
      <c r="B214" s="66"/>
      <c r="C214" s="66"/>
      <c r="D214" s="66"/>
      <c r="E214" s="66"/>
      <c r="F214" s="66"/>
      <c r="G214" s="66"/>
      <c r="H214" s="66"/>
      <c r="I214" s="66"/>
      <c r="J214" s="66"/>
      <c r="K214" s="66"/>
      <c r="L214" s="66"/>
      <c r="M214" s="66"/>
    </row>
    <row r="215" spans="1:13" ht="15" customHeight="1" x14ac:dyDescent="0.15">
      <c r="A215" s="6"/>
      <c r="B215" s="66"/>
      <c r="C215" s="66"/>
      <c r="D215" s="66"/>
      <c r="E215" s="66"/>
      <c r="F215" s="66"/>
      <c r="G215" s="66"/>
      <c r="H215" s="66"/>
      <c r="I215" s="66"/>
      <c r="J215" s="66"/>
      <c r="K215" s="66"/>
      <c r="L215" s="66"/>
      <c r="M215" s="66"/>
    </row>
    <row r="216" spans="1:13" ht="15" customHeight="1" x14ac:dyDescent="0.15">
      <c r="A216" s="6"/>
      <c r="B216" s="66"/>
      <c r="C216" s="66"/>
      <c r="D216" s="66"/>
      <c r="E216" s="66"/>
      <c r="F216" s="66"/>
      <c r="G216" s="66"/>
      <c r="H216" s="66"/>
      <c r="I216" s="66"/>
      <c r="J216" s="66"/>
      <c r="K216" s="66"/>
      <c r="L216" s="66"/>
      <c r="M216" s="66"/>
    </row>
    <row r="217" spans="1:13" ht="15" customHeight="1" x14ac:dyDescent="0.15">
      <c r="A217" s="6"/>
      <c r="B217" s="66"/>
      <c r="C217" s="66"/>
      <c r="D217" s="66"/>
      <c r="E217" s="66"/>
      <c r="F217" s="66"/>
      <c r="G217" s="66"/>
      <c r="H217" s="66"/>
      <c r="I217" s="66"/>
      <c r="J217" s="66"/>
      <c r="K217" s="66"/>
      <c r="L217" s="66"/>
      <c r="M217" s="66"/>
    </row>
    <row r="218" spans="1:13" ht="15" customHeight="1" x14ac:dyDescent="0.15">
      <c r="A218" s="6"/>
      <c r="B218" s="66"/>
      <c r="C218" s="66"/>
      <c r="D218" s="66"/>
      <c r="E218" s="66"/>
      <c r="F218" s="66"/>
      <c r="G218" s="66"/>
      <c r="H218" s="66"/>
      <c r="I218" s="66"/>
      <c r="J218" s="66"/>
      <c r="K218" s="66"/>
      <c r="L218" s="66"/>
      <c r="M218" s="66"/>
    </row>
    <row r="219" spans="1:13" ht="15" customHeight="1" x14ac:dyDescent="0.15">
      <c r="A219" s="6"/>
      <c r="B219" s="66"/>
      <c r="C219" s="66"/>
      <c r="D219" s="66"/>
      <c r="E219" s="66"/>
      <c r="F219" s="66"/>
      <c r="G219" s="66"/>
      <c r="H219" s="66"/>
      <c r="I219" s="66"/>
      <c r="J219" s="66"/>
      <c r="K219" s="66"/>
      <c r="L219" s="66"/>
      <c r="M219" s="66"/>
    </row>
    <row r="220" spans="1:13" ht="15" customHeight="1" x14ac:dyDescent="0.15">
      <c r="A220" s="6"/>
      <c r="B220" s="6"/>
      <c r="C220" s="6"/>
      <c r="D220" s="6"/>
      <c r="E220" s="6"/>
      <c r="F220" s="6"/>
      <c r="G220" s="6"/>
      <c r="H220" s="6"/>
      <c r="I220" s="6"/>
      <c r="J220" s="6"/>
      <c r="K220" s="6"/>
      <c r="L220" s="6"/>
      <c r="M220" s="6"/>
    </row>
    <row r="221" spans="1:13" ht="15" customHeight="1" x14ac:dyDescent="0.15">
      <c r="A221" s="8" t="s">
        <v>26</v>
      </c>
      <c r="B221" s="9" t="s">
        <v>27</v>
      </c>
      <c r="C221" s="6"/>
      <c r="D221" s="6"/>
      <c r="E221" s="6"/>
      <c r="F221" s="6"/>
      <c r="G221" s="6"/>
      <c r="H221" s="6"/>
      <c r="I221" s="6"/>
      <c r="J221" s="6"/>
      <c r="K221" s="6"/>
      <c r="L221" s="6"/>
      <c r="M221" s="6"/>
    </row>
    <row r="222" spans="1:13" ht="15" customHeight="1" x14ac:dyDescent="0.15">
      <c r="A222" s="12"/>
      <c r="B222" s="66" t="s">
        <v>30</v>
      </c>
      <c r="C222" s="66"/>
      <c r="D222" s="66"/>
      <c r="E222" s="66"/>
      <c r="F222" s="66" t="s">
        <v>33</v>
      </c>
      <c r="G222" s="66"/>
      <c r="H222" s="66"/>
      <c r="I222" s="66"/>
      <c r="J222" s="66" t="s">
        <v>34</v>
      </c>
      <c r="K222" s="66"/>
      <c r="L222" s="66"/>
      <c r="M222" s="66"/>
    </row>
    <row r="223" spans="1:13" ht="15" customHeight="1" x14ac:dyDescent="0.15">
      <c r="A223" s="6"/>
      <c r="B223" s="66"/>
      <c r="C223" s="66"/>
      <c r="D223" s="66"/>
      <c r="E223" s="66"/>
      <c r="F223" s="66"/>
      <c r="G223" s="66"/>
      <c r="H223" s="66"/>
      <c r="I223" s="66"/>
      <c r="J223" s="66"/>
      <c r="K223" s="66"/>
      <c r="L223" s="66"/>
      <c r="M223" s="66"/>
    </row>
    <row r="224" spans="1:13" ht="15" customHeight="1" x14ac:dyDescent="0.15">
      <c r="A224" s="6"/>
      <c r="B224" s="66"/>
      <c r="C224" s="66"/>
      <c r="D224" s="66"/>
      <c r="E224" s="66"/>
      <c r="F224" s="66"/>
      <c r="G224" s="66"/>
      <c r="H224" s="66"/>
      <c r="I224" s="66"/>
      <c r="J224" s="66"/>
      <c r="K224" s="66"/>
      <c r="L224" s="66"/>
      <c r="M224" s="66"/>
    </row>
    <row r="225" spans="1:13" ht="15" customHeight="1" x14ac:dyDescent="0.15">
      <c r="A225" s="6"/>
      <c r="B225" s="66"/>
      <c r="C225" s="66"/>
      <c r="D225" s="66"/>
      <c r="E225" s="66"/>
      <c r="F225" s="66"/>
      <c r="G225" s="66"/>
      <c r="H225" s="66"/>
      <c r="I225" s="66"/>
      <c r="J225" s="66"/>
      <c r="K225" s="66"/>
      <c r="L225" s="66"/>
      <c r="M225" s="66"/>
    </row>
    <row r="226" spans="1:13" ht="15" customHeight="1" x14ac:dyDescent="0.15">
      <c r="A226" s="6"/>
      <c r="B226" s="66"/>
      <c r="C226" s="66"/>
      <c r="D226" s="66"/>
      <c r="E226" s="66"/>
      <c r="F226" s="66"/>
      <c r="G226" s="66"/>
      <c r="H226" s="66"/>
      <c r="I226" s="66"/>
      <c r="J226" s="66"/>
      <c r="K226" s="66"/>
      <c r="L226" s="66"/>
      <c r="M226" s="66"/>
    </row>
    <row r="227" spans="1:13" ht="15" customHeight="1" x14ac:dyDescent="0.15">
      <c r="A227" s="6"/>
      <c r="B227" s="66"/>
      <c r="C227" s="66"/>
      <c r="D227" s="66"/>
      <c r="E227" s="66"/>
      <c r="F227" s="66"/>
      <c r="G227" s="66"/>
      <c r="H227" s="66"/>
      <c r="I227" s="66"/>
      <c r="J227" s="66"/>
      <c r="K227" s="66"/>
      <c r="L227" s="66"/>
      <c r="M227" s="66"/>
    </row>
    <row r="228" spans="1:13" ht="15" customHeight="1" x14ac:dyDescent="0.15">
      <c r="A228" s="6"/>
      <c r="B228" s="6"/>
      <c r="C228" s="6"/>
      <c r="D228" s="6"/>
      <c r="E228" s="6"/>
      <c r="F228" s="6"/>
      <c r="G228" s="6"/>
      <c r="H228" s="6"/>
      <c r="I228" s="6"/>
      <c r="J228" s="6"/>
      <c r="K228" s="6"/>
      <c r="L228" s="6"/>
      <c r="M228" s="6"/>
    </row>
    <row r="229" spans="1:13" ht="15" customHeight="1" x14ac:dyDescent="0.15">
      <c r="A229" s="8" t="s">
        <v>28</v>
      </c>
      <c r="B229" s="9" t="s">
        <v>29</v>
      </c>
      <c r="C229" s="6"/>
      <c r="D229" s="6"/>
      <c r="E229" s="6"/>
      <c r="F229" s="6"/>
      <c r="G229" s="6"/>
      <c r="H229" s="6"/>
      <c r="I229" s="6"/>
      <c r="J229" s="6"/>
      <c r="K229" s="6"/>
      <c r="L229" s="6"/>
      <c r="M229" s="6"/>
    </row>
    <row r="230" spans="1:13" ht="15" customHeight="1" x14ac:dyDescent="0.15">
      <c r="A230" s="6"/>
      <c r="B230" s="6" t="s">
        <v>37</v>
      </c>
      <c r="C230" s="6"/>
      <c r="D230" s="6"/>
      <c r="E230" s="6"/>
      <c r="F230" s="6"/>
      <c r="G230" s="6"/>
      <c r="H230" s="6"/>
      <c r="I230" s="6"/>
      <c r="J230" s="6"/>
      <c r="K230" s="6"/>
      <c r="L230" s="6"/>
      <c r="M230" s="6"/>
    </row>
    <row r="231" spans="1:13" ht="15" customHeight="1" x14ac:dyDescent="0.15">
      <c r="A231" s="6"/>
      <c r="B231" s="6" t="s">
        <v>38</v>
      </c>
      <c r="C231" s="65" t="s">
        <v>41</v>
      </c>
      <c r="D231" s="65"/>
      <c r="E231" s="65"/>
      <c r="F231" s="65"/>
      <c r="G231" s="65"/>
      <c r="H231" s="65"/>
      <c r="I231" s="65"/>
      <c r="J231" s="65"/>
      <c r="K231" s="65"/>
      <c r="L231" s="65"/>
      <c r="M231" s="65"/>
    </row>
    <row r="232" spans="1:13" ht="15" customHeight="1" x14ac:dyDescent="0.15">
      <c r="A232" s="6"/>
      <c r="B232" s="6"/>
      <c r="C232" s="65"/>
      <c r="D232" s="65"/>
      <c r="E232" s="65"/>
      <c r="F232" s="65"/>
      <c r="G232" s="65"/>
      <c r="H232" s="65"/>
      <c r="I232" s="65"/>
      <c r="J232" s="65"/>
      <c r="K232" s="65"/>
      <c r="L232" s="65"/>
      <c r="M232" s="65"/>
    </row>
    <row r="233" spans="1:13" ht="15" customHeight="1" x14ac:dyDescent="0.15">
      <c r="A233" s="6"/>
      <c r="B233" s="6" t="s">
        <v>39</v>
      </c>
      <c r="C233" s="64" t="s">
        <v>40</v>
      </c>
      <c r="D233" s="64"/>
      <c r="E233" s="64"/>
      <c r="F233" s="64"/>
      <c r="G233" s="64"/>
      <c r="H233" s="64"/>
      <c r="I233" s="64"/>
      <c r="J233" s="64"/>
      <c r="K233" s="64"/>
      <c r="L233" s="64"/>
      <c r="M233" s="64"/>
    </row>
    <row r="234" spans="1:13" ht="15" customHeight="1" x14ac:dyDescent="0.15">
      <c r="A234" s="6"/>
      <c r="B234" s="6" t="s">
        <v>42</v>
      </c>
      <c r="C234" s="64" t="s">
        <v>43</v>
      </c>
      <c r="D234" s="64"/>
      <c r="E234" s="64"/>
      <c r="F234" s="64"/>
      <c r="G234" s="64"/>
      <c r="H234" s="64"/>
      <c r="I234" s="64"/>
      <c r="J234" s="64"/>
      <c r="K234" s="64"/>
      <c r="L234" s="64"/>
      <c r="M234" s="64"/>
    </row>
    <row r="235" spans="1:13" ht="15" customHeight="1" x14ac:dyDescent="0.15">
      <c r="A235" s="6"/>
      <c r="B235" s="6" t="s">
        <v>44</v>
      </c>
      <c r="C235" s="64" t="s">
        <v>45</v>
      </c>
      <c r="D235" s="64"/>
      <c r="E235" s="64"/>
      <c r="F235" s="64"/>
      <c r="G235" s="64"/>
      <c r="H235" s="64"/>
      <c r="I235" s="64"/>
      <c r="J235" s="64"/>
      <c r="K235" s="64"/>
      <c r="L235" s="64"/>
      <c r="M235" s="64"/>
    </row>
    <row r="236" spans="1:13" ht="15" customHeight="1" x14ac:dyDescent="0.15">
      <c r="A236" s="6"/>
      <c r="B236" s="6" t="s">
        <v>46</v>
      </c>
      <c r="C236" s="64" t="s">
        <v>47</v>
      </c>
      <c r="D236" s="64"/>
      <c r="E236" s="64"/>
      <c r="F236" s="64"/>
      <c r="G236" s="64"/>
      <c r="H236" s="64"/>
      <c r="I236" s="64"/>
      <c r="J236" s="64"/>
      <c r="K236" s="64"/>
      <c r="L236" s="64"/>
      <c r="M236" s="64"/>
    </row>
    <row r="237" spans="1:13" ht="15" customHeight="1" x14ac:dyDescent="0.15">
      <c r="A237" s="6"/>
      <c r="B237" s="6" t="s">
        <v>50</v>
      </c>
      <c r="C237" s="64" t="s">
        <v>48</v>
      </c>
      <c r="D237" s="64"/>
      <c r="E237" s="64"/>
      <c r="F237" s="64"/>
      <c r="G237" s="64"/>
      <c r="H237" s="64"/>
      <c r="I237" s="64"/>
      <c r="J237" s="64"/>
      <c r="K237" s="64"/>
      <c r="L237" s="64"/>
      <c r="M237" s="64"/>
    </row>
    <row r="238" spans="1:13" ht="15" customHeight="1" x14ac:dyDescent="0.15">
      <c r="A238" s="6"/>
      <c r="B238" s="6" t="s">
        <v>51</v>
      </c>
      <c r="C238" s="64" t="s">
        <v>49</v>
      </c>
      <c r="D238" s="64"/>
      <c r="E238" s="64"/>
      <c r="F238" s="64"/>
      <c r="G238" s="64"/>
      <c r="H238" s="64"/>
      <c r="I238" s="64"/>
      <c r="J238" s="64"/>
      <c r="K238" s="64"/>
      <c r="L238" s="64"/>
      <c r="M238" s="64"/>
    </row>
    <row r="239" spans="1:13" ht="15" customHeight="1" x14ac:dyDescent="0.15">
      <c r="A239" s="6"/>
      <c r="B239" s="6" t="s">
        <v>52</v>
      </c>
      <c r="C239" s="64" t="s">
        <v>154</v>
      </c>
      <c r="D239" s="64"/>
      <c r="E239" s="64"/>
      <c r="F239" s="64"/>
      <c r="G239" s="64"/>
      <c r="H239" s="64"/>
      <c r="I239" s="64"/>
      <c r="J239" s="64"/>
      <c r="K239" s="64"/>
      <c r="L239" s="64"/>
      <c r="M239" s="64"/>
    </row>
    <row r="240" spans="1:13" ht="15" customHeight="1" x14ac:dyDescent="0.15">
      <c r="A240" s="6"/>
      <c r="B240" s="6" t="s">
        <v>53</v>
      </c>
      <c r="C240" s="65" t="s">
        <v>54</v>
      </c>
      <c r="D240" s="65"/>
      <c r="E240" s="65"/>
      <c r="F240" s="65"/>
      <c r="G240" s="65"/>
      <c r="H240" s="65"/>
      <c r="I240" s="65"/>
      <c r="J240" s="65"/>
      <c r="K240" s="65"/>
      <c r="L240" s="65"/>
      <c r="M240" s="65"/>
    </row>
    <row r="241" spans="1:14" ht="15" customHeight="1" x14ac:dyDescent="0.15">
      <c r="A241" s="6"/>
      <c r="B241" s="6"/>
      <c r="C241" s="65"/>
      <c r="D241" s="65"/>
      <c r="E241" s="65"/>
      <c r="F241" s="65"/>
      <c r="G241" s="65"/>
      <c r="H241" s="65"/>
      <c r="I241" s="65"/>
      <c r="J241" s="65"/>
      <c r="K241" s="65"/>
      <c r="L241" s="65"/>
      <c r="M241" s="65"/>
    </row>
    <row r="242" spans="1:14" ht="15" customHeight="1" x14ac:dyDescent="0.15">
      <c r="A242" s="6"/>
      <c r="B242" s="6"/>
      <c r="C242" s="6"/>
      <c r="D242" s="6"/>
      <c r="E242" s="6"/>
      <c r="F242" s="6"/>
      <c r="G242" s="6"/>
      <c r="H242" s="6"/>
      <c r="I242" s="6"/>
      <c r="J242" s="6"/>
      <c r="K242" s="6"/>
      <c r="L242" s="6"/>
      <c r="M242" s="6"/>
    </row>
    <row r="243" spans="1:14" ht="15" customHeight="1" x14ac:dyDescent="0.15">
      <c r="A243" s="6"/>
      <c r="B243" s="6"/>
      <c r="C243" s="6"/>
      <c r="D243" s="6"/>
      <c r="E243" s="6"/>
      <c r="F243" s="6"/>
      <c r="G243" s="6"/>
      <c r="H243" s="6"/>
      <c r="I243" s="6"/>
      <c r="J243" s="6"/>
      <c r="K243" s="6"/>
      <c r="L243" s="6"/>
      <c r="M243" s="13" t="str">
        <f>[94]Base_01!$C$4&amp;", …..  …........................  2026"</f>
        <v>Sorong, …..  …........................  2026</v>
      </c>
    </row>
    <row r="244" spans="1:14" ht="15" customHeight="1" x14ac:dyDescent="0.15">
      <c r="A244" s="6"/>
      <c r="B244" s="6"/>
      <c r="C244" s="6"/>
      <c r="D244" s="6"/>
      <c r="E244" s="6"/>
      <c r="F244" s="6"/>
      <c r="G244" s="6"/>
      <c r="H244" s="6"/>
      <c r="I244" s="6"/>
      <c r="J244" s="6"/>
      <c r="K244" s="6"/>
      <c r="L244" s="6"/>
      <c r="M244" s="6"/>
    </row>
    <row r="245" spans="1:14" ht="15" customHeight="1" x14ac:dyDescent="0.15">
      <c r="A245" s="6"/>
      <c r="B245" s="63" t="s">
        <v>57</v>
      </c>
      <c r="C245" s="63"/>
      <c r="D245" s="63"/>
      <c r="E245" s="63"/>
      <c r="F245" s="63" t="s">
        <v>56</v>
      </c>
      <c r="G245" s="63"/>
      <c r="H245" s="63"/>
      <c r="I245" s="63"/>
      <c r="J245" s="6"/>
      <c r="K245" s="6"/>
      <c r="L245" s="6"/>
      <c r="M245" s="6"/>
    </row>
    <row r="246" spans="1:14" ht="15" customHeight="1" x14ac:dyDescent="0.15">
      <c r="A246" s="6"/>
      <c r="B246" s="63" t="s">
        <v>60</v>
      </c>
      <c r="C246" s="63"/>
      <c r="D246" s="63"/>
      <c r="E246" s="63"/>
      <c r="F246" s="63" t="s">
        <v>58</v>
      </c>
      <c r="G246" s="63"/>
      <c r="H246" s="63"/>
      <c r="I246" s="63"/>
      <c r="J246" s="63" t="s">
        <v>55</v>
      </c>
      <c r="K246" s="63"/>
      <c r="L246" s="63"/>
      <c r="M246" s="63"/>
    </row>
    <row r="247" spans="1:14" ht="15" customHeight="1" x14ac:dyDescent="0.15">
      <c r="A247" s="6"/>
      <c r="B247" s="63" t="str">
        <f>[94]Base_01!$B$4&amp;" "&amp;[94]Base_01!$C$4</f>
        <v>Kota Sorong</v>
      </c>
      <c r="C247" s="63"/>
      <c r="D247" s="63"/>
      <c r="E247" s="63"/>
      <c r="F247" s="63" t="s">
        <v>59</v>
      </c>
      <c r="G247" s="63"/>
      <c r="H247" s="63"/>
      <c r="I247" s="63"/>
      <c r="J247" s="6"/>
      <c r="K247" s="6"/>
      <c r="L247" s="6"/>
      <c r="M247" s="6"/>
    </row>
    <row r="248" spans="1:14" ht="15" customHeight="1" x14ac:dyDescent="0.15">
      <c r="A248" s="6"/>
      <c r="B248" s="14"/>
      <c r="C248" s="14"/>
      <c r="D248" s="14"/>
      <c r="E248" s="14"/>
      <c r="F248" s="14"/>
      <c r="G248" s="14"/>
      <c r="H248" s="14"/>
      <c r="I248" s="6"/>
      <c r="J248" s="6"/>
      <c r="K248" s="6"/>
      <c r="L248" s="6"/>
      <c r="M248" s="6"/>
    </row>
    <row r="249" spans="1:14" ht="15" customHeight="1" x14ac:dyDescent="0.15">
      <c r="A249" s="6"/>
      <c r="B249" s="14"/>
      <c r="C249" s="14"/>
      <c r="D249" s="14"/>
      <c r="E249" s="14"/>
      <c r="F249" s="14"/>
      <c r="G249" s="14"/>
      <c r="H249" s="14"/>
      <c r="I249" s="6"/>
      <c r="J249" s="6"/>
      <c r="K249" s="6"/>
      <c r="L249" s="6"/>
      <c r="M249" s="6"/>
    </row>
    <row r="250" spans="1:14" ht="15" customHeight="1" x14ac:dyDescent="0.15">
      <c r="A250" s="6"/>
      <c r="B250" s="6"/>
      <c r="C250" s="6"/>
      <c r="D250" s="6"/>
      <c r="E250" s="6"/>
      <c r="F250" s="6"/>
      <c r="G250" s="6"/>
      <c r="H250" s="6"/>
      <c r="I250" s="6"/>
      <c r="J250" s="6"/>
      <c r="K250" s="6"/>
      <c r="L250" s="6"/>
      <c r="M250" s="6"/>
    </row>
    <row r="251" spans="1:14" ht="15" customHeight="1" x14ac:dyDescent="0.15">
      <c r="A251" s="6"/>
      <c r="B251" s="6"/>
      <c r="C251" s="6"/>
      <c r="D251" s="6"/>
      <c r="E251" s="6"/>
      <c r="F251" s="6"/>
      <c r="G251" s="6"/>
      <c r="H251" s="6"/>
      <c r="I251" s="6"/>
      <c r="J251" s="6"/>
      <c r="K251" s="6"/>
      <c r="L251" s="6"/>
      <c r="M251" s="6"/>
    </row>
    <row r="252" spans="1:14" ht="15" customHeight="1" x14ac:dyDescent="0.15">
      <c r="A252" s="6"/>
      <c r="B252" s="63" t="str">
        <f>[94]Base_01!$C$17</f>
        <v>AfrIandi Yudhistira, S.T.</v>
      </c>
      <c r="C252" s="63"/>
      <c r="D252" s="63"/>
      <c r="E252" s="63"/>
      <c r="F252" s="63" t="str">
        <f>[94]Base_01!$C$20</f>
        <v>…...............         …...............</v>
      </c>
      <c r="G252" s="63"/>
      <c r="H252" s="63"/>
      <c r="I252" s="63"/>
      <c r="J252" s="63" t="str">
        <f>G194</f>
        <v>Nama PB 4</v>
      </c>
      <c r="K252" s="63"/>
      <c r="L252" s="63"/>
      <c r="M252" s="63"/>
    </row>
    <row r="253" spans="1:14" ht="16" customHeight="1" x14ac:dyDescent="0.15">
      <c r="A253" s="67" t="s">
        <v>14</v>
      </c>
      <c r="B253" s="67"/>
      <c r="C253" s="67"/>
      <c r="D253" s="67"/>
      <c r="E253" s="67"/>
      <c r="F253" s="67"/>
      <c r="G253" s="67"/>
      <c r="H253" s="67"/>
      <c r="I253" s="67"/>
      <c r="J253" s="67"/>
      <c r="K253" s="67"/>
      <c r="L253" s="67"/>
      <c r="M253" s="67"/>
      <c r="N253" s="5">
        <f>N190+1</f>
        <v>5</v>
      </c>
    </row>
    <row r="254" spans="1:14" ht="16" customHeight="1" x14ac:dyDescent="0.15">
      <c r="A254" s="67" t="str">
        <f>"NOMOR "&amp;VLOOKUP($N253,[94]Base_02!$A$5:$AD$24,2,0)</f>
        <v>NOMOR 000005</v>
      </c>
      <c r="B254" s="67"/>
      <c r="C254" s="67"/>
      <c r="D254" s="67"/>
      <c r="E254" s="67"/>
      <c r="F254" s="67"/>
      <c r="G254" s="67"/>
      <c r="H254" s="67"/>
      <c r="I254" s="67"/>
      <c r="J254" s="67"/>
      <c r="K254" s="67"/>
      <c r="L254" s="67"/>
      <c r="M254" s="67"/>
    </row>
    <row r="255" spans="1:14" x14ac:dyDescent="0.15">
      <c r="A255" s="6"/>
      <c r="B255" s="7"/>
      <c r="C255" s="7"/>
      <c r="D255" s="7"/>
      <c r="E255" s="7"/>
      <c r="F255" s="7"/>
      <c r="G255" s="7"/>
      <c r="H255" s="7"/>
      <c r="I255" s="7"/>
      <c r="J255" s="7"/>
      <c r="K255" s="6"/>
      <c r="L255" s="6"/>
      <c r="M255" s="6"/>
    </row>
    <row r="256" spans="1:14" ht="15" customHeight="1" x14ac:dyDescent="0.15">
      <c r="A256" s="8" t="s">
        <v>13</v>
      </c>
      <c r="B256" s="9" t="s">
        <v>15</v>
      </c>
      <c r="C256" s="6"/>
      <c r="D256" s="6"/>
      <c r="E256" s="6"/>
      <c r="F256" s="6"/>
      <c r="G256" s="6"/>
      <c r="H256" s="6"/>
      <c r="I256" s="6"/>
      <c r="J256" s="6"/>
      <c r="K256" s="6"/>
      <c r="L256" s="6"/>
      <c r="M256" s="6"/>
    </row>
    <row r="257" spans="1:17" ht="15" customHeight="1" x14ac:dyDescent="0.15">
      <c r="A257" s="6"/>
      <c r="B257" s="57" t="s">
        <v>16</v>
      </c>
      <c r="C257" s="57"/>
      <c r="D257" s="57"/>
      <c r="E257" s="57"/>
      <c r="F257" s="57"/>
      <c r="G257" s="6" t="str">
        <f>VLOOKUP($N253,[94]Base_02!$A$5:$AD$24,3,0)</f>
        <v>Nama PB 5</v>
      </c>
      <c r="H257" s="6"/>
      <c r="I257" s="6"/>
      <c r="J257" s="6"/>
      <c r="K257" s="6"/>
      <c r="L257" s="6"/>
      <c r="M257" s="6"/>
    </row>
    <row r="258" spans="1:17" ht="15" customHeight="1" x14ac:dyDescent="0.15">
      <c r="A258" s="6"/>
      <c r="B258" s="57" t="s">
        <v>17</v>
      </c>
      <c r="C258" s="57"/>
      <c r="D258" s="57"/>
      <c r="E258" s="57"/>
      <c r="F258" s="57"/>
      <c r="G258" s="6" t="str">
        <f>VLOOKUP($N253,[94]Base_02!$A$5:$AD$24,14,0)</f>
        <v>3304160101840004</v>
      </c>
      <c r="H258" s="6"/>
      <c r="I258" s="6"/>
      <c r="J258" s="6"/>
      <c r="K258" s="6"/>
      <c r="L258" s="6"/>
      <c r="M258" s="6"/>
    </row>
    <row r="259" spans="1:17" ht="15" customHeight="1" x14ac:dyDescent="0.15">
      <c r="A259" s="6"/>
      <c r="B259" s="57" t="s">
        <v>18</v>
      </c>
      <c r="C259" s="57"/>
      <c r="D259" s="57"/>
      <c r="E259" s="57"/>
      <c r="F259" s="57"/>
      <c r="G259" s="6" t="str">
        <f>VLOOKUP(N253,[94]Base_02!$A$5:$Z$24,11,FALSE)&amp;", RT "&amp;VLOOKUP(N253,[94]Base_02!$A$5:$Z$24,12,FALSE)&amp;", RW "&amp;VLOOKUP(N253,[94]Base_02!$A$5:$Z$24,13,FALSE)</f>
        <v>Jalan Kanal Victory, RT 1, RW 1</v>
      </c>
      <c r="H259" s="6"/>
      <c r="I259" s="6"/>
      <c r="J259" s="6"/>
      <c r="K259" s="6"/>
      <c r="L259" s="6"/>
      <c r="M259" s="6"/>
    </row>
    <row r="260" spans="1:17" ht="15" customHeight="1" x14ac:dyDescent="0.15">
      <c r="A260" s="6"/>
      <c r="B260" s="57" t="str">
        <f>[94]Base_01!$B$2</f>
        <v>Kelurahan</v>
      </c>
      <c r="C260" s="57"/>
      <c r="D260" s="57"/>
      <c r="E260" s="57"/>
      <c r="F260" s="57"/>
      <c r="G260" s="10" t="str">
        <f>[94]Base_01!$C$2</f>
        <v>Klasabi</v>
      </c>
      <c r="H260" s="6"/>
      <c r="I260" s="6"/>
      <c r="J260" s="6"/>
      <c r="K260" s="6"/>
      <c r="L260" s="6"/>
      <c r="M260" s="6"/>
    </row>
    <row r="261" spans="1:17" ht="15" customHeight="1" x14ac:dyDescent="0.15">
      <c r="A261" s="6"/>
      <c r="B261" s="57" t="s">
        <v>19</v>
      </c>
      <c r="C261" s="57"/>
      <c r="D261" s="57"/>
      <c r="E261" s="57"/>
      <c r="F261" s="57"/>
      <c r="G261" s="10" t="str">
        <f>[94]Base_01!$C$3</f>
        <v>Sorong Manoi</v>
      </c>
      <c r="H261" s="6"/>
      <c r="I261" s="6"/>
      <c r="J261" s="6"/>
      <c r="K261" s="6"/>
      <c r="L261" s="6"/>
      <c r="M261" s="6"/>
    </row>
    <row r="262" spans="1:17" ht="15" customHeight="1" x14ac:dyDescent="0.15">
      <c r="A262" s="6"/>
      <c r="B262" s="57" t="str">
        <f>[94]Base_01!$B$4</f>
        <v>Kota</v>
      </c>
      <c r="C262" s="57"/>
      <c r="D262" s="57"/>
      <c r="E262" s="57"/>
      <c r="F262" s="57"/>
      <c r="G262" s="10" t="str">
        <f>[94]Base_01!$C$4</f>
        <v>Sorong</v>
      </c>
      <c r="H262" s="6"/>
      <c r="I262" s="6"/>
      <c r="J262" s="6"/>
      <c r="K262" s="6"/>
      <c r="L262" s="6"/>
      <c r="M262" s="6"/>
    </row>
    <row r="263" spans="1:17" ht="15" customHeight="1" x14ac:dyDescent="0.15">
      <c r="A263" s="6"/>
      <c r="B263" s="57" t="s">
        <v>20</v>
      </c>
      <c r="C263" s="57"/>
      <c r="D263" s="57"/>
      <c r="E263" s="57"/>
      <c r="F263" s="57"/>
      <c r="G263" s="11" t="str">
        <f>[94]Base_01!$C$5</f>
        <v>Papua Barat Daya</v>
      </c>
      <c r="H263" s="6"/>
      <c r="I263" s="6"/>
      <c r="J263" s="6"/>
      <c r="K263" s="6"/>
      <c r="L263" s="6"/>
      <c r="M263" s="6"/>
    </row>
    <row r="264" spans="1:17" ht="15" customHeight="1" x14ac:dyDescent="0.15">
      <c r="A264" s="6"/>
      <c r="B264" s="57" t="s">
        <v>21</v>
      </c>
      <c r="C264" s="57"/>
      <c r="D264" s="57"/>
      <c r="E264" s="57"/>
      <c r="F264" s="57"/>
      <c r="G264" s="6" t="str">
        <f>VLOOKUP($N253,[94]Base_02!$A$5:$AG$24,32,0)&amp;" - "&amp;VLOOKUP($N253,[94]Base_02!$A$5:$AG$24,31,0)</f>
        <v>1600006544247 - Bank Mandiri</v>
      </c>
      <c r="H264" s="6"/>
      <c r="I264" s="6"/>
      <c r="J264" s="6"/>
      <c r="K264" s="6"/>
      <c r="L264" s="6"/>
      <c r="M264" s="6"/>
    </row>
    <row r="265" spans="1:17" ht="15" customHeight="1" x14ac:dyDescent="0.15">
      <c r="A265" s="6"/>
      <c r="B265" s="6"/>
      <c r="C265" s="6"/>
      <c r="D265" s="6"/>
      <c r="E265" s="6"/>
      <c r="F265" s="6"/>
      <c r="G265" s="6"/>
      <c r="H265" s="6"/>
      <c r="I265" s="6"/>
      <c r="J265" s="6"/>
      <c r="K265" s="6"/>
      <c r="L265" s="6"/>
      <c r="M265" s="6"/>
    </row>
    <row r="266" spans="1:17" ht="15" customHeight="1" x14ac:dyDescent="0.15">
      <c r="A266" s="8" t="s">
        <v>22</v>
      </c>
      <c r="B266" s="9" t="s">
        <v>23</v>
      </c>
      <c r="C266" s="6"/>
      <c r="D266" s="6"/>
      <c r="E266" s="6"/>
      <c r="F266" s="6"/>
      <c r="G266" s="6"/>
      <c r="H266" s="6"/>
      <c r="I266" s="6"/>
      <c r="J266" s="6"/>
      <c r="K266" s="6"/>
      <c r="L266" s="6"/>
      <c r="M266" s="6"/>
    </row>
    <row r="267" spans="1:17" ht="15" customHeight="1" x14ac:dyDescent="0.15">
      <c r="A267" s="6"/>
      <c r="B267" s="66" t="s">
        <v>30</v>
      </c>
      <c r="C267" s="66"/>
      <c r="D267" s="66"/>
      <c r="E267" s="66"/>
      <c r="F267" s="66" t="s">
        <v>31</v>
      </c>
      <c r="G267" s="66"/>
      <c r="H267" s="66"/>
      <c r="I267" s="66"/>
      <c r="J267" s="66" t="s">
        <v>32</v>
      </c>
      <c r="K267" s="66"/>
      <c r="L267" s="66"/>
      <c r="M267" s="66"/>
      <c r="O267" s="15" t="s">
        <v>61</v>
      </c>
    </row>
    <row r="268" spans="1:17" ht="15" customHeight="1" x14ac:dyDescent="0.15">
      <c r="A268" s="6"/>
      <c r="B268" s="66"/>
      <c r="C268" s="66"/>
      <c r="D268" s="66"/>
      <c r="E268" s="66"/>
      <c r="F268" s="66"/>
      <c r="G268" s="66"/>
      <c r="H268" s="66"/>
      <c r="I268" s="66"/>
      <c r="J268" s="66"/>
      <c r="K268" s="66"/>
      <c r="L268" s="66"/>
      <c r="M268" s="66"/>
      <c r="Q268" s="5" t="s">
        <v>62</v>
      </c>
    </row>
    <row r="269" spans="1:17" ht="15" customHeight="1" x14ac:dyDescent="0.15">
      <c r="A269" s="6"/>
      <c r="B269" s="66"/>
      <c r="C269" s="66"/>
      <c r="D269" s="66"/>
      <c r="E269" s="66"/>
      <c r="F269" s="66"/>
      <c r="G269" s="66"/>
      <c r="H269" s="66"/>
      <c r="I269" s="66"/>
      <c r="J269" s="66"/>
      <c r="K269" s="66"/>
      <c r="L269" s="66"/>
      <c r="M269" s="66"/>
    </row>
    <row r="270" spans="1:17" ht="15" customHeight="1" x14ac:dyDescent="0.15">
      <c r="A270" s="6"/>
      <c r="B270" s="66"/>
      <c r="C270" s="66"/>
      <c r="D270" s="66"/>
      <c r="E270" s="66"/>
      <c r="F270" s="66"/>
      <c r="G270" s="66"/>
      <c r="H270" s="66"/>
      <c r="I270" s="66"/>
      <c r="J270" s="66"/>
      <c r="K270" s="66"/>
      <c r="L270" s="66"/>
      <c r="M270" s="66"/>
    </row>
    <row r="271" spans="1:17" ht="15" customHeight="1" x14ac:dyDescent="0.15">
      <c r="A271" s="6"/>
      <c r="B271" s="66"/>
      <c r="C271" s="66"/>
      <c r="D271" s="66"/>
      <c r="E271" s="66"/>
      <c r="F271" s="66"/>
      <c r="G271" s="66"/>
      <c r="H271" s="66"/>
      <c r="I271" s="66"/>
      <c r="J271" s="66"/>
      <c r="K271" s="66"/>
      <c r="L271" s="66"/>
      <c r="M271" s="66"/>
    </row>
    <row r="272" spans="1:17" ht="15" customHeight="1" x14ac:dyDescent="0.15">
      <c r="A272" s="6"/>
      <c r="B272" s="66"/>
      <c r="C272" s="66"/>
      <c r="D272" s="66"/>
      <c r="E272" s="66"/>
      <c r="F272" s="66"/>
      <c r="G272" s="66"/>
      <c r="H272" s="66"/>
      <c r="I272" s="66"/>
      <c r="J272" s="66"/>
      <c r="K272" s="66"/>
      <c r="L272" s="66"/>
      <c r="M272" s="66"/>
    </row>
    <row r="273" spans="1:13" ht="15" customHeight="1" x14ac:dyDescent="0.15">
      <c r="A273" s="6"/>
      <c r="B273" s="6"/>
      <c r="C273" s="6"/>
      <c r="D273" s="6"/>
      <c r="E273" s="6"/>
      <c r="F273" s="6"/>
      <c r="G273" s="6"/>
      <c r="H273" s="6"/>
      <c r="I273" s="6"/>
      <c r="J273" s="6"/>
      <c r="K273" s="6"/>
      <c r="L273" s="6"/>
      <c r="M273" s="6"/>
    </row>
    <row r="274" spans="1:13" ht="15" customHeight="1" x14ac:dyDescent="0.15">
      <c r="A274" s="8" t="s">
        <v>24</v>
      </c>
      <c r="B274" s="9" t="s">
        <v>25</v>
      </c>
      <c r="C274" s="6"/>
      <c r="D274" s="6"/>
      <c r="E274" s="6"/>
      <c r="F274" s="6"/>
      <c r="G274" s="6"/>
      <c r="H274" s="6"/>
      <c r="I274" s="6"/>
      <c r="J274" s="6"/>
      <c r="K274" s="6"/>
      <c r="L274" s="6"/>
      <c r="M274" s="6"/>
    </row>
    <row r="275" spans="1:13" ht="15" customHeight="1" x14ac:dyDescent="0.15">
      <c r="A275" s="12"/>
      <c r="B275" s="66" t="s">
        <v>35</v>
      </c>
      <c r="C275" s="66"/>
      <c r="D275" s="66"/>
      <c r="E275" s="66"/>
      <c r="F275" s="66"/>
      <c r="G275" s="66"/>
      <c r="H275" s="66" t="s">
        <v>36</v>
      </c>
      <c r="I275" s="66"/>
      <c r="J275" s="66"/>
      <c r="K275" s="66"/>
      <c r="L275" s="66"/>
      <c r="M275" s="66"/>
    </row>
    <row r="276" spans="1:13" ht="15" customHeight="1" x14ac:dyDescent="0.15">
      <c r="A276" s="6"/>
      <c r="B276" s="66"/>
      <c r="C276" s="66"/>
      <c r="D276" s="66"/>
      <c r="E276" s="66"/>
      <c r="F276" s="66"/>
      <c r="G276" s="66"/>
      <c r="H276" s="66"/>
      <c r="I276" s="66"/>
      <c r="J276" s="66"/>
      <c r="K276" s="66"/>
      <c r="L276" s="66"/>
      <c r="M276" s="66"/>
    </row>
    <row r="277" spans="1:13" ht="15" customHeight="1" x14ac:dyDescent="0.15">
      <c r="A277" s="6"/>
      <c r="B277" s="66"/>
      <c r="C277" s="66"/>
      <c r="D277" s="66"/>
      <c r="E277" s="66"/>
      <c r="F277" s="66"/>
      <c r="G277" s="66"/>
      <c r="H277" s="66"/>
      <c r="I277" s="66"/>
      <c r="J277" s="66"/>
      <c r="K277" s="66"/>
      <c r="L277" s="66"/>
      <c r="M277" s="66"/>
    </row>
    <row r="278" spans="1:13" ht="15" customHeight="1" x14ac:dyDescent="0.15">
      <c r="A278" s="6"/>
      <c r="B278" s="66"/>
      <c r="C278" s="66"/>
      <c r="D278" s="66"/>
      <c r="E278" s="66"/>
      <c r="F278" s="66"/>
      <c r="G278" s="66"/>
      <c r="H278" s="66"/>
      <c r="I278" s="66"/>
      <c r="J278" s="66"/>
      <c r="K278" s="66"/>
      <c r="L278" s="66"/>
      <c r="M278" s="66"/>
    </row>
    <row r="279" spans="1:13" ht="15" customHeight="1" x14ac:dyDescent="0.15">
      <c r="A279" s="6"/>
      <c r="B279" s="66"/>
      <c r="C279" s="66"/>
      <c r="D279" s="66"/>
      <c r="E279" s="66"/>
      <c r="F279" s="66"/>
      <c r="G279" s="66"/>
      <c r="H279" s="66"/>
      <c r="I279" s="66"/>
      <c r="J279" s="66"/>
      <c r="K279" s="66"/>
      <c r="L279" s="66"/>
      <c r="M279" s="66"/>
    </row>
    <row r="280" spans="1:13" ht="15" customHeight="1" x14ac:dyDescent="0.15">
      <c r="A280" s="6"/>
      <c r="B280" s="66"/>
      <c r="C280" s="66"/>
      <c r="D280" s="66"/>
      <c r="E280" s="66"/>
      <c r="F280" s="66"/>
      <c r="G280" s="66"/>
      <c r="H280" s="66"/>
      <c r="I280" s="66"/>
      <c r="J280" s="66"/>
      <c r="K280" s="66"/>
      <c r="L280" s="66"/>
      <c r="M280" s="66"/>
    </row>
    <row r="281" spans="1:13" ht="15" customHeight="1" x14ac:dyDescent="0.15">
      <c r="A281" s="6"/>
      <c r="B281" s="66"/>
      <c r="C281" s="66"/>
      <c r="D281" s="66"/>
      <c r="E281" s="66"/>
      <c r="F281" s="66"/>
      <c r="G281" s="66"/>
      <c r="H281" s="66"/>
      <c r="I281" s="66"/>
      <c r="J281" s="66"/>
      <c r="K281" s="66"/>
      <c r="L281" s="66"/>
      <c r="M281" s="66"/>
    </row>
    <row r="282" spans="1:13" ht="15" customHeight="1" x14ac:dyDescent="0.15">
      <c r="A282" s="6"/>
      <c r="B282" s="66"/>
      <c r="C282" s="66"/>
      <c r="D282" s="66"/>
      <c r="E282" s="66"/>
      <c r="F282" s="66"/>
      <c r="G282" s="66"/>
      <c r="H282" s="66"/>
      <c r="I282" s="66"/>
      <c r="J282" s="66"/>
      <c r="K282" s="66"/>
      <c r="L282" s="66"/>
      <c r="M282" s="66"/>
    </row>
    <row r="283" spans="1:13" ht="15" customHeight="1" x14ac:dyDescent="0.15">
      <c r="A283" s="6"/>
      <c r="B283" s="6"/>
      <c r="C283" s="6"/>
      <c r="D283" s="6"/>
      <c r="E283" s="6"/>
      <c r="F283" s="6"/>
      <c r="G283" s="6"/>
      <c r="H283" s="6"/>
      <c r="I283" s="6"/>
      <c r="J283" s="6"/>
      <c r="K283" s="6"/>
      <c r="L283" s="6"/>
      <c r="M283" s="6"/>
    </row>
    <row r="284" spans="1:13" ht="15" customHeight="1" x14ac:dyDescent="0.15">
      <c r="A284" s="8" t="s">
        <v>26</v>
      </c>
      <c r="B284" s="9" t="s">
        <v>27</v>
      </c>
      <c r="C284" s="6"/>
      <c r="D284" s="6"/>
      <c r="E284" s="6"/>
      <c r="F284" s="6"/>
      <c r="G284" s="6"/>
      <c r="H284" s="6"/>
      <c r="I284" s="6"/>
      <c r="J284" s="6"/>
      <c r="K284" s="6"/>
      <c r="L284" s="6"/>
      <c r="M284" s="6"/>
    </row>
    <row r="285" spans="1:13" ht="15" customHeight="1" x14ac:dyDescent="0.15">
      <c r="A285" s="12"/>
      <c r="B285" s="66" t="s">
        <v>30</v>
      </c>
      <c r="C285" s="66"/>
      <c r="D285" s="66"/>
      <c r="E285" s="66"/>
      <c r="F285" s="66" t="s">
        <v>33</v>
      </c>
      <c r="G285" s="66"/>
      <c r="H285" s="66"/>
      <c r="I285" s="66"/>
      <c r="J285" s="66" t="s">
        <v>34</v>
      </c>
      <c r="K285" s="66"/>
      <c r="L285" s="66"/>
      <c r="M285" s="66"/>
    </row>
    <row r="286" spans="1:13" ht="15" customHeight="1" x14ac:dyDescent="0.15">
      <c r="A286" s="6"/>
      <c r="B286" s="66"/>
      <c r="C286" s="66"/>
      <c r="D286" s="66"/>
      <c r="E286" s="66"/>
      <c r="F286" s="66"/>
      <c r="G286" s="66"/>
      <c r="H286" s="66"/>
      <c r="I286" s="66"/>
      <c r="J286" s="66"/>
      <c r="K286" s="66"/>
      <c r="L286" s="66"/>
      <c r="M286" s="66"/>
    </row>
    <row r="287" spans="1:13" ht="15" customHeight="1" x14ac:dyDescent="0.15">
      <c r="A287" s="6"/>
      <c r="B287" s="66"/>
      <c r="C287" s="66"/>
      <c r="D287" s="66"/>
      <c r="E287" s="66"/>
      <c r="F287" s="66"/>
      <c r="G287" s="66"/>
      <c r="H287" s="66"/>
      <c r="I287" s="66"/>
      <c r="J287" s="66"/>
      <c r="K287" s="66"/>
      <c r="L287" s="66"/>
      <c r="M287" s="66"/>
    </row>
    <row r="288" spans="1:13" ht="15" customHeight="1" x14ac:dyDescent="0.15">
      <c r="A288" s="6"/>
      <c r="B288" s="66"/>
      <c r="C288" s="66"/>
      <c r="D288" s="66"/>
      <c r="E288" s="66"/>
      <c r="F288" s="66"/>
      <c r="G288" s="66"/>
      <c r="H288" s="66"/>
      <c r="I288" s="66"/>
      <c r="J288" s="66"/>
      <c r="K288" s="66"/>
      <c r="L288" s="66"/>
      <c r="M288" s="66"/>
    </row>
    <row r="289" spans="1:13" ht="15" customHeight="1" x14ac:dyDescent="0.15">
      <c r="A289" s="6"/>
      <c r="B289" s="66"/>
      <c r="C289" s="66"/>
      <c r="D289" s="66"/>
      <c r="E289" s="66"/>
      <c r="F289" s="66"/>
      <c r="G289" s="66"/>
      <c r="H289" s="66"/>
      <c r="I289" s="66"/>
      <c r="J289" s="66"/>
      <c r="K289" s="66"/>
      <c r="L289" s="66"/>
      <c r="M289" s="66"/>
    </row>
    <row r="290" spans="1:13" ht="15" customHeight="1" x14ac:dyDescent="0.15">
      <c r="A290" s="6"/>
      <c r="B290" s="66"/>
      <c r="C290" s="66"/>
      <c r="D290" s="66"/>
      <c r="E290" s="66"/>
      <c r="F290" s="66"/>
      <c r="G290" s="66"/>
      <c r="H290" s="66"/>
      <c r="I290" s="66"/>
      <c r="J290" s="66"/>
      <c r="K290" s="66"/>
      <c r="L290" s="66"/>
      <c r="M290" s="66"/>
    </row>
    <row r="291" spans="1:13" ht="15" customHeight="1" x14ac:dyDescent="0.15">
      <c r="A291" s="6"/>
      <c r="B291" s="6"/>
      <c r="C291" s="6"/>
      <c r="D291" s="6"/>
      <c r="E291" s="6"/>
      <c r="F291" s="6"/>
      <c r="G291" s="6"/>
      <c r="H291" s="6"/>
      <c r="I291" s="6"/>
      <c r="J291" s="6"/>
      <c r="K291" s="6"/>
      <c r="L291" s="6"/>
      <c r="M291" s="6"/>
    </row>
    <row r="292" spans="1:13" ht="15" customHeight="1" x14ac:dyDescent="0.15">
      <c r="A292" s="8" t="s">
        <v>28</v>
      </c>
      <c r="B292" s="9" t="s">
        <v>29</v>
      </c>
      <c r="C292" s="6"/>
      <c r="D292" s="6"/>
      <c r="E292" s="6"/>
      <c r="F292" s="6"/>
      <c r="G292" s="6"/>
      <c r="H292" s="6"/>
      <c r="I292" s="6"/>
      <c r="J292" s="6"/>
      <c r="K292" s="6"/>
      <c r="L292" s="6"/>
      <c r="M292" s="6"/>
    </row>
    <row r="293" spans="1:13" ht="15" customHeight="1" x14ac:dyDescent="0.15">
      <c r="A293" s="6"/>
      <c r="B293" s="6" t="s">
        <v>37</v>
      </c>
      <c r="C293" s="6"/>
      <c r="D293" s="6"/>
      <c r="E293" s="6"/>
      <c r="F293" s="6"/>
      <c r="G293" s="6"/>
      <c r="H293" s="6"/>
      <c r="I293" s="6"/>
      <c r="J293" s="6"/>
      <c r="K293" s="6"/>
      <c r="L293" s="6"/>
      <c r="M293" s="6"/>
    </row>
    <row r="294" spans="1:13" ht="15" customHeight="1" x14ac:dyDescent="0.15">
      <c r="A294" s="6"/>
      <c r="B294" s="6" t="s">
        <v>38</v>
      </c>
      <c r="C294" s="65" t="s">
        <v>41</v>
      </c>
      <c r="D294" s="65"/>
      <c r="E294" s="65"/>
      <c r="F294" s="65"/>
      <c r="G294" s="65"/>
      <c r="H294" s="65"/>
      <c r="I294" s="65"/>
      <c r="J294" s="65"/>
      <c r="K294" s="65"/>
      <c r="L294" s="65"/>
      <c r="M294" s="65"/>
    </row>
    <row r="295" spans="1:13" ht="15" customHeight="1" x14ac:dyDescent="0.15">
      <c r="A295" s="6"/>
      <c r="B295" s="6"/>
      <c r="C295" s="65"/>
      <c r="D295" s="65"/>
      <c r="E295" s="65"/>
      <c r="F295" s="65"/>
      <c r="G295" s="65"/>
      <c r="H295" s="65"/>
      <c r="I295" s="65"/>
      <c r="J295" s="65"/>
      <c r="K295" s="65"/>
      <c r="L295" s="65"/>
      <c r="M295" s="65"/>
    </row>
    <row r="296" spans="1:13" ht="15" customHeight="1" x14ac:dyDescent="0.15">
      <c r="A296" s="6"/>
      <c r="B296" s="6" t="s">
        <v>39</v>
      </c>
      <c r="C296" s="64" t="s">
        <v>40</v>
      </c>
      <c r="D296" s="64"/>
      <c r="E296" s="64"/>
      <c r="F296" s="64"/>
      <c r="G296" s="64"/>
      <c r="H296" s="64"/>
      <c r="I296" s="64"/>
      <c r="J296" s="64"/>
      <c r="K296" s="64"/>
      <c r="L296" s="64"/>
      <c r="M296" s="64"/>
    </row>
    <row r="297" spans="1:13" ht="15" customHeight="1" x14ac:dyDescent="0.15">
      <c r="A297" s="6"/>
      <c r="B297" s="6" t="s">
        <v>42</v>
      </c>
      <c r="C297" s="64" t="s">
        <v>43</v>
      </c>
      <c r="D297" s="64"/>
      <c r="E297" s="64"/>
      <c r="F297" s="64"/>
      <c r="G297" s="64"/>
      <c r="H297" s="64"/>
      <c r="I297" s="64"/>
      <c r="J297" s="64"/>
      <c r="K297" s="64"/>
      <c r="L297" s="64"/>
      <c r="M297" s="64"/>
    </row>
    <row r="298" spans="1:13" ht="15" customHeight="1" x14ac:dyDescent="0.15">
      <c r="A298" s="6"/>
      <c r="B298" s="6" t="s">
        <v>44</v>
      </c>
      <c r="C298" s="64" t="s">
        <v>45</v>
      </c>
      <c r="D298" s="64"/>
      <c r="E298" s="64"/>
      <c r="F298" s="64"/>
      <c r="G298" s="64"/>
      <c r="H298" s="64"/>
      <c r="I298" s="64"/>
      <c r="J298" s="64"/>
      <c r="K298" s="64"/>
      <c r="L298" s="64"/>
      <c r="M298" s="64"/>
    </row>
    <row r="299" spans="1:13" ht="15" customHeight="1" x14ac:dyDescent="0.15">
      <c r="A299" s="6"/>
      <c r="B299" s="6" t="s">
        <v>46</v>
      </c>
      <c r="C299" s="64" t="s">
        <v>47</v>
      </c>
      <c r="D299" s="64"/>
      <c r="E299" s="64"/>
      <c r="F299" s="64"/>
      <c r="G299" s="64"/>
      <c r="H299" s="64"/>
      <c r="I299" s="64"/>
      <c r="J299" s="64"/>
      <c r="K299" s="64"/>
      <c r="L299" s="64"/>
      <c r="M299" s="64"/>
    </row>
    <row r="300" spans="1:13" ht="15" customHeight="1" x14ac:dyDescent="0.15">
      <c r="A300" s="6"/>
      <c r="B300" s="6" t="s">
        <v>50</v>
      </c>
      <c r="C300" s="64" t="s">
        <v>48</v>
      </c>
      <c r="D300" s="64"/>
      <c r="E300" s="64"/>
      <c r="F300" s="64"/>
      <c r="G300" s="64"/>
      <c r="H300" s="64"/>
      <c r="I300" s="64"/>
      <c r="J300" s="64"/>
      <c r="K300" s="64"/>
      <c r="L300" s="64"/>
      <c r="M300" s="64"/>
    </row>
    <row r="301" spans="1:13" ht="15" customHeight="1" x14ac:dyDescent="0.15">
      <c r="A301" s="6"/>
      <c r="B301" s="6" t="s">
        <v>51</v>
      </c>
      <c r="C301" s="64" t="s">
        <v>49</v>
      </c>
      <c r="D301" s="64"/>
      <c r="E301" s="64"/>
      <c r="F301" s="64"/>
      <c r="G301" s="64"/>
      <c r="H301" s="64"/>
      <c r="I301" s="64"/>
      <c r="J301" s="64"/>
      <c r="K301" s="64"/>
      <c r="L301" s="64"/>
      <c r="M301" s="64"/>
    </row>
    <row r="302" spans="1:13" ht="15" customHeight="1" x14ac:dyDescent="0.15">
      <c r="A302" s="6"/>
      <c r="B302" s="6" t="s">
        <v>52</v>
      </c>
      <c r="C302" s="64" t="s">
        <v>154</v>
      </c>
      <c r="D302" s="64"/>
      <c r="E302" s="64"/>
      <c r="F302" s="64"/>
      <c r="G302" s="64"/>
      <c r="H302" s="64"/>
      <c r="I302" s="64"/>
      <c r="J302" s="64"/>
      <c r="K302" s="64"/>
      <c r="L302" s="64"/>
      <c r="M302" s="64"/>
    </row>
    <row r="303" spans="1:13" ht="15" customHeight="1" x14ac:dyDescent="0.15">
      <c r="A303" s="6"/>
      <c r="B303" s="6" t="s">
        <v>53</v>
      </c>
      <c r="C303" s="65" t="s">
        <v>54</v>
      </c>
      <c r="D303" s="65"/>
      <c r="E303" s="65"/>
      <c r="F303" s="65"/>
      <c r="G303" s="65"/>
      <c r="H303" s="65"/>
      <c r="I303" s="65"/>
      <c r="J303" s="65"/>
      <c r="K303" s="65"/>
      <c r="L303" s="65"/>
      <c r="M303" s="65"/>
    </row>
    <row r="304" spans="1:13" ht="15" customHeight="1" x14ac:dyDescent="0.15">
      <c r="A304" s="6"/>
      <c r="B304" s="6"/>
      <c r="C304" s="65"/>
      <c r="D304" s="65"/>
      <c r="E304" s="65"/>
      <c r="F304" s="65"/>
      <c r="G304" s="65"/>
      <c r="H304" s="65"/>
      <c r="I304" s="65"/>
      <c r="J304" s="65"/>
      <c r="K304" s="65"/>
      <c r="L304" s="65"/>
      <c r="M304" s="65"/>
    </row>
    <row r="305" spans="1:14" ht="15" customHeight="1" x14ac:dyDescent="0.15">
      <c r="A305" s="6"/>
      <c r="B305" s="6"/>
      <c r="C305" s="6"/>
      <c r="D305" s="6"/>
      <c r="E305" s="6"/>
      <c r="F305" s="6"/>
      <c r="G305" s="6"/>
      <c r="H305" s="6"/>
      <c r="I305" s="6"/>
      <c r="J305" s="6"/>
      <c r="K305" s="6"/>
      <c r="L305" s="6"/>
      <c r="M305" s="6"/>
    </row>
    <row r="306" spans="1:14" ht="15" customHeight="1" x14ac:dyDescent="0.15">
      <c r="A306" s="6"/>
      <c r="B306" s="6"/>
      <c r="C306" s="6"/>
      <c r="D306" s="6"/>
      <c r="E306" s="6"/>
      <c r="F306" s="6"/>
      <c r="G306" s="6"/>
      <c r="H306" s="6"/>
      <c r="I306" s="6"/>
      <c r="J306" s="6"/>
      <c r="K306" s="6"/>
      <c r="L306" s="6"/>
      <c r="M306" s="13" t="str">
        <f>[94]Base_01!$C$4&amp;", …..  …........................  2026"</f>
        <v>Sorong, …..  …........................  2026</v>
      </c>
    </row>
    <row r="307" spans="1:14" ht="15" customHeight="1" x14ac:dyDescent="0.15">
      <c r="A307" s="6"/>
      <c r="B307" s="6"/>
      <c r="C307" s="6"/>
      <c r="D307" s="6"/>
      <c r="E307" s="6"/>
      <c r="F307" s="6"/>
      <c r="G307" s="6"/>
      <c r="H307" s="6"/>
      <c r="I307" s="6"/>
      <c r="J307" s="6"/>
      <c r="K307" s="6"/>
      <c r="L307" s="6"/>
      <c r="M307" s="6"/>
    </row>
    <row r="308" spans="1:14" ht="15" customHeight="1" x14ac:dyDescent="0.15">
      <c r="A308" s="6"/>
      <c r="B308" s="63" t="s">
        <v>57</v>
      </c>
      <c r="C308" s="63"/>
      <c r="D308" s="63"/>
      <c r="E308" s="63"/>
      <c r="F308" s="63" t="s">
        <v>56</v>
      </c>
      <c r="G308" s="63"/>
      <c r="H308" s="63"/>
      <c r="I308" s="63"/>
      <c r="J308" s="6"/>
      <c r="K308" s="6"/>
      <c r="L308" s="6"/>
      <c r="M308" s="6"/>
    </row>
    <row r="309" spans="1:14" ht="15" customHeight="1" x14ac:dyDescent="0.15">
      <c r="A309" s="6"/>
      <c r="B309" s="63" t="s">
        <v>60</v>
      </c>
      <c r="C309" s="63"/>
      <c r="D309" s="63"/>
      <c r="E309" s="63"/>
      <c r="F309" s="63" t="s">
        <v>58</v>
      </c>
      <c r="G309" s="63"/>
      <c r="H309" s="63"/>
      <c r="I309" s="63"/>
      <c r="J309" s="63" t="s">
        <v>55</v>
      </c>
      <c r="K309" s="63"/>
      <c r="L309" s="63"/>
      <c r="M309" s="63"/>
    </row>
    <row r="310" spans="1:14" ht="15" customHeight="1" x14ac:dyDescent="0.15">
      <c r="A310" s="6"/>
      <c r="B310" s="63" t="str">
        <f>[94]Base_01!$B$4&amp;" "&amp;[94]Base_01!$C$4</f>
        <v>Kota Sorong</v>
      </c>
      <c r="C310" s="63"/>
      <c r="D310" s="63"/>
      <c r="E310" s="63"/>
      <c r="F310" s="63" t="s">
        <v>59</v>
      </c>
      <c r="G310" s="63"/>
      <c r="H310" s="63"/>
      <c r="I310" s="63"/>
      <c r="J310" s="6"/>
      <c r="K310" s="6"/>
      <c r="L310" s="6"/>
      <c r="M310" s="6"/>
    </row>
    <row r="311" spans="1:14" ht="15" customHeight="1" x14ac:dyDescent="0.15">
      <c r="A311" s="6"/>
      <c r="B311" s="14"/>
      <c r="C311" s="14"/>
      <c r="D311" s="14"/>
      <c r="E311" s="14"/>
      <c r="F311" s="14"/>
      <c r="G311" s="14"/>
      <c r="H311" s="14"/>
      <c r="I311" s="6"/>
      <c r="J311" s="6"/>
      <c r="K311" s="6"/>
      <c r="L311" s="6"/>
      <c r="M311" s="6"/>
    </row>
    <row r="312" spans="1:14" ht="15" customHeight="1" x14ac:dyDescent="0.15">
      <c r="A312" s="6"/>
      <c r="B312" s="14"/>
      <c r="C312" s="14"/>
      <c r="D312" s="14"/>
      <c r="E312" s="14"/>
      <c r="F312" s="14"/>
      <c r="G312" s="14"/>
      <c r="H312" s="14"/>
      <c r="I312" s="6"/>
      <c r="J312" s="6"/>
      <c r="K312" s="6"/>
      <c r="L312" s="6"/>
      <c r="M312" s="6"/>
    </row>
    <row r="313" spans="1:14" ht="15" customHeight="1" x14ac:dyDescent="0.15">
      <c r="A313" s="6"/>
      <c r="B313" s="6"/>
      <c r="C313" s="6"/>
      <c r="D313" s="6"/>
      <c r="E313" s="6"/>
      <c r="F313" s="6"/>
      <c r="G313" s="6"/>
      <c r="H313" s="6"/>
      <c r="I313" s="6"/>
      <c r="J313" s="6"/>
      <c r="K313" s="6"/>
      <c r="L313" s="6"/>
      <c r="M313" s="6"/>
    </row>
    <row r="314" spans="1:14" ht="15" customHeight="1" x14ac:dyDescent="0.15">
      <c r="A314" s="6"/>
      <c r="B314" s="6"/>
      <c r="C314" s="6"/>
      <c r="D314" s="6"/>
      <c r="E314" s="6"/>
      <c r="F314" s="6"/>
      <c r="G314" s="6"/>
      <c r="H314" s="6"/>
      <c r="I314" s="6"/>
      <c r="J314" s="6"/>
      <c r="K314" s="6"/>
      <c r="L314" s="6"/>
      <c r="M314" s="6"/>
    </row>
    <row r="315" spans="1:14" ht="15" customHeight="1" x14ac:dyDescent="0.15">
      <c r="A315" s="6"/>
      <c r="B315" s="63" t="str">
        <f>[94]Base_01!$C$17</f>
        <v>AfrIandi Yudhistira, S.T.</v>
      </c>
      <c r="C315" s="63"/>
      <c r="D315" s="63"/>
      <c r="E315" s="63"/>
      <c r="F315" s="63" t="str">
        <f>[94]Base_01!$C$20</f>
        <v>…...............         …...............</v>
      </c>
      <c r="G315" s="63"/>
      <c r="H315" s="63"/>
      <c r="I315" s="63"/>
      <c r="J315" s="63" t="str">
        <f>G257</f>
        <v>Nama PB 5</v>
      </c>
      <c r="K315" s="63"/>
      <c r="L315" s="63"/>
      <c r="M315" s="63"/>
    </row>
    <row r="316" spans="1:14" ht="16" customHeight="1" x14ac:dyDescent="0.15">
      <c r="A316" s="67" t="s">
        <v>14</v>
      </c>
      <c r="B316" s="67"/>
      <c r="C316" s="67"/>
      <c r="D316" s="67"/>
      <c r="E316" s="67"/>
      <c r="F316" s="67"/>
      <c r="G316" s="67"/>
      <c r="H316" s="67"/>
      <c r="I316" s="67"/>
      <c r="J316" s="67"/>
      <c r="K316" s="67"/>
      <c r="L316" s="67"/>
      <c r="M316" s="67"/>
      <c r="N316" s="5">
        <f>N253+1</f>
        <v>6</v>
      </c>
    </row>
    <row r="317" spans="1:14" ht="16" customHeight="1" x14ac:dyDescent="0.15">
      <c r="A317" s="67" t="str">
        <f>"NOMOR "&amp;VLOOKUP($N316,[94]Base_02!$A$5:$AD$24,2,0)</f>
        <v>NOMOR 000006</v>
      </c>
      <c r="B317" s="67"/>
      <c r="C317" s="67"/>
      <c r="D317" s="67"/>
      <c r="E317" s="67"/>
      <c r="F317" s="67"/>
      <c r="G317" s="67"/>
      <c r="H317" s="67"/>
      <c r="I317" s="67"/>
      <c r="J317" s="67"/>
      <c r="K317" s="67"/>
      <c r="L317" s="67"/>
      <c r="M317" s="67"/>
    </row>
    <row r="318" spans="1:14" x14ac:dyDescent="0.15">
      <c r="A318" s="6"/>
      <c r="B318" s="7"/>
      <c r="C318" s="7"/>
      <c r="D318" s="7"/>
      <c r="E318" s="7"/>
      <c r="F318" s="7"/>
      <c r="G318" s="7"/>
      <c r="H318" s="7"/>
      <c r="I318" s="7"/>
      <c r="J318" s="7"/>
      <c r="K318" s="6"/>
      <c r="L318" s="6"/>
      <c r="M318" s="6"/>
    </row>
    <row r="319" spans="1:14" ht="15" customHeight="1" x14ac:dyDescent="0.15">
      <c r="A319" s="8" t="s">
        <v>13</v>
      </c>
      <c r="B319" s="9" t="s">
        <v>15</v>
      </c>
      <c r="C319" s="6"/>
      <c r="D319" s="6"/>
      <c r="E319" s="6"/>
      <c r="F319" s="6"/>
      <c r="G319" s="6"/>
      <c r="H319" s="6"/>
      <c r="I319" s="6"/>
      <c r="J319" s="6"/>
      <c r="K319" s="6"/>
      <c r="L319" s="6"/>
      <c r="M319" s="6"/>
    </row>
    <row r="320" spans="1:14" ht="15" customHeight="1" x14ac:dyDescent="0.15">
      <c r="A320" s="6"/>
      <c r="B320" s="57" t="s">
        <v>16</v>
      </c>
      <c r="C320" s="57"/>
      <c r="D320" s="57"/>
      <c r="E320" s="57"/>
      <c r="F320" s="57"/>
      <c r="G320" s="6" t="str">
        <f>VLOOKUP($N316,[94]Base_02!$A$5:$AD$24,3,0)</f>
        <v>Nama PB 6</v>
      </c>
      <c r="H320" s="6"/>
      <c r="I320" s="6"/>
      <c r="J320" s="6"/>
      <c r="K320" s="6"/>
      <c r="L320" s="6"/>
      <c r="M320" s="6"/>
    </row>
    <row r="321" spans="1:17" ht="15" customHeight="1" x14ac:dyDescent="0.15">
      <c r="A321" s="6"/>
      <c r="B321" s="57" t="s">
        <v>17</v>
      </c>
      <c r="C321" s="57"/>
      <c r="D321" s="57"/>
      <c r="E321" s="57"/>
      <c r="F321" s="57"/>
      <c r="G321" s="6" t="str">
        <f>VLOOKUP($N316,[94]Base_02!$A$5:$AD$24,14,0)</f>
        <v>3304160101850004</v>
      </c>
      <c r="H321" s="6"/>
      <c r="I321" s="6"/>
      <c r="J321" s="6"/>
      <c r="K321" s="6"/>
      <c r="L321" s="6"/>
      <c r="M321" s="6"/>
    </row>
    <row r="322" spans="1:17" ht="15" customHeight="1" x14ac:dyDescent="0.15">
      <c r="A322" s="6"/>
      <c r="B322" s="57" t="s">
        <v>18</v>
      </c>
      <c r="C322" s="57"/>
      <c r="D322" s="57"/>
      <c r="E322" s="57"/>
      <c r="F322" s="57"/>
      <c r="G322" s="6" t="str">
        <f>VLOOKUP(N316,[94]Base_02!$A$5:$Z$24,11,FALSE)&amp;", RT "&amp;VLOOKUP(N316,[94]Base_02!$A$5:$Z$24,12,FALSE)&amp;", RW "&amp;VLOOKUP(N316,[94]Base_02!$A$5:$Z$24,13,FALSE)</f>
        <v>Jalan Kanal Victory, RT 1, RW 1</v>
      </c>
      <c r="H322" s="6"/>
      <c r="I322" s="6"/>
      <c r="J322" s="6"/>
      <c r="K322" s="6"/>
      <c r="L322" s="6"/>
      <c r="M322" s="6"/>
    </row>
    <row r="323" spans="1:17" ht="15" customHeight="1" x14ac:dyDescent="0.15">
      <c r="A323" s="6"/>
      <c r="B323" s="57" t="str">
        <f>[94]Base_01!$B$2</f>
        <v>Kelurahan</v>
      </c>
      <c r="C323" s="57"/>
      <c r="D323" s="57"/>
      <c r="E323" s="57"/>
      <c r="F323" s="57"/>
      <c r="G323" s="10" t="str">
        <f>[94]Base_01!$C$2</f>
        <v>Klasabi</v>
      </c>
      <c r="H323" s="6"/>
      <c r="I323" s="6"/>
      <c r="J323" s="6"/>
      <c r="K323" s="6"/>
      <c r="L323" s="6"/>
      <c r="M323" s="6"/>
    </row>
    <row r="324" spans="1:17" ht="15" customHeight="1" x14ac:dyDescent="0.15">
      <c r="A324" s="6"/>
      <c r="B324" s="57" t="s">
        <v>19</v>
      </c>
      <c r="C324" s="57"/>
      <c r="D324" s="57"/>
      <c r="E324" s="57"/>
      <c r="F324" s="57"/>
      <c r="G324" s="10" t="str">
        <f>[94]Base_01!$C$3</f>
        <v>Sorong Manoi</v>
      </c>
      <c r="H324" s="6"/>
      <c r="I324" s="6"/>
      <c r="J324" s="6"/>
      <c r="K324" s="6"/>
      <c r="L324" s="6"/>
      <c r="M324" s="6"/>
    </row>
    <row r="325" spans="1:17" ht="15" customHeight="1" x14ac:dyDescent="0.15">
      <c r="A325" s="6"/>
      <c r="B325" s="57" t="str">
        <f>[94]Base_01!$B$4</f>
        <v>Kota</v>
      </c>
      <c r="C325" s="57"/>
      <c r="D325" s="57"/>
      <c r="E325" s="57"/>
      <c r="F325" s="57"/>
      <c r="G325" s="10" t="str">
        <f>[94]Base_01!$C$4</f>
        <v>Sorong</v>
      </c>
      <c r="H325" s="6"/>
      <c r="I325" s="6"/>
      <c r="J325" s="6"/>
      <c r="K325" s="6"/>
      <c r="L325" s="6"/>
      <c r="M325" s="6"/>
    </row>
    <row r="326" spans="1:17" ht="15" customHeight="1" x14ac:dyDescent="0.15">
      <c r="A326" s="6"/>
      <c r="B326" s="57" t="s">
        <v>20</v>
      </c>
      <c r="C326" s="57"/>
      <c r="D326" s="57"/>
      <c r="E326" s="57"/>
      <c r="F326" s="57"/>
      <c r="G326" s="11" t="str">
        <f>[94]Base_01!$C$5</f>
        <v>Papua Barat Daya</v>
      </c>
      <c r="H326" s="6"/>
      <c r="I326" s="6"/>
      <c r="J326" s="6"/>
      <c r="K326" s="6"/>
      <c r="L326" s="6"/>
      <c r="M326" s="6"/>
    </row>
    <row r="327" spans="1:17" ht="15" customHeight="1" x14ac:dyDescent="0.15">
      <c r="A327" s="6"/>
      <c r="B327" s="57" t="s">
        <v>21</v>
      </c>
      <c r="C327" s="57"/>
      <c r="D327" s="57"/>
      <c r="E327" s="57"/>
      <c r="F327" s="57"/>
      <c r="G327" s="6" t="str">
        <f>VLOOKUP($N316,[94]Base_02!$A$5:$AG$24,32,0)&amp;" - "&amp;VLOOKUP($N316,[94]Base_02!$A$5:$AG$24,31,0)</f>
        <v>1600006545038 - Bank Mandiri</v>
      </c>
      <c r="H327" s="6"/>
      <c r="I327" s="6"/>
      <c r="J327" s="6"/>
      <c r="K327" s="6"/>
      <c r="L327" s="6"/>
      <c r="M327" s="6"/>
    </row>
    <row r="328" spans="1:17" ht="15" customHeight="1" x14ac:dyDescent="0.15">
      <c r="A328" s="6"/>
      <c r="B328" s="6"/>
      <c r="C328" s="6"/>
      <c r="D328" s="6"/>
      <c r="E328" s="6"/>
      <c r="F328" s="6"/>
      <c r="G328" s="6"/>
      <c r="H328" s="6"/>
      <c r="I328" s="6"/>
      <c r="J328" s="6"/>
      <c r="K328" s="6"/>
      <c r="L328" s="6"/>
      <c r="M328" s="6"/>
    </row>
    <row r="329" spans="1:17" ht="15" customHeight="1" x14ac:dyDescent="0.15">
      <c r="A329" s="8" t="s">
        <v>22</v>
      </c>
      <c r="B329" s="9" t="s">
        <v>23</v>
      </c>
      <c r="C329" s="6"/>
      <c r="D329" s="6"/>
      <c r="E329" s="6"/>
      <c r="F329" s="6"/>
      <c r="G329" s="6"/>
      <c r="H329" s="6"/>
      <c r="I329" s="6"/>
      <c r="J329" s="6"/>
      <c r="K329" s="6"/>
      <c r="L329" s="6"/>
      <c r="M329" s="6"/>
    </row>
    <row r="330" spans="1:17" ht="15" customHeight="1" x14ac:dyDescent="0.15">
      <c r="A330" s="6"/>
      <c r="B330" s="66" t="s">
        <v>30</v>
      </c>
      <c r="C330" s="66"/>
      <c r="D330" s="66"/>
      <c r="E330" s="66"/>
      <c r="F330" s="66" t="s">
        <v>31</v>
      </c>
      <c r="G330" s="66"/>
      <c r="H330" s="66"/>
      <c r="I330" s="66"/>
      <c r="J330" s="66" t="s">
        <v>32</v>
      </c>
      <c r="K330" s="66"/>
      <c r="L330" s="66"/>
      <c r="M330" s="66"/>
      <c r="O330" s="15" t="s">
        <v>61</v>
      </c>
    </row>
    <row r="331" spans="1:17" ht="15" customHeight="1" x14ac:dyDescent="0.15">
      <c r="A331" s="6"/>
      <c r="B331" s="66"/>
      <c r="C331" s="66"/>
      <c r="D331" s="66"/>
      <c r="E331" s="66"/>
      <c r="F331" s="66"/>
      <c r="G331" s="66"/>
      <c r="H331" s="66"/>
      <c r="I331" s="66"/>
      <c r="J331" s="66"/>
      <c r="K331" s="66"/>
      <c r="L331" s="66"/>
      <c r="M331" s="66"/>
      <c r="Q331" s="5" t="s">
        <v>62</v>
      </c>
    </row>
    <row r="332" spans="1:17" ht="15" customHeight="1" x14ac:dyDescent="0.15">
      <c r="A332" s="6"/>
      <c r="B332" s="66"/>
      <c r="C332" s="66"/>
      <c r="D332" s="66"/>
      <c r="E332" s="66"/>
      <c r="F332" s="66"/>
      <c r="G332" s="66"/>
      <c r="H332" s="66"/>
      <c r="I332" s="66"/>
      <c r="J332" s="66"/>
      <c r="K332" s="66"/>
      <c r="L332" s="66"/>
      <c r="M332" s="66"/>
    </row>
    <row r="333" spans="1:17" ht="15" customHeight="1" x14ac:dyDescent="0.15">
      <c r="A333" s="6"/>
      <c r="B333" s="66"/>
      <c r="C333" s="66"/>
      <c r="D333" s="66"/>
      <c r="E333" s="66"/>
      <c r="F333" s="66"/>
      <c r="G333" s="66"/>
      <c r="H333" s="66"/>
      <c r="I333" s="66"/>
      <c r="J333" s="66"/>
      <c r="K333" s="66"/>
      <c r="L333" s="66"/>
      <c r="M333" s="66"/>
    </row>
    <row r="334" spans="1:17" ht="15" customHeight="1" x14ac:dyDescent="0.15">
      <c r="A334" s="6"/>
      <c r="B334" s="66"/>
      <c r="C334" s="66"/>
      <c r="D334" s="66"/>
      <c r="E334" s="66"/>
      <c r="F334" s="66"/>
      <c r="G334" s="66"/>
      <c r="H334" s="66"/>
      <c r="I334" s="66"/>
      <c r="J334" s="66"/>
      <c r="K334" s="66"/>
      <c r="L334" s="66"/>
      <c r="M334" s="66"/>
    </row>
    <row r="335" spans="1:17" ht="15" customHeight="1" x14ac:dyDescent="0.15">
      <c r="A335" s="6"/>
      <c r="B335" s="66"/>
      <c r="C335" s="66"/>
      <c r="D335" s="66"/>
      <c r="E335" s="66"/>
      <c r="F335" s="66"/>
      <c r="G335" s="66"/>
      <c r="H335" s="66"/>
      <c r="I335" s="66"/>
      <c r="J335" s="66"/>
      <c r="K335" s="66"/>
      <c r="L335" s="66"/>
      <c r="M335" s="66"/>
    </row>
    <row r="336" spans="1:17" ht="15" customHeight="1" x14ac:dyDescent="0.15">
      <c r="A336" s="6"/>
      <c r="B336" s="6"/>
      <c r="C336" s="6"/>
      <c r="D336" s="6"/>
      <c r="E336" s="6"/>
      <c r="F336" s="6"/>
      <c r="G336" s="6"/>
      <c r="H336" s="6"/>
      <c r="I336" s="6"/>
      <c r="J336" s="6"/>
      <c r="K336" s="6"/>
      <c r="L336" s="6"/>
      <c r="M336" s="6"/>
    </row>
    <row r="337" spans="1:13" ht="15" customHeight="1" x14ac:dyDescent="0.15">
      <c r="A337" s="8" t="s">
        <v>24</v>
      </c>
      <c r="B337" s="9" t="s">
        <v>25</v>
      </c>
      <c r="C337" s="6"/>
      <c r="D337" s="6"/>
      <c r="E337" s="6"/>
      <c r="F337" s="6"/>
      <c r="G337" s="6"/>
      <c r="H337" s="6"/>
      <c r="I337" s="6"/>
      <c r="J337" s="6"/>
      <c r="K337" s="6"/>
      <c r="L337" s="6"/>
      <c r="M337" s="6"/>
    </row>
    <row r="338" spans="1:13" ht="15" customHeight="1" x14ac:dyDescent="0.15">
      <c r="A338" s="12"/>
      <c r="B338" s="66" t="s">
        <v>35</v>
      </c>
      <c r="C338" s="66"/>
      <c r="D338" s="66"/>
      <c r="E338" s="66"/>
      <c r="F338" s="66"/>
      <c r="G338" s="66"/>
      <c r="H338" s="66" t="s">
        <v>36</v>
      </c>
      <c r="I338" s="66"/>
      <c r="J338" s="66"/>
      <c r="K338" s="66"/>
      <c r="L338" s="66"/>
      <c r="M338" s="66"/>
    </row>
    <row r="339" spans="1:13" ht="15" customHeight="1" x14ac:dyDescent="0.15">
      <c r="A339" s="6"/>
      <c r="B339" s="66"/>
      <c r="C339" s="66"/>
      <c r="D339" s="66"/>
      <c r="E339" s="66"/>
      <c r="F339" s="66"/>
      <c r="G339" s="66"/>
      <c r="H339" s="66"/>
      <c r="I339" s="66"/>
      <c r="J339" s="66"/>
      <c r="K339" s="66"/>
      <c r="L339" s="66"/>
      <c r="M339" s="66"/>
    </row>
    <row r="340" spans="1:13" ht="15" customHeight="1" x14ac:dyDescent="0.15">
      <c r="A340" s="6"/>
      <c r="B340" s="66"/>
      <c r="C340" s="66"/>
      <c r="D340" s="66"/>
      <c r="E340" s="66"/>
      <c r="F340" s="66"/>
      <c r="G340" s="66"/>
      <c r="H340" s="66"/>
      <c r="I340" s="66"/>
      <c r="J340" s="66"/>
      <c r="K340" s="66"/>
      <c r="L340" s="66"/>
      <c r="M340" s="66"/>
    </row>
    <row r="341" spans="1:13" ht="15" customHeight="1" x14ac:dyDescent="0.15">
      <c r="A341" s="6"/>
      <c r="B341" s="66"/>
      <c r="C341" s="66"/>
      <c r="D341" s="66"/>
      <c r="E341" s="66"/>
      <c r="F341" s="66"/>
      <c r="G341" s="66"/>
      <c r="H341" s="66"/>
      <c r="I341" s="66"/>
      <c r="J341" s="66"/>
      <c r="K341" s="66"/>
      <c r="L341" s="66"/>
      <c r="M341" s="66"/>
    </row>
    <row r="342" spans="1:13" ht="15" customHeight="1" x14ac:dyDescent="0.15">
      <c r="A342" s="6"/>
      <c r="B342" s="66"/>
      <c r="C342" s="66"/>
      <c r="D342" s="66"/>
      <c r="E342" s="66"/>
      <c r="F342" s="66"/>
      <c r="G342" s="66"/>
      <c r="H342" s="66"/>
      <c r="I342" s="66"/>
      <c r="J342" s="66"/>
      <c r="K342" s="66"/>
      <c r="L342" s="66"/>
      <c r="M342" s="66"/>
    </row>
    <row r="343" spans="1:13" ht="15" customHeight="1" x14ac:dyDescent="0.15">
      <c r="A343" s="6"/>
      <c r="B343" s="66"/>
      <c r="C343" s="66"/>
      <c r="D343" s="66"/>
      <c r="E343" s="66"/>
      <c r="F343" s="66"/>
      <c r="G343" s="66"/>
      <c r="H343" s="66"/>
      <c r="I343" s="66"/>
      <c r="J343" s="66"/>
      <c r="K343" s="66"/>
      <c r="L343" s="66"/>
      <c r="M343" s="66"/>
    </row>
    <row r="344" spans="1:13" ht="15" customHeight="1" x14ac:dyDescent="0.15">
      <c r="A344" s="6"/>
      <c r="B344" s="66"/>
      <c r="C344" s="66"/>
      <c r="D344" s="66"/>
      <c r="E344" s="66"/>
      <c r="F344" s="66"/>
      <c r="G344" s="66"/>
      <c r="H344" s="66"/>
      <c r="I344" s="66"/>
      <c r="J344" s="66"/>
      <c r="K344" s="66"/>
      <c r="L344" s="66"/>
      <c r="M344" s="66"/>
    </row>
    <row r="345" spans="1:13" ht="15" customHeight="1" x14ac:dyDescent="0.15">
      <c r="A345" s="6"/>
      <c r="B345" s="66"/>
      <c r="C345" s="66"/>
      <c r="D345" s="66"/>
      <c r="E345" s="66"/>
      <c r="F345" s="66"/>
      <c r="G345" s="66"/>
      <c r="H345" s="66"/>
      <c r="I345" s="66"/>
      <c r="J345" s="66"/>
      <c r="K345" s="66"/>
      <c r="L345" s="66"/>
      <c r="M345" s="66"/>
    </row>
    <row r="346" spans="1:13" ht="15" customHeight="1" x14ac:dyDescent="0.15">
      <c r="A346" s="6"/>
      <c r="B346" s="6"/>
      <c r="C346" s="6"/>
      <c r="D346" s="6"/>
      <c r="E346" s="6"/>
      <c r="F346" s="6"/>
      <c r="G346" s="6"/>
      <c r="H346" s="6"/>
      <c r="I346" s="6"/>
      <c r="J346" s="6"/>
      <c r="K346" s="6"/>
      <c r="L346" s="6"/>
      <c r="M346" s="6"/>
    </row>
    <row r="347" spans="1:13" ht="15" customHeight="1" x14ac:dyDescent="0.15">
      <c r="A347" s="8" t="s">
        <v>26</v>
      </c>
      <c r="B347" s="9" t="s">
        <v>27</v>
      </c>
      <c r="C347" s="6"/>
      <c r="D347" s="6"/>
      <c r="E347" s="6"/>
      <c r="F347" s="6"/>
      <c r="G347" s="6"/>
      <c r="H347" s="6"/>
      <c r="I347" s="6"/>
      <c r="J347" s="6"/>
      <c r="K347" s="6"/>
      <c r="L347" s="6"/>
      <c r="M347" s="6"/>
    </row>
    <row r="348" spans="1:13" ht="15" customHeight="1" x14ac:dyDescent="0.15">
      <c r="A348" s="12"/>
      <c r="B348" s="66" t="s">
        <v>30</v>
      </c>
      <c r="C348" s="66"/>
      <c r="D348" s="66"/>
      <c r="E348" s="66"/>
      <c r="F348" s="66" t="s">
        <v>33</v>
      </c>
      <c r="G348" s="66"/>
      <c r="H348" s="66"/>
      <c r="I348" s="66"/>
      <c r="J348" s="66" t="s">
        <v>34</v>
      </c>
      <c r="K348" s="66"/>
      <c r="L348" s="66"/>
      <c r="M348" s="66"/>
    </row>
    <row r="349" spans="1:13" ht="15" customHeight="1" x14ac:dyDescent="0.15">
      <c r="A349" s="6"/>
      <c r="B349" s="66"/>
      <c r="C349" s="66"/>
      <c r="D349" s="66"/>
      <c r="E349" s="66"/>
      <c r="F349" s="66"/>
      <c r="G349" s="66"/>
      <c r="H349" s="66"/>
      <c r="I349" s="66"/>
      <c r="J349" s="66"/>
      <c r="K349" s="66"/>
      <c r="L349" s="66"/>
      <c r="M349" s="66"/>
    </row>
    <row r="350" spans="1:13" ht="15" customHeight="1" x14ac:dyDescent="0.15">
      <c r="A350" s="6"/>
      <c r="B350" s="66"/>
      <c r="C350" s="66"/>
      <c r="D350" s="66"/>
      <c r="E350" s="66"/>
      <c r="F350" s="66"/>
      <c r="G350" s="66"/>
      <c r="H350" s="66"/>
      <c r="I350" s="66"/>
      <c r="J350" s="66"/>
      <c r="K350" s="66"/>
      <c r="L350" s="66"/>
      <c r="M350" s="66"/>
    </row>
    <row r="351" spans="1:13" ht="15" customHeight="1" x14ac:dyDescent="0.15">
      <c r="A351" s="6"/>
      <c r="B351" s="66"/>
      <c r="C351" s="66"/>
      <c r="D351" s="66"/>
      <c r="E351" s="66"/>
      <c r="F351" s="66"/>
      <c r="G351" s="66"/>
      <c r="H351" s="66"/>
      <c r="I351" s="66"/>
      <c r="J351" s="66"/>
      <c r="K351" s="66"/>
      <c r="L351" s="66"/>
      <c r="M351" s="66"/>
    </row>
    <row r="352" spans="1:13" ht="15" customHeight="1" x14ac:dyDescent="0.15">
      <c r="A352" s="6"/>
      <c r="B352" s="66"/>
      <c r="C352" s="66"/>
      <c r="D352" s="66"/>
      <c r="E352" s="66"/>
      <c r="F352" s="66"/>
      <c r="G352" s="66"/>
      <c r="H352" s="66"/>
      <c r="I352" s="66"/>
      <c r="J352" s="66"/>
      <c r="K352" s="66"/>
      <c r="L352" s="66"/>
      <c r="M352" s="66"/>
    </row>
    <row r="353" spans="1:13" ht="15" customHeight="1" x14ac:dyDescent="0.15">
      <c r="A353" s="6"/>
      <c r="B353" s="66"/>
      <c r="C353" s="66"/>
      <c r="D353" s="66"/>
      <c r="E353" s="66"/>
      <c r="F353" s="66"/>
      <c r="G353" s="66"/>
      <c r="H353" s="66"/>
      <c r="I353" s="66"/>
      <c r="J353" s="66"/>
      <c r="K353" s="66"/>
      <c r="L353" s="66"/>
      <c r="M353" s="66"/>
    </row>
    <row r="354" spans="1:13" ht="15" customHeight="1" x14ac:dyDescent="0.15">
      <c r="A354" s="6"/>
      <c r="B354" s="6"/>
      <c r="C354" s="6"/>
      <c r="D354" s="6"/>
      <c r="E354" s="6"/>
      <c r="F354" s="6"/>
      <c r="G354" s="6"/>
      <c r="H354" s="6"/>
      <c r="I354" s="6"/>
      <c r="J354" s="6"/>
      <c r="K354" s="6"/>
      <c r="L354" s="6"/>
      <c r="M354" s="6"/>
    </row>
    <row r="355" spans="1:13" ht="15" customHeight="1" x14ac:dyDescent="0.15">
      <c r="A355" s="8" t="s">
        <v>28</v>
      </c>
      <c r="B355" s="9" t="s">
        <v>29</v>
      </c>
      <c r="C355" s="6"/>
      <c r="D355" s="6"/>
      <c r="E355" s="6"/>
      <c r="F355" s="6"/>
      <c r="G355" s="6"/>
      <c r="H355" s="6"/>
      <c r="I355" s="6"/>
      <c r="J355" s="6"/>
      <c r="K355" s="6"/>
      <c r="L355" s="6"/>
      <c r="M355" s="6"/>
    </row>
    <row r="356" spans="1:13" ht="15" customHeight="1" x14ac:dyDescent="0.15">
      <c r="A356" s="6"/>
      <c r="B356" s="6" t="s">
        <v>37</v>
      </c>
      <c r="C356" s="6"/>
      <c r="D356" s="6"/>
      <c r="E356" s="6"/>
      <c r="F356" s="6"/>
      <c r="G356" s="6"/>
      <c r="H356" s="6"/>
      <c r="I356" s="6"/>
      <c r="J356" s="6"/>
      <c r="K356" s="6"/>
      <c r="L356" s="6"/>
      <c r="M356" s="6"/>
    </row>
    <row r="357" spans="1:13" ht="15" customHeight="1" x14ac:dyDescent="0.15">
      <c r="A357" s="6"/>
      <c r="B357" s="6" t="s">
        <v>38</v>
      </c>
      <c r="C357" s="65" t="s">
        <v>41</v>
      </c>
      <c r="D357" s="65"/>
      <c r="E357" s="65"/>
      <c r="F357" s="65"/>
      <c r="G357" s="65"/>
      <c r="H357" s="65"/>
      <c r="I357" s="65"/>
      <c r="J357" s="65"/>
      <c r="K357" s="65"/>
      <c r="L357" s="65"/>
      <c r="M357" s="65"/>
    </row>
    <row r="358" spans="1:13" ht="15" customHeight="1" x14ac:dyDescent="0.15">
      <c r="A358" s="6"/>
      <c r="B358" s="6"/>
      <c r="C358" s="65"/>
      <c r="D358" s="65"/>
      <c r="E358" s="65"/>
      <c r="F358" s="65"/>
      <c r="G358" s="65"/>
      <c r="H358" s="65"/>
      <c r="I358" s="65"/>
      <c r="J358" s="65"/>
      <c r="K358" s="65"/>
      <c r="L358" s="65"/>
      <c r="M358" s="65"/>
    </row>
    <row r="359" spans="1:13" ht="15" customHeight="1" x14ac:dyDescent="0.15">
      <c r="A359" s="6"/>
      <c r="B359" s="6" t="s">
        <v>39</v>
      </c>
      <c r="C359" s="64" t="s">
        <v>40</v>
      </c>
      <c r="D359" s="64"/>
      <c r="E359" s="64"/>
      <c r="F359" s="64"/>
      <c r="G359" s="64"/>
      <c r="H359" s="64"/>
      <c r="I359" s="64"/>
      <c r="J359" s="64"/>
      <c r="K359" s="64"/>
      <c r="L359" s="64"/>
      <c r="M359" s="64"/>
    </row>
    <row r="360" spans="1:13" ht="15" customHeight="1" x14ac:dyDescent="0.15">
      <c r="A360" s="6"/>
      <c r="B360" s="6" t="s">
        <v>42</v>
      </c>
      <c r="C360" s="64" t="s">
        <v>43</v>
      </c>
      <c r="D360" s="64"/>
      <c r="E360" s="64"/>
      <c r="F360" s="64"/>
      <c r="G360" s="64"/>
      <c r="H360" s="64"/>
      <c r="I360" s="64"/>
      <c r="J360" s="64"/>
      <c r="K360" s="64"/>
      <c r="L360" s="64"/>
      <c r="M360" s="64"/>
    </row>
    <row r="361" spans="1:13" ht="15" customHeight="1" x14ac:dyDescent="0.15">
      <c r="A361" s="6"/>
      <c r="B361" s="6" t="s">
        <v>44</v>
      </c>
      <c r="C361" s="64" t="s">
        <v>45</v>
      </c>
      <c r="D361" s="64"/>
      <c r="E361" s="64"/>
      <c r="F361" s="64"/>
      <c r="G361" s="64"/>
      <c r="H361" s="64"/>
      <c r="I361" s="64"/>
      <c r="J361" s="64"/>
      <c r="K361" s="64"/>
      <c r="L361" s="64"/>
      <c r="M361" s="64"/>
    </row>
    <row r="362" spans="1:13" ht="15" customHeight="1" x14ac:dyDescent="0.15">
      <c r="A362" s="6"/>
      <c r="B362" s="6" t="s">
        <v>46</v>
      </c>
      <c r="C362" s="64" t="s">
        <v>47</v>
      </c>
      <c r="D362" s="64"/>
      <c r="E362" s="64"/>
      <c r="F362" s="64"/>
      <c r="G362" s="64"/>
      <c r="H362" s="64"/>
      <c r="I362" s="64"/>
      <c r="J362" s="64"/>
      <c r="K362" s="64"/>
      <c r="L362" s="64"/>
      <c r="M362" s="64"/>
    </row>
    <row r="363" spans="1:13" ht="15" customHeight="1" x14ac:dyDescent="0.15">
      <c r="A363" s="6"/>
      <c r="B363" s="6" t="s">
        <v>50</v>
      </c>
      <c r="C363" s="64" t="s">
        <v>48</v>
      </c>
      <c r="D363" s="64"/>
      <c r="E363" s="64"/>
      <c r="F363" s="64"/>
      <c r="G363" s="64"/>
      <c r="H363" s="64"/>
      <c r="I363" s="64"/>
      <c r="J363" s="64"/>
      <c r="K363" s="64"/>
      <c r="L363" s="64"/>
      <c r="M363" s="64"/>
    </row>
    <row r="364" spans="1:13" ht="15" customHeight="1" x14ac:dyDescent="0.15">
      <c r="A364" s="6"/>
      <c r="B364" s="6" t="s">
        <v>51</v>
      </c>
      <c r="C364" s="64" t="s">
        <v>49</v>
      </c>
      <c r="D364" s="64"/>
      <c r="E364" s="64"/>
      <c r="F364" s="64"/>
      <c r="G364" s="64"/>
      <c r="H364" s="64"/>
      <c r="I364" s="64"/>
      <c r="J364" s="64"/>
      <c r="K364" s="64"/>
      <c r="L364" s="64"/>
      <c r="M364" s="64"/>
    </row>
    <row r="365" spans="1:13" ht="15" customHeight="1" x14ac:dyDescent="0.15">
      <c r="A365" s="6"/>
      <c r="B365" s="6" t="s">
        <v>52</v>
      </c>
      <c r="C365" s="64" t="s">
        <v>154</v>
      </c>
      <c r="D365" s="64"/>
      <c r="E365" s="64"/>
      <c r="F365" s="64"/>
      <c r="G365" s="64"/>
      <c r="H365" s="64"/>
      <c r="I365" s="64"/>
      <c r="J365" s="64"/>
      <c r="K365" s="64"/>
      <c r="L365" s="64"/>
      <c r="M365" s="64"/>
    </row>
    <row r="366" spans="1:13" ht="15" customHeight="1" x14ac:dyDescent="0.15">
      <c r="A366" s="6"/>
      <c r="B366" s="6" t="s">
        <v>53</v>
      </c>
      <c r="C366" s="65" t="s">
        <v>54</v>
      </c>
      <c r="D366" s="65"/>
      <c r="E366" s="65"/>
      <c r="F366" s="65"/>
      <c r="G366" s="65"/>
      <c r="H366" s="65"/>
      <c r="I366" s="65"/>
      <c r="J366" s="65"/>
      <c r="K366" s="65"/>
      <c r="L366" s="65"/>
      <c r="M366" s="65"/>
    </row>
    <row r="367" spans="1:13" ht="15" customHeight="1" x14ac:dyDescent="0.15">
      <c r="A367" s="6"/>
      <c r="B367" s="6"/>
      <c r="C367" s="65"/>
      <c r="D367" s="65"/>
      <c r="E367" s="65"/>
      <c r="F367" s="65"/>
      <c r="G367" s="65"/>
      <c r="H367" s="65"/>
      <c r="I367" s="65"/>
      <c r="J367" s="65"/>
      <c r="K367" s="65"/>
      <c r="L367" s="65"/>
      <c r="M367" s="65"/>
    </row>
    <row r="368" spans="1:13" ht="15" customHeight="1" x14ac:dyDescent="0.15">
      <c r="A368" s="6"/>
      <c r="B368" s="6"/>
      <c r="C368" s="6"/>
      <c r="D368" s="6"/>
      <c r="E368" s="6"/>
      <c r="F368" s="6"/>
      <c r="G368" s="6"/>
      <c r="H368" s="6"/>
      <c r="I368" s="6"/>
      <c r="J368" s="6"/>
      <c r="K368" s="6"/>
      <c r="L368" s="6"/>
      <c r="M368" s="6"/>
    </row>
    <row r="369" spans="1:14" ht="15" customHeight="1" x14ac:dyDescent="0.15">
      <c r="A369" s="6"/>
      <c r="B369" s="6"/>
      <c r="C369" s="6"/>
      <c r="D369" s="6"/>
      <c r="E369" s="6"/>
      <c r="F369" s="6"/>
      <c r="G369" s="6"/>
      <c r="H369" s="6"/>
      <c r="I369" s="6"/>
      <c r="J369" s="6"/>
      <c r="K369" s="6"/>
      <c r="L369" s="6"/>
      <c r="M369" s="13" t="str">
        <f>[94]Base_01!$C$4&amp;", …..  …........................  2026"</f>
        <v>Sorong, …..  …........................  2026</v>
      </c>
    </row>
    <row r="370" spans="1:14" ht="15" customHeight="1" x14ac:dyDescent="0.15">
      <c r="A370" s="6"/>
      <c r="B370" s="6"/>
      <c r="C370" s="6"/>
      <c r="D370" s="6"/>
      <c r="E370" s="6"/>
      <c r="F370" s="6"/>
      <c r="G370" s="6"/>
      <c r="H370" s="6"/>
      <c r="I370" s="6"/>
      <c r="J370" s="6"/>
      <c r="K370" s="6"/>
      <c r="L370" s="6"/>
      <c r="M370" s="6"/>
    </row>
    <row r="371" spans="1:14" ht="15" customHeight="1" x14ac:dyDescent="0.15">
      <c r="A371" s="6"/>
      <c r="B371" s="63" t="s">
        <v>57</v>
      </c>
      <c r="C371" s="63"/>
      <c r="D371" s="63"/>
      <c r="E371" s="63"/>
      <c r="F371" s="63" t="s">
        <v>56</v>
      </c>
      <c r="G371" s="63"/>
      <c r="H371" s="63"/>
      <c r="I371" s="63"/>
      <c r="J371" s="6"/>
      <c r="K371" s="6"/>
      <c r="L371" s="6"/>
      <c r="M371" s="6"/>
    </row>
    <row r="372" spans="1:14" ht="15" customHeight="1" x14ac:dyDescent="0.15">
      <c r="A372" s="6"/>
      <c r="B372" s="63" t="s">
        <v>60</v>
      </c>
      <c r="C372" s="63"/>
      <c r="D372" s="63"/>
      <c r="E372" s="63"/>
      <c r="F372" s="63" t="s">
        <v>58</v>
      </c>
      <c r="G372" s="63"/>
      <c r="H372" s="63"/>
      <c r="I372" s="63"/>
      <c r="J372" s="63" t="s">
        <v>55</v>
      </c>
      <c r="K372" s="63"/>
      <c r="L372" s="63"/>
      <c r="M372" s="63"/>
    </row>
    <row r="373" spans="1:14" ht="15" customHeight="1" x14ac:dyDescent="0.15">
      <c r="A373" s="6"/>
      <c r="B373" s="63" t="str">
        <f>[94]Base_01!$B$4&amp;" "&amp;[94]Base_01!$C$4</f>
        <v>Kota Sorong</v>
      </c>
      <c r="C373" s="63"/>
      <c r="D373" s="63"/>
      <c r="E373" s="63"/>
      <c r="F373" s="63" t="s">
        <v>59</v>
      </c>
      <c r="G373" s="63"/>
      <c r="H373" s="63"/>
      <c r="I373" s="63"/>
      <c r="J373" s="6"/>
      <c r="K373" s="6"/>
      <c r="L373" s="6"/>
      <c r="M373" s="6"/>
    </row>
    <row r="374" spans="1:14" ht="15" customHeight="1" x14ac:dyDescent="0.15">
      <c r="A374" s="6"/>
      <c r="B374" s="14"/>
      <c r="C374" s="14"/>
      <c r="D374" s="14"/>
      <c r="E374" s="14"/>
      <c r="F374" s="14"/>
      <c r="G374" s="14"/>
      <c r="H374" s="14"/>
      <c r="I374" s="6"/>
      <c r="J374" s="6"/>
      <c r="K374" s="6"/>
      <c r="L374" s="6"/>
      <c r="M374" s="6"/>
    </row>
    <row r="375" spans="1:14" ht="15" customHeight="1" x14ac:dyDescent="0.15">
      <c r="A375" s="6"/>
      <c r="B375" s="14"/>
      <c r="C375" s="14"/>
      <c r="D375" s="14"/>
      <c r="E375" s="14"/>
      <c r="F375" s="14"/>
      <c r="G375" s="14"/>
      <c r="H375" s="14"/>
      <c r="I375" s="6"/>
      <c r="J375" s="6"/>
      <c r="K375" s="6"/>
      <c r="L375" s="6"/>
      <c r="M375" s="6"/>
    </row>
    <row r="376" spans="1:14" ht="15" customHeight="1" x14ac:dyDescent="0.15">
      <c r="A376" s="6"/>
      <c r="B376" s="6"/>
      <c r="C376" s="6"/>
      <c r="D376" s="6"/>
      <c r="E376" s="6"/>
      <c r="F376" s="6"/>
      <c r="G376" s="6"/>
      <c r="H376" s="6"/>
      <c r="I376" s="6"/>
      <c r="J376" s="6"/>
      <c r="K376" s="6"/>
      <c r="L376" s="6"/>
      <c r="M376" s="6"/>
    </row>
    <row r="377" spans="1:14" ht="15" customHeight="1" x14ac:dyDescent="0.15">
      <c r="A377" s="6"/>
      <c r="B377" s="6"/>
      <c r="C377" s="6"/>
      <c r="D377" s="6"/>
      <c r="E377" s="6"/>
      <c r="F377" s="6"/>
      <c r="G377" s="6"/>
      <c r="H377" s="6"/>
      <c r="I377" s="6"/>
      <c r="J377" s="6"/>
      <c r="K377" s="6"/>
      <c r="L377" s="6"/>
      <c r="M377" s="6"/>
    </row>
    <row r="378" spans="1:14" ht="15" customHeight="1" x14ac:dyDescent="0.15">
      <c r="A378" s="6"/>
      <c r="B378" s="63" t="str">
        <f>[94]Base_01!$C$17</f>
        <v>AfrIandi Yudhistira, S.T.</v>
      </c>
      <c r="C378" s="63"/>
      <c r="D378" s="63"/>
      <c r="E378" s="63"/>
      <c r="F378" s="63" t="str">
        <f>[94]Base_01!$C$20</f>
        <v>…...............         …...............</v>
      </c>
      <c r="G378" s="63"/>
      <c r="H378" s="63"/>
      <c r="I378" s="63"/>
      <c r="J378" s="63" t="str">
        <f>G320</f>
        <v>Nama PB 6</v>
      </c>
      <c r="K378" s="63"/>
      <c r="L378" s="63"/>
      <c r="M378" s="63"/>
    </row>
    <row r="379" spans="1:14" ht="16" customHeight="1" x14ac:dyDescent="0.15">
      <c r="A379" s="67" t="s">
        <v>14</v>
      </c>
      <c r="B379" s="67"/>
      <c r="C379" s="67"/>
      <c r="D379" s="67"/>
      <c r="E379" s="67"/>
      <c r="F379" s="67"/>
      <c r="G379" s="67"/>
      <c r="H379" s="67"/>
      <c r="I379" s="67"/>
      <c r="J379" s="67"/>
      <c r="K379" s="67"/>
      <c r="L379" s="67"/>
      <c r="M379" s="67"/>
      <c r="N379" s="5">
        <f>N316+1</f>
        <v>7</v>
      </c>
    </row>
    <row r="380" spans="1:14" ht="16" customHeight="1" x14ac:dyDescent="0.15">
      <c r="A380" s="67" t="str">
        <f>"NOMOR "&amp;VLOOKUP($N379,[94]Base_02!$A$5:$AD$24,2,0)</f>
        <v>NOMOR 000007</v>
      </c>
      <c r="B380" s="67"/>
      <c r="C380" s="67"/>
      <c r="D380" s="67"/>
      <c r="E380" s="67"/>
      <c r="F380" s="67"/>
      <c r="G380" s="67"/>
      <c r="H380" s="67"/>
      <c r="I380" s="67"/>
      <c r="J380" s="67"/>
      <c r="K380" s="67"/>
      <c r="L380" s="67"/>
      <c r="M380" s="67"/>
    </row>
    <row r="381" spans="1:14" x14ac:dyDescent="0.15">
      <c r="A381" s="6"/>
      <c r="B381" s="7"/>
      <c r="C381" s="7"/>
      <c r="D381" s="7"/>
      <c r="E381" s="7"/>
      <c r="F381" s="7"/>
      <c r="G381" s="7"/>
      <c r="H381" s="7"/>
      <c r="I381" s="7"/>
      <c r="J381" s="7"/>
      <c r="K381" s="6"/>
      <c r="L381" s="6"/>
      <c r="M381" s="6"/>
    </row>
    <row r="382" spans="1:14" ht="15" customHeight="1" x14ac:dyDescent="0.15">
      <c r="A382" s="8" t="s">
        <v>13</v>
      </c>
      <c r="B382" s="9" t="s">
        <v>15</v>
      </c>
      <c r="C382" s="6"/>
      <c r="D382" s="6"/>
      <c r="E382" s="6"/>
      <c r="F382" s="6"/>
      <c r="G382" s="6"/>
      <c r="H382" s="6"/>
      <c r="I382" s="6"/>
      <c r="J382" s="6"/>
      <c r="K382" s="6"/>
      <c r="L382" s="6"/>
      <c r="M382" s="6"/>
    </row>
    <row r="383" spans="1:14" ht="15" customHeight="1" x14ac:dyDescent="0.15">
      <c r="A383" s="6"/>
      <c r="B383" s="57" t="s">
        <v>16</v>
      </c>
      <c r="C383" s="57"/>
      <c r="D383" s="57"/>
      <c r="E383" s="57"/>
      <c r="F383" s="57"/>
      <c r="G383" s="6" t="str">
        <f>VLOOKUP($N379,[94]Base_02!$A$5:$AD$24,3,0)</f>
        <v>Nama PB 7</v>
      </c>
      <c r="H383" s="6"/>
      <c r="I383" s="6"/>
      <c r="J383" s="6"/>
      <c r="K383" s="6"/>
      <c r="L383" s="6"/>
      <c r="M383" s="6"/>
    </row>
    <row r="384" spans="1:14" ht="15" customHeight="1" x14ac:dyDescent="0.15">
      <c r="A384" s="6"/>
      <c r="B384" s="57" t="s">
        <v>17</v>
      </c>
      <c r="C384" s="57"/>
      <c r="D384" s="57"/>
      <c r="E384" s="57"/>
      <c r="F384" s="57"/>
      <c r="G384" s="6" t="str">
        <f>VLOOKUP($N379,[94]Base_02!$A$5:$AD$24,14,0)</f>
        <v>3304160101860004</v>
      </c>
      <c r="H384" s="6"/>
      <c r="I384" s="6"/>
      <c r="J384" s="6"/>
      <c r="K384" s="6"/>
      <c r="L384" s="6"/>
      <c r="M384" s="6"/>
    </row>
    <row r="385" spans="1:17" ht="15" customHeight="1" x14ac:dyDescent="0.15">
      <c r="A385" s="6"/>
      <c r="B385" s="57" t="s">
        <v>18</v>
      </c>
      <c r="C385" s="57"/>
      <c r="D385" s="57"/>
      <c r="E385" s="57"/>
      <c r="F385" s="57"/>
      <c r="G385" s="6" t="str">
        <f>VLOOKUP(N379,[94]Base_02!$A$5:$Z$24,11,FALSE)&amp;", RT "&amp;VLOOKUP(N379,[94]Base_02!$A$5:$Z$24,12,FALSE)&amp;", RW "&amp;VLOOKUP(N379,[94]Base_02!$A$5:$Z$24,13,FALSE)</f>
        <v>Jalan Kanal Victory, RT 1, RW 1</v>
      </c>
      <c r="H385" s="6"/>
      <c r="I385" s="6"/>
      <c r="J385" s="6"/>
      <c r="K385" s="6"/>
      <c r="L385" s="6"/>
      <c r="M385" s="6"/>
    </row>
    <row r="386" spans="1:17" ht="15" customHeight="1" x14ac:dyDescent="0.15">
      <c r="A386" s="6"/>
      <c r="B386" s="57" t="str">
        <f>[94]Base_01!$B$2</f>
        <v>Kelurahan</v>
      </c>
      <c r="C386" s="57"/>
      <c r="D386" s="57"/>
      <c r="E386" s="57"/>
      <c r="F386" s="57"/>
      <c r="G386" s="10" t="str">
        <f>[94]Base_01!$C$2</f>
        <v>Klasabi</v>
      </c>
      <c r="H386" s="6"/>
      <c r="I386" s="6"/>
      <c r="J386" s="6"/>
      <c r="K386" s="6"/>
      <c r="L386" s="6"/>
      <c r="M386" s="6"/>
    </row>
    <row r="387" spans="1:17" ht="15" customHeight="1" x14ac:dyDescent="0.15">
      <c r="A387" s="6"/>
      <c r="B387" s="57" t="s">
        <v>19</v>
      </c>
      <c r="C387" s="57"/>
      <c r="D387" s="57"/>
      <c r="E387" s="57"/>
      <c r="F387" s="57"/>
      <c r="G387" s="10" t="str">
        <f>[94]Base_01!$C$3</f>
        <v>Sorong Manoi</v>
      </c>
      <c r="H387" s="6"/>
      <c r="I387" s="6"/>
      <c r="J387" s="6"/>
      <c r="K387" s="6"/>
      <c r="L387" s="6"/>
      <c r="M387" s="6"/>
    </row>
    <row r="388" spans="1:17" ht="15" customHeight="1" x14ac:dyDescent="0.15">
      <c r="A388" s="6"/>
      <c r="B388" s="57" t="str">
        <f>[94]Base_01!$B$4</f>
        <v>Kota</v>
      </c>
      <c r="C388" s="57"/>
      <c r="D388" s="57"/>
      <c r="E388" s="57"/>
      <c r="F388" s="57"/>
      <c r="G388" s="10" t="str">
        <f>[94]Base_01!$C$4</f>
        <v>Sorong</v>
      </c>
      <c r="H388" s="6"/>
      <c r="I388" s="6"/>
      <c r="J388" s="6"/>
      <c r="K388" s="6"/>
      <c r="L388" s="6"/>
      <c r="M388" s="6"/>
    </row>
    <row r="389" spans="1:17" ht="15" customHeight="1" x14ac:dyDescent="0.15">
      <c r="A389" s="6"/>
      <c r="B389" s="57" t="s">
        <v>20</v>
      </c>
      <c r="C389" s="57"/>
      <c r="D389" s="57"/>
      <c r="E389" s="57"/>
      <c r="F389" s="57"/>
      <c r="G389" s="11" t="str">
        <f>[94]Base_01!$C$5</f>
        <v>Papua Barat Daya</v>
      </c>
      <c r="H389" s="6"/>
      <c r="I389" s="6"/>
      <c r="J389" s="6"/>
      <c r="K389" s="6"/>
      <c r="L389" s="6"/>
      <c r="M389" s="6"/>
    </row>
    <row r="390" spans="1:17" ht="15" customHeight="1" x14ac:dyDescent="0.15">
      <c r="A390" s="6"/>
      <c r="B390" s="57" t="s">
        <v>21</v>
      </c>
      <c r="C390" s="57"/>
      <c r="D390" s="57"/>
      <c r="E390" s="57"/>
      <c r="F390" s="57"/>
      <c r="G390" s="6" t="str">
        <f>VLOOKUP($N379,[94]Base_02!$A$5:$AG$24,32,0)&amp;" - "&amp;VLOOKUP($N379,[94]Base_02!$A$5:$AG$24,31,0)</f>
        <v>1600006545020 - Bank Mandiri</v>
      </c>
      <c r="H390" s="6"/>
      <c r="I390" s="6"/>
      <c r="J390" s="6"/>
      <c r="K390" s="6"/>
      <c r="L390" s="6"/>
      <c r="M390" s="6"/>
    </row>
    <row r="391" spans="1:17" ht="15" customHeight="1" x14ac:dyDescent="0.15">
      <c r="A391" s="6"/>
      <c r="B391" s="6"/>
      <c r="C391" s="6"/>
      <c r="D391" s="6"/>
      <c r="E391" s="6"/>
      <c r="F391" s="6"/>
      <c r="G391" s="6"/>
      <c r="H391" s="6"/>
      <c r="I391" s="6"/>
      <c r="J391" s="6"/>
      <c r="K391" s="6"/>
      <c r="L391" s="6"/>
      <c r="M391" s="6"/>
    </row>
    <row r="392" spans="1:17" ht="15" customHeight="1" x14ac:dyDescent="0.15">
      <c r="A392" s="8" t="s">
        <v>22</v>
      </c>
      <c r="B392" s="9" t="s">
        <v>23</v>
      </c>
      <c r="C392" s="6"/>
      <c r="D392" s="6"/>
      <c r="E392" s="6"/>
      <c r="F392" s="6"/>
      <c r="G392" s="6"/>
      <c r="H392" s="6"/>
      <c r="I392" s="6"/>
      <c r="J392" s="6"/>
      <c r="K392" s="6"/>
      <c r="L392" s="6"/>
      <c r="M392" s="6"/>
    </row>
    <row r="393" spans="1:17" ht="15" customHeight="1" x14ac:dyDescent="0.15">
      <c r="A393" s="6"/>
      <c r="B393" s="66" t="s">
        <v>30</v>
      </c>
      <c r="C393" s="66"/>
      <c r="D393" s="66"/>
      <c r="E393" s="66"/>
      <c r="F393" s="66" t="s">
        <v>31</v>
      </c>
      <c r="G393" s="66"/>
      <c r="H393" s="66"/>
      <c r="I393" s="66"/>
      <c r="J393" s="66" t="s">
        <v>32</v>
      </c>
      <c r="K393" s="66"/>
      <c r="L393" s="66"/>
      <c r="M393" s="66"/>
      <c r="O393" s="15" t="s">
        <v>61</v>
      </c>
    </row>
    <row r="394" spans="1:17" ht="15" customHeight="1" x14ac:dyDescent="0.15">
      <c r="A394" s="6"/>
      <c r="B394" s="66"/>
      <c r="C394" s="66"/>
      <c r="D394" s="66"/>
      <c r="E394" s="66"/>
      <c r="F394" s="66"/>
      <c r="G394" s="66"/>
      <c r="H394" s="66"/>
      <c r="I394" s="66"/>
      <c r="J394" s="66"/>
      <c r="K394" s="66"/>
      <c r="L394" s="66"/>
      <c r="M394" s="66"/>
      <c r="Q394" s="5" t="s">
        <v>62</v>
      </c>
    </row>
    <row r="395" spans="1:17" ht="15" customHeight="1" x14ac:dyDescent="0.15">
      <c r="A395" s="6"/>
      <c r="B395" s="66"/>
      <c r="C395" s="66"/>
      <c r="D395" s="66"/>
      <c r="E395" s="66"/>
      <c r="F395" s="66"/>
      <c r="G395" s="66"/>
      <c r="H395" s="66"/>
      <c r="I395" s="66"/>
      <c r="J395" s="66"/>
      <c r="K395" s="66"/>
      <c r="L395" s="66"/>
      <c r="M395" s="66"/>
    </row>
    <row r="396" spans="1:17" ht="15" customHeight="1" x14ac:dyDescent="0.15">
      <c r="A396" s="6"/>
      <c r="B396" s="66"/>
      <c r="C396" s="66"/>
      <c r="D396" s="66"/>
      <c r="E396" s="66"/>
      <c r="F396" s="66"/>
      <c r="G396" s="66"/>
      <c r="H396" s="66"/>
      <c r="I396" s="66"/>
      <c r="J396" s="66"/>
      <c r="K396" s="66"/>
      <c r="L396" s="66"/>
      <c r="M396" s="66"/>
    </row>
    <row r="397" spans="1:17" ht="15" customHeight="1" x14ac:dyDescent="0.15">
      <c r="A397" s="6"/>
      <c r="B397" s="66"/>
      <c r="C397" s="66"/>
      <c r="D397" s="66"/>
      <c r="E397" s="66"/>
      <c r="F397" s="66"/>
      <c r="G397" s="66"/>
      <c r="H397" s="66"/>
      <c r="I397" s="66"/>
      <c r="J397" s="66"/>
      <c r="K397" s="66"/>
      <c r="L397" s="66"/>
      <c r="M397" s="66"/>
    </row>
    <row r="398" spans="1:17" ht="15" customHeight="1" x14ac:dyDescent="0.15">
      <c r="A398" s="6"/>
      <c r="B398" s="66"/>
      <c r="C398" s="66"/>
      <c r="D398" s="66"/>
      <c r="E398" s="66"/>
      <c r="F398" s="66"/>
      <c r="G398" s="66"/>
      <c r="H398" s="66"/>
      <c r="I398" s="66"/>
      <c r="J398" s="66"/>
      <c r="K398" s="66"/>
      <c r="L398" s="66"/>
      <c r="M398" s="66"/>
    </row>
    <row r="399" spans="1:17" ht="15" customHeight="1" x14ac:dyDescent="0.15">
      <c r="A399" s="6"/>
      <c r="B399" s="6"/>
      <c r="C399" s="6"/>
      <c r="D399" s="6"/>
      <c r="E399" s="6"/>
      <c r="F399" s="6"/>
      <c r="G399" s="6"/>
      <c r="H399" s="6"/>
      <c r="I399" s="6"/>
      <c r="J399" s="6"/>
      <c r="K399" s="6"/>
      <c r="L399" s="6"/>
      <c r="M399" s="6"/>
    </row>
    <row r="400" spans="1:17" ht="15" customHeight="1" x14ac:dyDescent="0.15">
      <c r="A400" s="8" t="s">
        <v>24</v>
      </c>
      <c r="B400" s="9" t="s">
        <v>25</v>
      </c>
      <c r="C400" s="6"/>
      <c r="D400" s="6"/>
      <c r="E400" s="6"/>
      <c r="F400" s="6"/>
      <c r="G400" s="6"/>
      <c r="H400" s="6"/>
      <c r="I400" s="6"/>
      <c r="J400" s="6"/>
      <c r="K400" s="6"/>
      <c r="L400" s="6"/>
      <c r="M400" s="6"/>
    </row>
    <row r="401" spans="1:13" ht="15" customHeight="1" x14ac:dyDescent="0.15">
      <c r="A401" s="12"/>
      <c r="B401" s="66" t="s">
        <v>35</v>
      </c>
      <c r="C401" s="66"/>
      <c r="D401" s="66"/>
      <c r="E401" s="66"/>
      <c r="F401" s="66"/>
      <c r="G401" s="66"/>
      <c r="H401" s="66" t="s">
        <v>36</v>
      </c>
      <c r="I401" s="66"/>
      <c r="J401" s="66"/>
      <c r="K401" s="66"/>
      <c r="L401" s="66"/>
      <c r="M401" s="66"/>
    </row>
    <row r="402" spans="1:13" ht="15" customHeight="1" x14ac:dyDescent="0.15">
      <c r="A402" s="6"/>
      <c r="B402" s="66"/>
      <c r="C402" s="66"/>
      <c r="D402" s="66"/>
      <c r="E402" s="66"/>
      <c r="F402" s="66"/>
      <c r="G402" s="66"/>
      <c r="H402" s="66"/>
      <c r="I402" s="66"/>
      <c r="J402" s="66"/>
      <c r="K402" s="66"/>
      <c r="L402" s="66"/>
      <c r="M402" s="66"/>
    </row>
    <row r="403" spans="1:13" ht="15" customHeight="1" x14ac:dyDescent="0.15">
      <c r="A403" s="6"/>
      <c r="B403" s="66"/>
      <c r="C403" s="66"/>
      <c r="D403" s="66"/>
      <c r="E403" s="66"/>
      <c r="F403" s="66"/>
      <c r="G403" s="66"/>
      <c r="H403" s="66"/>
      <c r="I403" s="66"/>
      <c r="J403" s="66"/>
      <c r="K403" s="66"/>
      <c r="L403" s="66"/>
      <c r="M403" s="66"/>
    </row>
    <row r="404" spans="1:13" ht="15" customHeight="1" x14ac:dyDescent="0.15">
      <c r="A404" s="6"/>
      <c r="B404" s="66"/>
      <c r="C404" s="66"/>
      <c r="D404" s="66"/>
      <c r="E404" s="66"/>
      <c r="F404" s="66"/>
      <c r="G404" s="66"/>
      <c r="H404" s="66"/>
      <c r="I404" s="66"/>
      <c r="J404" s="66"/>
      <c r="K404" s="66"/>
      <c r="L404" s="66"/>
      <c r="M404" s="66"/>
    </row>
    <row r="405" spans="1:13" ht="15" customHeight="1" x14ac:dyDescent="0.15">
      <c r="A405" s="6"/>
      <c r="B405" s="66"/>
      <c r="C405" s="66"/>
      <c r="D405" s="66"/>
      <c r="E405" s="66"/>
      <c r="F405" s="66"/>
      <c r="G405" s="66"/>
      <c r="H405" s="66"/>
      <c r="I405" s="66"/>
      <c r="J405" s="66"/>
      <c r="K405" s="66"/>
      <c r="L405" s="66"/>
      <c r="M405" s="66"/>
    </row>
    <row r="406" spans="1:13" ht="15" customHeight="1" x14ac:dyDescent="0.15">
      <c r="A406" s="6"/>
      <c r="B406" s="66"/>
      <c r="C406" s="66"/>
      <c r="D406" s="66"/>
      <c r="E406" s="66"/>
      <c r="F406" s="66"/>
      <c r="G406" s="66"/>
      <c r="H406" s="66"/>
      <c r="I406" s="66"/>
      <c r="J406" s="66"/>
      <c r="K406" s="66"/>
      <c r="L406" s="66"/>
      <c r="M406" s="66"/>
    </row>
    <row r="407" spans="1:13" ht="15" customHeight="1" x14ac:dyDescent="0.15">
      <c r="A407" s="6"/>
      <c r="B407" s="66"/>
      <c r="C407" s="66"/>
      <c r="D407" s="66"/>
      <c r="E407" s="66"/>
      <c r="F407" s="66"/>
      <c r="G407" s="66"/>
      <c r="H407" s="66"/>
      <c r="I407" s="66"/>
      <c r="J407" s="66"/>
      <c r="K407" s="66"/>
      <c r="L407" s="66"/>
      <c r="M407" s="66"/>
    </row>
    <row r="408" spans="1:13" ht="15" customHeight="1" x14ac:dyDescent="0.15">
      <c r="A408" s="6"/>
      <c r="B408" s="66"/>
      <c r="C408" s="66"/>
      <c r="D408" s="66"/>
      <c r="E408" s="66"/>
      <c r="F408" s="66"/>
      <c r="G408" s="66"/>
      <c r="H408" s="66"/>
      <c r="I408" s="66"/>
      <c r="J408" s="66"/>
      <c r="K408" s="66"/>
      <c r="L408" s="66"/>
      <c r="M408" s="66"/>
    </row>
    <row r="409" spans="1:13" ht="15" customHeight="1" x14ac:dyDescent="0.15">
      <c r="A409" s="6"/>
      <c r="B409" s="6"/>
      <c r="C409" s="6"/>
      <c r="D409" s="6"/>
      <c r="E409" s="6"/>
      <c r="F409" s="6"/>
      <c r="G409" s="6"/>
      <c r="H409" s="6"/>
      <c r="I409" s="6"/>
      <c r="J409" s="6"/>
      <c r="K409" s="6"/>
      <c r="L409" s="6"/>
      <c r="M409" s="6"/>
    </row>
    <row r="410" spans="1:13" ht="15" customHeight="1" x14ac:dyDescent="0.15">
      <c r="A410" s="8" t="s">
        <v>26</v>
      </c>
      <c r="B410" s="9" t="s">
        <v>27</v>
      </c>
      <c r="C410" s="6"/>
      <c r="D410" s="6"/>
      <c r="E410" s="6"/>
      <c r="F410" s="6"/>
      <c r="G410" s="6"/>
      <c r="H410" s="6"/>
      <c r="I410" s="6"/>
      <c r="J410" s="6"/>
      <c r="K410" s="6"/>
      <c r="L410" s="6"/>
      <c r="M410" s="6"/>
    </row>
    <row r="411" spans="1:13" ht="15" customHeight="1" x14ac:dyDescent="0.15">
      <c r="A411" s="12"/>
      <c r="B411" s="66" t="s">
        <v>30</v>
      </c>
      <c r="C411" s="66"/>
      <c r="D411" s="66"/>
      <c r="E411" s="66"/>
      <c r="F411" s="66" t="s">
        <v>33</v>
      </c>
      <c r="G411" s="66"/>
      <c r="H411" s="66"/>
      <c r="I411" s="66"/>
      <c r="J411" s="66" t="s">
        <v>34</v>
      </c>
      <c r="K411" s="66"/>
      <c r="L411" s="66"/>
      <c r="M411" s="66"/>
    </row>
    <row r="412" spans="1:13" ht="15" customHeight="1" x14ac:dyDescent="0.15">
      <c r="A412" s="6"/>
      <c r="B412" s="66"/>
      <c r="C412" s="66"/>
      <c r="D412" s="66"/>
      <c r="E412" s="66"/>
      <c r="F412" s="66"/>
      <c r="G412" s="66"/>
      <c r="H412" s="66"/>
      <c r="I412" s="66"/>
      <c r="J412" s="66"/>
      <c r="K412" s="66"/>
      <c r="L412" s="66"/>
      <c r="M412" s="66"/>
    </row>
    <row r="413" spans="1:13" ht="15" customHeight="1" x14ac:dyDescent="0.15">
      <c r="A413" s="6"/>
      <c r="B413" s="66"/>
      <c r="C413" s="66"/>
      <c r="D413" s="66"/>
      <c r="E413" s="66"/>
      <c r="F413" s="66"/>
      <c r="G413" s="66"/>
      <c r="H413" s="66"/>
      <c r="I413" s="66"/>
      <c r="J413" s="66"/>
      <c r="K413" s="66"/>
      <c r="L413" s="66"/>
      <c r="M413" s="66"/>
    </row>
    <row r="414" spans="1:13" ht="15" customHeight="1" x14ac:dyDescent="0.15">
      <c r="A414" s="6"/>
      <c r="B414" s="66"/>
      <c r="C414" s="66"/>
      <c r="D414" s="66"/>
      <c r="E414" s="66"/>
      <c r="F414" s="66"/>
      <c r="G414" s="66"/>
      <c r="H414" s="66"/>
      <c r="I414" s="66"/>
      <c r="J414" s="66"/>
      <c r="K414" s="66"/>
      <c r="L414" s="66"/>
      <c r="M414" s="66"/>
    </row>
    <row r="415" spans="1:13" ht="15" customHeight="1" x14ac:dyDescent="0.15">
      <c r="A415" s="6"/>
      <c r="B415" s="66"/>
      <c r="C415" s="66"/>
      <c r="D415" s="66"/>
      <c r="E415" s="66"/>
      <c r="F415" s="66"/>
      <c r="G415" s="66"/>
      <c r="H415" s="66"/>
      <c r="I415" s="66"/>
      <c r="J415" s="66"/>
      <c r="K415" s="66"/>
      <c r="L415" s="66"/>
      <c r="M415" s="66"/>
    </row>
    <row r="416" spans="1:13" ht="15" customHeight="1" x14ac:dyDescent="0.15">
      <c r="A416" s="6"/>
      <c r="B416" s="66"/>
      <c r="C416" s="66"/>
      <c r="D416" s="66"/>
      <c r="E416" s="66"/>
      <c r="F416" s="66"/>
      <c r="G416" s="66"/>
      <c r="H416" s="66"/>
      <c r="I416" s="66"/>
      <c r="J416" s="66"/>
      <c r="K416" s="66"/>
      <c r="L416" s="66"/>
      <c r="M416" s="66"/>
    </row>
    <row r="417" spans="1:13" ht="15" customHeight="1" x14ac:dyDescent="0.15">
      <c r="A417" s="6"/>
      <c r="B417" s="6"/>
      <c r="C417" s="6"/>
      <c r="D417" s="6"/>
      <c r="E417" s="6"/>
      <c r="F417" s="6"/>
      <c r="G417" s="6"/>
      <c r="H417" s="6"/>
      <c r="I417" s="6"/>
      <c r="J417" s="6"/>
      <c r="K417" s="6"/>
      <c r="L417" s="6"/>
      <c r="M417" s="6"/>
    </row>
    <row r="418" spans="1:13" ht="15" customHeight="1" x14ac:dyDescent="0.15">
      <c r="A418" s="8" t="s">
        <v>28</v>
      </c>
      <c r="B418" s="9" t="s">
        <v>29</v>
      </c>
      <c r="C418" s="6"/>
      <c r="D418" s="6"/>
      <c r="E418" s="6"/>
      <c r="F418" s="6"/>
      <c r="G418" s="6"/>
      <c r="H418" s="6"/>
      <c r="I418" s="6"/>
      <c r="J418" s="6"/>
      <c r="K418" s="6"/>
      <c r="L418" s="6"/>
      <c r="M418" s="6"/>
    </row>
    <row r="419" spans="1:13" ht="15" customHeight="1" x14ac:dyDescent="0.15">
      <c r="A419" s="6"/>
      <c r="B419" s="6" t="s">
        <v>37</v>
      </c>
      <c r="C419" s="6"/>
      <c r="D419" s="6"/>
      <c r="E419" s="6"/>
      <c r="F419" s="6"/>
      <c r="G419" s="6"/>
      <c r="H419" s="6"/>
      <c r="I419" s="6"/>
      <c r="J419" s="6"/>
      <c r="K419" s="6"/>
      <c r="L419" s="6"/>
      <c r="M419" s="6"/>
    </row>
    <row r="420" spans="1:13" ht="15" customHeight="1" x14ac:dyDescent="0.15">
      <c r="A420" s="6"/>
      <c r="B420" s="6" t="s">
        <v>38</v>
      </c>
      <c r="C420" s="65" t="s">
        <v>41</v>
      </c>
      <c r="D420" s="65"/>
      <c r="E420" s="65"/>
      <c r="F420" s="65"/>
      <c r="G420" s="65"/>
      <c r="H420" s="65"/>
      <c r="I420" s="65"/>
      <c r="J420" s="65"/>
      <c r="K420" s="65"/>
      <c r="L420" s="65"/>
      <c r="M420" s="65"/>
    </row>
    <row r="421" spans="1:13" ht="15" customHeight="1" x14ac:dyDescent="0.15">
      <c r="A421" s="6"/>
      <c r="B421" s="6"/>
      <c r="C421" s="65"/>
      <c r="D421" s="65"/>
      <c r="E421" s="65"/>
      <c r="F421" s="65"/>
      <c r="G421" s="65"/>
      <c r="H421" s="65"/>
      <c r="I421" s="65"/>
      <c r="J421" s="65"/>
      <c r="K421" s="65"/>
      <c r="L421" s="65"/>
      <c r="M421" s="65"/>
    </row>
    <row r="422" spans="1:13" ht="15" customHeight="1" x14ac:dyDescent="0.15">
      <c r="A422" s="6"/>
      <c r="B422" s="6" t="s">
        <v>39</v>
      </c>
      <c r="C422" s="64" t="s">
        <v>40</v>
      </c>
      <c r="D422" s="64"/>
      <c r="E422" s="64"/>
      <c r="F422" s="64"/>
      <c r="G422" s="64"/>
      <c r="H422" s="64"/>
      <c r="I422" s="64"/>
      <c r="J422" s="64"/>
      <c r="K422" s="64"/>
      <c r="L422" s="64"/>
      <c r="M422" s="64"/>
    </row>
    <row r="423" spans="1:13" ht="15" customHeight="1" x14ac:dyDescent="0.15">
      <c r="A423" s="6"/>
      <c r="B423" s="6" t="s">
        <v>42</v>
      </c>
      <c r="C423" s="64" t="s">
        <v>43</v>
      </c>
      <c r="D423" s="64"/>
      <c r="E423" s="64"/>
      <c r="F423" s="64"/>
      <c r="G423" s="64"/>
      <c r="H423" s="64"/>
      <c r="I423" s="64"/>
      <c r="J423" s="64"/>
      <c r="K423" s="64"/>
      <c r="L423" s="64"/>
      <c r="M423" s="64"/>
    </row>
    <row r="424" spans="1:13" ht="15" customHeight="1" x14ac:dyDescent="0.15">
      <c r="A424" s="6"/>
      <c r="B424" s="6" t="s">
        <v>44</v>
      </c>
      <c r="C424" s="64" t="s">
        <v>45</v>
      </c>
      <c r="D424" s="64"/>
      <c r="E424" s="64"/>
      <c r="F424" s="64"/>
      <c r="G424" s="64"/>
      <c r="H424" s="64"/>
      <c r="I424" s="64"/>
      <c r="J424" s="64"/>
      <c r="K424" s="64"/>
      <c r="L424" s="64"/>
      <c r="M424" s="64"/>
    </row>
    <row r="425" spans="1:13" ht="15" customHeight="1" x14ac:dyDescent="0.15">
      <c r="A425" s="6"/>
      <c r="B425" s="6" t="s">
        <v>46</v>
      </c>
      <c r="C425" s="64" t="s">
        <v>47</v>
      </c>
      <c r="D425" s="64"/>
      <c r="E425" s="64"/>
      <c r="F425" s="64"/>
      <c r="G425" s="64"/>
      <c r="H425" s="64"/>
      <c r="I425" s="64"/>
      <c r="J425" s="64"/>
      <c r="K425" s="64"/>
      <c r="L425" s="64"/>
      <c r="M425" s="64"/>
    </row>
    <row r="426" spans="1:13" ht="15" customHeight="1" x14ac:dyDescent="0.15">
      <c r="A426" s="6"/>
      <c r="B426" s="6" t="s">
        <v>50</v>
      </c>
      <c r="C426" s="64" t="s">
        <v>48</v>
      </c>
      <c r="D426" s="64"/>
      <c r="E426" s="64"/>
      <c r="F426" s="64"/>
      <c r="G426" s="64"/>
      <c r="H426" s="64"/>
      <c r="I426" s="64"/>
      <c r="J426" s="64"/>
      <c r="K426" s="64"/>
      <c r="L426" s="64"/>
      <c r="M426" s="64"/>
    </row>
    <row r="427" spans="1:13" ht="15" customHeight="1" x14ac:dyDescent="0.15">
      <c r="A427" s="6"/>
      <c r="B427" s="6" t="s">
        <v>51</v>
      </c>
      <c r="C427" s="64" t="s">
        <v>49</v>
      </c>
      <c r="D427" s="64"/>
      <c r="E427" s="64"/>
      <c r="F427" s="64"/>
      <c r="G427" s="64"/>
      <c r="H427" s="64"/>
      <c r="I427" s="64"/>
      <c r="J427" s="64"/>
      <c r="K427" s="64"/>
      <c r="L427" s="64"/>
      <c r="M427" s="64"/>
    </row>
    <row r="428" spans="1:13" ht="15" customHeight="1" x14ac:dyDescent="0.15">
      <c r="A428" s="6"/>
      <c r="B428" s="6" t="s">
        <v>52</v>
      </c>
      <c r="C428" s="64" t="s">
        <v>154</v>
      </c>
      <c r="D428" s="64"/>
      <c r="E428" s="64"/>
      <c r="F428" s="64"/>
      <c r="G428" s="64"/>
      <c r="H428" s="64"/>
      <c r="I428" s="64"/>
      <c r="J428" s="64"/>
      <c r="K428" s="64"/>
      <c r="L428" s="64"/>
      <c r="M428" s="64"/>
    </row>
    <row r="429" spans="1:13" ht="15" customHeight="1" x14ac:dyDescent="0.15">
      <c r="A429" s="6"/>
      <c r="B429" s="6" t="s">
        <v>53</v>
      </c>
      <c r="C429" s="65" t="s">
        <v>54</v>
      </c>
      <c r="D429" s="65"/>
      <c r="E429" s="65"/>
      <c r="F429" s="65"/>
      <c r="G429" s="65"/>
      <c r="H429" s="65"/>
      <c r="I429" s="65"/>
      <c r="J429" s="65"/>
      <c r="K429" s="65"/>
      <c r="L429" s="65"/>
      <c r="M429" s="65"/>
    </row>
    <row r="430" spans="1:13" ht="15" customHeight="1" x14ac:dyDescent="0.15">
      <c r="A430" s="6"/>
      <c r="B430" s="6"/>
      <c r="C430" s="65"/>
      <c r="D430" s="65"/>
      <c r="E430" s="65"/>
      <c r="F430" s="65"/>
      <c r="G430" s="65"/>
      <c r="H430" s="65"/>
      <c r="I430" s="65"/>
      <c r="J430" s="65"/>
      <c r="K430" s="65"/>
      <c r="L430" s="65"/>
      <c r="M430" s="65"/>
    </row>
    <row r="431" spans="1:13" ht="15" customHeight="1" x14ac:dyDescent="0.15">
      <c r="A431" s="6"/>
      <c r="B431" s="6"/>
      <c r="C431" s="6"/>
      <c r="D431" s="6"/>
      <c r="E431" s="6"/>
      <c r="F431" s="6"/>
      <c r="G431" s="6"/>
      <c r="H431" s="6"/>
      <c r="I431" s="6"/>
      <c r="J431" s="6"/>
      <c r="K431" s="6"/>
      <c r="L431" s="6"/>
      <c r="M431" s="6"/>
    </row>
    <row r="432" spans="1:13" ht="15" customHeight="1" x14ac:dyDescent="0.15">
      <c r="A432" s="6"/>
      <c r="B432" s="6"/>
      <c r="C432" s="6"/>
      <c r="D432" s="6"/>
      <c r="E432" s="6"/>
      <c r="F432" s="6"/>
      <c r="G432" s="6"/>
      <c r="H432" s="6"/>
      <c r="I432" s="6"/>
      <c r="J432" s="6"/>
      <c r="K432" s="6"/>
      <c r="L432" s="6"/>
      <c r="M432" s="13" t="str">
        <f>[94]Base_01!$C$4&amp;", …..  …........................  2026"</f>
        <v>Sorong, …..  …........................  2026</v>
      </c>
    </row>
    <row r="433" spans="1:14" ht="15" customHeight="1" x14ac:dyDescent="0.15">
      <c r="A433" s="6"/>
      <c r="B433" s="6"/>
      <c r="C433" s="6"/>
      <c r="D433" s="6"/>
      <c r="E433" s="6"/>
      <c r="F433" s="6"/>
      <c r="G433" s="6"/>
      <c r="H433" s="6"/>
      <c r="I433" s="6"/>
      <c r="J433" s="6"/>
      <c r="K433" s="6"/>
      <c r="L433" s="6"/>
      <c r="M433" s="6"/>
    </row>
    <row r="434" spans="1:14" ht="15" customHeight="1" x14ac:dyDescent="0.15">
      <c r="A434" s="6"/>
      <c r="B434" s="63" t="s">
        <v>57</v>
      </c>
      <c r="C434" s="63"/>
      <c r="D434" s="63"/>
      <c r="E434" s="63"/>
      <c r="F434" s="63" t="s">
        <v>56</v>
      </c>
      <c r="G434" s="63"/>
      <c r="H434" s="63"/>
      <c r="I434" s="63"/>
      <c r="J434" s="6"/>
      <c r="K434" s="6"/>
      <c r="L434" s="6"/>
      <c r="M434" s="6"/>
    </row>
    <row r="435" spans="1:14" ht="15" customHeight="1" x14ac:dyDescent="0.15">
      <c r="A435" s="6"/>
      <c r="B435" s="63" t="s">
        <v>60</v>
      </c>
      <c r="C435" s="63"/>
      <c r="D435" s="63"/>
      <c r="E435" s="63"/>
      <c r="F435" s="63" t="s">
        <v>58</v>
      </c>
      <c r="G435" s="63"/>
      <c r="H435" s="63"/>
      <c r="I435" s="63"/>
      <c r="J435" s="63" t="s">
        <v>55</v>
      </c>
      <c r="K435" s="63"/>
      <c r="L435" s="63"/>
      <c r="M435" s="63"/>
    </row>
    <row r="436" spans="1:14" ht="15" customHeight="1" x14ac:dyDescent="0.15">
      <c r="A436" s="6"/>
      <c r="B436" s="63" t="str">
        <f>[94]Base_01!$B$4&amp;" "&amp;[94]Base_01!$C$4</f>
        <v>Kota Sorong</v>
      </c>
      <c r="C436" s="63"/>
      <c r="D436" s="63"/>
      <c r="E436" s="63"/>
      <c r="F436" s="63" t="s">
        <v>59</v>
      </c>
      <c r="G436" s="63"/>
      <c r="H436" s="63"/>
      <c r="I436" s="63"/>
      <c r="J436" s="6"/>
      <c r="K436" s="6"/>
      <c r="L436" s="6"/>
      <c r="M436" s="6"/>
    </row>
    <row r="437" spans="1:14" ht="15" customHeight="1" x14ac:dyDescent="0.15">
      <c r="A437" s="6"/>
      <c r="B437" s="14"/>
      <c r="C437" s="14"/>
      <c r="D437" s="14"/>
      <c r="E437" s="14"/>
      <c r="F437" s="14"/>
      <c r="G437" s="14"/>
      <c r="H437" s="14"/>
      <c r="I437" s="6"/>
      <c r="J437" s="6"/>
      <c r="K437" s="6"/>
      <c r="L437" s="6"/>
      <c r="M437" s="6"/>
    </row>
    <row r="438" spans="1:14" ht="15" customHeight="1" x14ac:dyDescent="0.15">
      <c r="A438" s="6"/>
      <c r="B438" s="14"/>
      <c r="C438" s="14"/>
      <c r="D438" s="14"/>
      <c r="E438" s="14"/>
      <c r="F438" s="14"/>
      <c r="G438" s="14"/>
      <c r="H438" s="14"/>
      <c r="I438" s="6"/>
      <c r="J438" s="6"/>
      <c r="K438" s="6"/>
      <c r="L438" s="6"/>
      <c r="M438" s="6"/>
    </row>
    <row r="439" spans="1:14" ht="15" customHeight="1" x14ac:dyDescent="0.15">
      <c r="A439" s="6"/>
      <c r="B439" s="6"/>
      <c r="C439" s="6"/>
      <c r="D439" s="6"/>
      <c r="E439" s="6"/>
      <c r="F439" s="6"/>
      <c r="G439" s="6"/>
      <c r="H439" s="6"/>
      <c r="I439" s="6"/>
      <c r="J439" s="6"/>
      <c r="K439" s="6"/>
      <c r="L439" s="6"/>
      <c r="M439" s="6"/>
    </row>
    <row r="440" spans="1:14" ht="15" customHeight="1" x14ac:dyDescent="0.15">
      <c r="A440" s="6"/>
      <c r="B440" s="6"/>
      <c r="C440" s="6"/>
      <c r="D440" s="6"/>
      <c r="E440" s="6"/>
      <c r="F440" s="6"/>
      <c r="G440" s="6"/>
      <c r="H440" s="6"/>
      <c r="I440" s="6"/>
      <c r="J440" s="6"/>
      <c r="K440" s="6"/>
      <c r="L440" s="6"/>
      <c r="M440" s="6"/>
    </row>
    <row r="441" spans="1:14" ht="15" customHeight="1" x14ac:dyDescent="0.15">
      <c r="A441" s="6"/>
      <c r="B441" s="63" t="str">
        <f>[94]Base_01!$C$17</f>
        <v>AfrIandi Yudhistira, S.T.</v>
      </c>
      <c r="C441" s="63"/>
      <c r="D441" s="63"/>
      <c r="E441" s="63"/>
      <c r="F441" s="63" t="str">
        <f>[94]Base_01!$C$20</f>
        <v>…...............         …...............</v>
      </c>
      <c r="G441" s="63"/>
      <c r="H441" s="63"/>
      <c r="I441" s="63"/>
      <c r="J441" s="63" t="str">
        <f>G383</f>
        <v>Nama PB 7</v>
      </c>
      <c r="K441" s="63"/>
      <c r="L441" s="63"/>
      <c r="M441" s="63"/>
    </row>
    <row r="442" spans="1:14" ht="16" customHeight="1" x14ac:dyDescent="0.15">
      <c r="A442" s="67" t="s">
        <v>14</v>
      </c>
      <c r="B442" s="67"/>
      <c r="C442" s="67"/>
      <c r="D442" s="67"/>
      <c r="E442" s="67"/>
      <c r="F442" s="67"/>
      <c r="G442" s="67"/>
      <c r="H442" s="67"/>
      <c r="I442" s="67"/>
      <c r="J442" s="67"/>
      <c r="K442" s="67"/>
      <c r="L442" s="67"/>
      <c r="M442" s="67"/>
      <c r="N442" s="5">
        <f>N379+1</f>
        <v>8</v>
      </c>
    </row>
    <row r="443" spans="1:14" ht="16" customHeight="1" x14ac:dyDescent="0.15">
      <c r="A443" s="67" t="str">
        <f>"NOMOR "&amp;VLOOKUP($N442,[94]Base_02!$A$5:$AD$24,2,0)</f>
        <v>NOMOR 000008</v>
      </c>
      <c r="B443" s="67"/>
      <c r="C443" s="67"/>
      <c r="D443" s="67"/>
      <c r="E443" s="67"/>
      <c r="F443" s="67"/>
      <c r="G443" s="67"/>
      <c r="H443" s="67"/>
      <c r="I443" s="67"/>
      <c r="J443" s="67"/>
      <c r="K443" s="67"/>
      <c r="L443" s="67"/>
      <c r="M443" s="67"/>
    </row>
    <row r="444" spans="1:14" x14ac:dyDescent="0.15">
      <c r="A444" s="6"/>
      <c r="B444" s="7"/>
      <c r="C444" s="7"/>
      <c r="D444" s="7"/>
      <c r="E444" s="7"/>
      <c r="F444" s="7"/>
      <c r="G444" s="7"/>
      <c r="H444" s="7"/>
      <c r="I444" s="7"/>
      <c r="J444" s="7"/>
      <c r="K444" s="6"/>
      <c r="L444" s="6"/>
      <c r="M444" s="6"/>
    </row>
    <row r="445" spans="1:14" ht="15" customHeight="1" x14ac:dyDescent="0.15">
      <c r="A445" s="8" t="s">
        <v>13</v>
      </c>
      <c r="B445" s="9" t="s">
        <v>15</v>
      </c>
      <c r="C445" s="6"/>
      <c r="D445" s="6"/>
      <c r="E445" s="6"/>
      <c r="F445" s="6"/>
      <c r="G445" s="6"/>
      <c r="H445" s="6"/>
      <c r="I445" s="6"/>
      <c r="J445" s="6"/>
      <c r="K445" s="6"/>
      <c r="L445" s="6"/>
      <c r="M445" s="6"/>
    </row>
    <row r="446" spans="1:14" ht="15" customHeight="1" x14ac:dyDescent="0.15">
      <c r="A446" s="6"/>
      <c r="B446" s="57" t="s">
        <v>16</v>
      </c>
      <c r="C446" s="57"/>
      <c r="D446" s="57"/>
      <c r="E446" s="57"/>
      <c r="F446" s="57"/>
      <c r="G446" s="6" t="str">
        <f>VLOOKUP($N442,[94]Base_02!$A$5:$AD$24,3,0)</f>
        <v>Nama PB 8</v>
      </c>
      <c r="H446" s="6"/>
      <c r="I446" s="6"/>
      <c r="J446" s="6"/>
      <c r="K446" s="6"/>
      <c r="L446" s="6"/>
      <c r="M446" s="6"/>
    </row>
    <row r="447" spans="1:14" ht="15" customHeight="1" x14ac:dyDescent="0.15">
      <c r="A447" s="6"/>
      <c r="B447" s="57" t="s">
        <v>17</v>
      </c>
      <c r="C447" s="57"/>
      <c r="D447" s="57"/>
      <c r="E447" s="57"/>
      <c r="F447" s="57"/>
      <c r="G447" s="6">
        <f>VLOOKUP($N442,[94]Base_02!$A$5:$AD$24,14,0)</f>
        <v>0</v>
      </c>
      <c r="H447" s="6"/>
      <c r="I447" s="6"/>
      <c r="J447" s="6"/>
      <c r="K447" s="6"/>
      <c r="L447" s="6"/>
      <c r="M447" s="6"/>
    </row>
    <row r="448" spans="1:14" ht="15" customHeight="1" x14ac:dyDescent="0.15">
      <c r="A448" s="6"/>
      <c r="B448" s="57" t="s">
        <v>18</v>
      </c>
      <c r="C448" s="57"/>
      <c r="D448" s="57"/>
      <c r="E448" s="57"/>
      <c r="F448" s="57"/>
      <c r="G448" s="6" t="str">
        <f>VLOOKUP(N442,[94]Base_02!$A$5:$Z$24,11,FALSE)&amp;", RT "&amp;VLOOKUP(N442,[94]Base_02!$A$5:$Z$24,12,FALSE)&amp;", RW "&amp;VLOOKUP(N442,[94]Base_02!$A$5:$Z$24,13,FALSE)</f>
        <v>Jalan Kanal Victory, RT 2, RW 1</v>
      </c>
      <c r="H448" s="6"/>
      <c r="I448" s="6"/>
      <c r="J448" s="6"/>
      <c r="K448" s="6"/>
      <c r="L448" s="6"/>
      <c r="M448" s="6"/>
    </row>
    <row r="449" spans="1:17" ht="15" customHeight="1" x14ac:dyDescent="0.15">
      <c r="A449" s="6"/>
      <c r="B449" s="57" t="str">
        <f>[94]Base_01!$B$2</f>
        <v>Kelurahan</v>
      </c>
      <c r="C449" s="57"/>
      <c r="D449" s="57"/>
      <c r="E449" s="57"/>
      <c r="F449" s="57"/>
      <c r="G449" s="10" t="str">
        <f>[94]Base_01!$C$2</f>
        <v>Klasabi</v>
      </c>
      <c r="H449" s="6"/>
      <c r="I449" s="6"/>
      <c r="J449" s="6"/>
      <c r="K449" s="6"/>
      <c r="L449" s="6"/>
      <c r="M449" s="6"/>
    </row>
    <row r="450" spans="1:17" ht="15" customHeight="1" x14ac:dyDescent="0.15">
      <c r="A450" s="6"/>
      <c r="B450" s="57" t="s">
        <v>19</v>
      </c>
      <c r="C450" s="57"/>
      <c r="D450" s="57"/>
      <c r="E450" s="57"/>
      <c r="F450" s="57"/>
      <c r="G450" s="10" t="str">
        <f>[94]Base_01!$C$3</f>
        <v>Sorong Manoi</v>
      </c>
      <c r="H450" s="6"/>
      <c r="I450" s="6"/>
      <c r="J450" s="6"/>
      <c r="K450" s="6"/>
      <c r="L450" s="6"/>
      <c r="M450" s="6"/>
    </row>
    <row r="451" spans="1:17" ht="15" customHeight="1" x14ac:dyDescent="0.15">
      <c r="A451" s="6"/>
      <c r="B451" s="57" t="str">
        <f>[94]Base_01!$B$4</f>
        <v>Kota</v>
      </c>
      <c r="C451" s="57"/>
      <c r="D451" s="57"/>
      <c r="E451" s="57"/>
      <c r="F451" s="57"/>
      <c r="G451" s="10" t="str">
        <f>[94]Base_01!$C$4</f>
        <v>Sorong</v>
      </c>
      <c r="H451" s="6"/>
      <c r="I451" s="6"/>
      <c r="J451" s="6"/>
      <c r="K451" s="6"/>
      <c r="L451" s="6"/>
      <c r="M451" s="6"/>
    </row>
    <row r="452" spans="1:17" ht="15" customHeight="1" x14ac:dyDescent="0.15">
      <c r="A452" s="6"/>
      <c r="B452" s="57" t="s">
        <v>20</v>
      </c>
      <c r="C452" s="57"/>
      <c r="D452" s="57"/>
      <c r="E452" s="57"/>
      <c r="F452" s="57"/>
      <c r="G452" s="11" t="str">
        <f>[94]Base_01!$C$5</f>
        <v>Papua Barat Daya</v>
      </c>
      <c r="H452" s="6"/>
      <c r="I452" s="6"/>
      <c r="J452" s="6"/>
      <c r="K452" s="6"/>
      <c r="L452" s="6"/>
      <c r="M452" s="6"/>
    </row>
    <row r="453" spans="1:17" ht="15" customHeight="1" x14ac:dyDescent="0.15">
      <c r="A453" s="6"/>
      <c r="B453" s="57" t="s">
        <v>21</v>
      </c>
      <c r="C453" s="57"/>
      <c r="D453" s="57"/>
      <c r="E453" s="57"/>
      <c r="F453" s="57"/>
      <c r="G453" s="6" t="str">
        <f>VLOOKUP($N442,[94]Base_02!$A$5:$AG$24,32,0)&amp;" - "&amp;VLOOKUP($N442,[94]Base_02!$A$5:$AG$24,31,0)</f>
        <v>1600006544254 - Bank Mandiri</v>
      </c>
      <c r="H453" s="6"/>
      <c r="I453" s="6"/>
      <c r="J453" s="6"/>
      <c r="K453" s="6"/>
      <c r="L453" s="6"/>
      <c r="M453" s="6"/>
    </row>
    <row r="454" spans="1:17" ht="15" customHeight="1" x14ac:dyDescent="0.15">
      <c r="A454" s="6"/>
      <c r="B454" s="6"/>
      <c r="C454" s="6"/>
      <c r="D454" s="6"/>
      <c r="E454" s="6"/>
      <c r="F454" s="6"/>
      <c r="G454" s="6"/>
      <c r="H454" s="6"/>
      <c r="I454" s="6"/>
      <c r="J454" s="6"/>
      <c r="K454" s="6"/>
      <c r="L454" s="6"/>
      <c r="M454" s="6"/>
    </row>
    <row r="455" spans="1:17" ht="15" customHeight="1" x14ac:dyDescent="0.15">
      <c r="A455" s="8" t="s">
        <v>22</v>
      </c>
      <c r="B455" s="9" t="s">
        <v>23</v>
      </c>
      <c r="C455" s="6"/>
      <c r="D455" s="6"/>
      <c r="E455" s="6"/>
      <c r="F455" s="6"/>
      <c r="G455" s="6"/>
      <c r="H455" s="6"/>
      <c r="I455" s="6"/>
      <c r="J455" s="6"/>
      <c r="K455" s="6"/>
      <c r="L455" s="6"/>
      <c r="M455" s="6"/>
    </row>
    <row r="456" spans="1:17" ht="15" customHeight="1" x14ac:dyDescent="0.15">
      <c r="A456" s="6"/>
      <c r="B456" s="66" t="s">
        <v>30</v>
      </c>
      <c r="C456" s="66"/>
      <c r="D456" s="66"/>
      <c r="E456" s="66"/>
      <c r="F456" s="66" t="s">
        <v>31</v>
      </c>
      <c r="G456" s="66"/>
      <c r="H456" s="66"/>
      <c r="I456" s="66"/>
      <c r="J456" s="66" t="s">
        <v>32</v>
      </c>
      <c r="K456" s="66"/>
      <c r="L456" s="66"/>
      <c r="M456" s="66"/>
      <c r="O456" s="15" t="s">
        <v>61</v>
      </c>
    </row>
    <row r="457" spans="1:17" ht="15" customHeight="1" x14ac:dyDescent="0.15">
      <c r="A457" s="6"/>
      <c r="B457" s="66"/>
      <c r="C457" s="66"/>
      <c r="D457" s="66"/>
      <c r="E457" s="66"/>
      <c r="F457" s="66"/>
      <c r="G457" s="66"/>
      <c r="H457" s="66"/>
      <c r="I457" s="66"/>
      <c r="J457" s="66"/>
      <c r="K457" s="66"/>
      <c r="L457" s="66"/>
      <c r="M457" s="66"/>
      <c r="Q457" s="5" t="s">
        <v>62</v>
      </c>
    </row>
    <row r="458" spans="1:17" ht="15" customHeight="1" x14ac:dyDescent="0.15">
      <c r="A458" s="6"/>
      <c r="B458" s="66"/>
      <c r="C458" s="66"/>
      <c r="D458" s="66"/>
      <c r="E458" s="66"/>
      <c r="F458" s="66"/>
      <c r="G458" s="66"/>
      <c r="H458" s="66"/>
      <c r="I458" s="66"/>
      <c r="J458" s="66"/>
      <c r="K458" s="66"/>
      <c r="L458" s="66"/>
      <c r="M458" s="66"/>
    </row>
    <row r="459" spans="1:17" ht="15" customHeight="1" x14ac:dyDescent="0.15">
      <c r="A459" s="6"/>
      <c r="B459" s="66"/>
      <c r="C459" s="66"/>
      <c r="D459" s="66"/>
      <c r="E459" s="66"/>
      <c r="F459" s="66"/>
      <c r="G459" s="66"/>
      <c r="H459" s="66"/>
      <c r="I459" s="66"/>
      <c r="J459" s="66"/>
      <c r="K459" s="66"/>
      <c r="L459" s="66"/>
      <c r="M459" s="66"/>
    </row>
    <row r="460" spans="1:17" ht="15" customHeight="1" x14ac:dyDescent="0.15">
      <c r="A460" s="6"/>
      <c r="B460" s="66"/>
      <c r="C460" s="66"/>
      <c r="D460" s="66"/>
      <c r="E460" s="66"/>
      <c r="F460" s="66"/>
      <c r="G460" s="66"/>
      <c r="H460" s="66"/>
      <c r="I460" s="66"/>
      <c r="J460" s="66"/>
      <c r="K460" s="66"/>
      <c r="L460" s="66"/>
      <c r="M460" s="66"/>
    </row>
    <row r="461" spans="1:17" ht="15" customHeight="1" x14ac:dyDescent="0.15">
      <c r="A461" s="6"/>
      <c r="B461" s="66"/>
      <c r="C461" s="66"/>
      <c r="D461" s="66"/>
      <c r="E461" s="66"/>
      <c r="F461" s="66"/>
      <c r="G461" s="66"/>
      <c r="H461" s="66"/>
      <c r="I461" s="66"/>
      <c r="J461" s="66"/>
      <c r="K461" s="66"/>
      <c r="L461" s="66"/>
      <c r="M461" s="66"/>
    </row>
    <row r="462" spans="1:17" ht="15" customHeight="1" x14ac:dyDescent="0.15">
      <c r="A462" s="6"/>
      <c r="B462" s="6"/>
      <c r="C462" s="6"/>
      <c r="D462" s="6"/>
      <c r="E462" s="6"/>
      <c r="F462" s="6"/>
      <c r="G462" s="6"/>
      <c r="H462" s="6"/>
      <c r="I462" s="6"/>
      <c r="J462" s="6"/>
      <c r="K462" s="6"/>
      <c r="L462" s="6"/>
      <c r="M462" s="6"/>
    </row>
    <row r="463" spans="1:17" ht="15" customHeight="1" x14ac:dyDescent="0.15">
      <c r="A463" s="8" t="s">
        <v>24</v>
      </c>
      <c r="B463" s="9" t="s">
        <v>25</v>
      </c>
      <c r="C463" s="6"/>
      <c r="D463" s="6"/>
      <c r="E463" s="6"/>
      <c r="F463" s="6"/>
      <c r="G463" s="6"/>
      <c r="H463" s="6"/>
      <c r="I463" s="6"/>
      <c r="J463" s="6"/>
      <c r="K463" s="6"/>
      <c r="L463" s="6"/>
      <c r="M463" s="6"/>
    </row>
    <row r="464" spans="1:17" ht="15" customHeight="1" x14ac:dyDescent="0.15">
      <c r="A464" s="12"/>
      <c r="B464" s="66" t="s">
        <v>35</v>
      </c>
      <c r="C464" s="66"/>
      <c r="D464" s="66"/>
      <c r="E464" s="66"/>
      <c r="F464" s="66"/>
      <c r="G464" s="66"/>
      <c r="H464" s="66" t="s">
        <v>36</v>
      </c>
      <c r="I464" s="66"/>
      <c r="J464" s="66"/>
      <c r="K464" s="66"/>
      <c r="L464" s="66"/>
      <c r="M464" s="66"/>
    </row>
    <row r="465" spans="1:13" ht="15" customHeight="1" x14ac:dyDescent="0.15">
      <c r="A465" s="6"/>
      <c r="B465" s="66"/>
      <c r="C465" s="66"/>
      <c r="D465" s="66"/>
      <c r="E465" s="66"/>
      <c r="F465" s="66"/>
      <c r="G465" s="66"/>
      <c r="H465" s="66"/>
      <c r="I465" s="66"/>
      <c r="J465" s="66"/>
      <c r="K465" s="66"/>
      <c r="L465" s="66"/>
      <c r="M465" s="66"/>
    </row>
    <row r="466" spans="1:13" ht="15" customHeight="1" x14ac:dyDescent="0.15">
      <c r="A466" s="6"/>
      <c r="B466" s="66"/>
      <c r="C466" s="66"/>
      <c r="D466" s="66"/>
      <c r="E466" s="66"/>
      <c r="F466" s="66"/>
      <c r="G466" s="66"/>
      <c r="H466" s="66"/>
      <c r="I466" s="66"/>
      <c r="J466" s="66"/>
      <c r="K466" s="66"/>
      <c r="L466" s="66"/>
      <c r="M466" s="66"/>
    </row>
    <row r="467" spans="1:13" ht="15" customHeight="1" x14ac:dyDescent="0.15">
      <c r="A467" s="6"/>
      <c r="B467" s="66"/>
      <c r="C467" s="66"/>
      <c r="D467" s="66"/>
      <c r="E467" s="66"/>
      <c r="F467" s="66"/>
      <c r="G467" s="66"/>
      <c r="H467" s="66"/>
      <c r="I467" s="66"/>
      <c r="J467" s="66"/>
      <c r="K467" s="66"/>
      <c r="L467" s="66"/>
      <c r="M467" s="66"/>
    </row>
    <row r="468" spans="1:13" ht="15" customHeight="1" x14ac:dyDescent="0.15">
      <c r="A468" s="6"/>
      <c r="B468" s="66"/>
      <c r="C468" s="66"/>
      <c r="D468" s="66"/>
      <c r="E468" s="66"/>
      <c r="F468" s="66"/>
      <c r="G468" s="66"/>
      <c r="H468" s="66"/>
      <c r="I468" s="66"/>
      <c r="J468" s="66"/>
      <c r="K468" s="66"/>
      <c r="L468" s="66"/>
      <c r="M468" s="66"/>
    </row>
    <row r="469" spans="1:13" ht="15" customHeight="1" x14ac:dyDescent="0.15">
      <c r="A469" s="6"/>
      <c r="B469" s="66"/>
      <c r="C469" s="66"/>
      <c r="D469" s="66"/>
      <c r="E469" s="66"/>
      <c r="F469" s="66"/>
      <c r="G469" s="66"/>
      <c r="H469" s="66"/>
      <c r="I469" s="66"/>
      <c r="J469" s="66"/>
      <c r="K469" s="66"/>
      <c r="L469" s="66"/>
      <c r="M469" s="66"/>
    </row>
    <row r="470" spans="1:13" ht="15" customHeight="1" x14ac:dyDescent="0.15">
      <c r="A470" s="6"/>
      <c r="B470" s="66"/>
      <c r="C470" s="66"/>
      <c r="D470" s="66"/>
      <c r="E470" s="66"/>
      <c r="F470" s="66"/>
      <c r="G470" s="66"/>
      <c r="H470" s="66"/>
      <c r="I470" s="66"/>
      <c r="J470" s="66"/>
      <c r="K470" s="66"/>
      <c r="L470" s="66"/>
      <c r="M470" s="66"/>
    </row>
    <row r="471" spans="1:13" ht="15" customHeight="1" x14ac:dyDescent="0.15">
      <c r="A471" s="6"/>
      <c r="B471" s="66"/>
      <c r="C471" s="66"/>
      <c r="D471" s="66"/>
      <c r="E471" s="66"/>
      <c r="F471" s="66"/>
      <c r="G471" s="66"/>
      <c r="H471" s="66"/>
      <c r="I471" s="66"/>
      <c r="J471" s="66"/>
      <c r="K471" s="66"/>
      <c r="L471" s="66"/>
      <c r="M471" s="66"/>
    </row>
    <row r="472" spans="1:13" ht="15" customHeight="1" x14ac:dyDescent="0.15">
      <c r="A472" s="6"/>
      <c r="B472" s="6"/>
      <c r="C472" s="6"/>
      <c r="D472" s="6"/>
      <c r="E472" s="6"/>
      <c r="F472" s="6"/>
      <c r="G472" s="6"/>
      <c r="H472" s="6"/>
      <c r="I472" s="6"/>
      <c r="J472" s="6"/>
      <c r="K472" s="6"/>
      <c r="L472" s="6"/>
      <c r="M472" s="6"/>
    </row>
    <row r="473" spans="1:13" ht="15" customHeight="1" x14ac:dyDescent="0.15">
      <c r="A473" s="8" t="s">
        <v>26</v>
      </c>
      <c r="B473" s="9" t="s">
        <v>27</v>
      </c>
      <c r="C473" s="6"/>
      <c r="D473" s="6"/>
      <c r="E473" s="6"/>
      <c r="F473" s="6"/>
      <c r="G473" s="6"/>
      <c r="H473" s="6"/>
      <c r="I473" s="6"/>
      <c r="J473" s="6"/>
      <c r="K473" s="6"/>
      <c r="L473" s="6"/>
      <c r="M473" s="6"/>
    </row>
    <row r="474" spans="1:13" ht="15" customHeight="1" x14ac:dyDescent="0.15">
      <c r="A474" s="12"/>
      <c r="B474" s="66" t="s">
        <v>30</v>
      </c>
      <c r="C474" s="66"/>
      <c r="D474" s="66"/>
      <c r="E474" s="66"/>
      <c r="F474" s="66" t="s">
        <v>33</v>
      </c>
      <c r="G474" s="66"/>
      <c r="H474" s="66"/>
      <c r="I474" s="66"/>
      <c r="J474" s="66" t="s">
        <v>34</v>
      </c>
      <c r="K474" s="66"/>
      <c r="L474" s="66"/>
      <c r="M474" s="66"/>
    </row>
    <row r="475" spans="1:13" ht="15" customHeight="1" x14ac:dyDescent="0.15">
      <c r="A475" s="6"/>
      <c r="B475" s="66"/>
      <c r="C475" s="66"/>
      <c r="D475" s="66"/>
      <c r="E475" s="66"/>
      <c r="F475" s="66"/>
      <c r="G475" s="66"/>
      <c r="H475" s="66"/>
      <c r="I475" s="66"/>
      <c r="J475" s="66"/>
      <c r="K475" s="66"/>
      <c r="L475" s="66"/>
      <c r="M475" s="66"/>
    </row>
    <row r="476" spans="1:13" ht="15" customHeight="1" x14ac:dyDescent="0.15">
      <c r="A476" s="6"/>
      <c r="B476" s="66"/>
      <c r="C476" s="66"/>
      <c r="D476" s="66"/>
      <c r="E476" s="66"/>
      <c r="F476" s="66"/>
      <c r="G476" s="66"/>
      <c r="H476" s="66"/>
      <c r="I476" s="66"/>
      <c r="J476" s="66"/>
      <c r="K476" s="66"/>
      <c r="L476" s="66"/>
      <c r="M476" s="66"/>
    </row>
    <row r="477" spans="1:13" ht="15" customHeight="1" x14ac:dyDescent="0.15">
      <c r="A477" s="6"/>
      <c r="B477" s="66"/>
      <c r="C477" s="66"/>
      <c r="D477" s="66"/>
      <c r="E477" s="66"/>
      <c r="F477" s="66"/>
      <c r="G477" s="66"/>
      <c r="H477" s="66"/>
      <c r="I477" s="66"/>
      <c r="J477" s="66"/>
      <c r="K477" s="66"/>
      <c r="L477" s="66"/>
      <c r="M477" s="66"/>
    </row>
    <row r="478" spans="1:13" ht="15" customHeight="1" x14ac:dyDescent="0.15">
      <c r="A478" s="6"/>
      <c r="B478" s="66"/>
      <c r="C478" s="66"/>
      <c r="D478" s="66"/>
      <c r="E478" s="66"/>
      <c r="F478" s="66"/>
      <c r="G478" s="66"/>
      <c r="H478" s="66"/>
      <c r="I478" s="66"/>
      <c r="J478" s="66"/>
      <c r="K478" s="66"/>
      <c r="L478" s="66"/>
      <c r="M478" s="66"/>
    </row>
    <row r="479" spans="1:13" ht="15" customHeight="1" x14ac:dyDescent="0.15">
      <c r="A479" s="6"/>
      <c r="B479" s="66"/>
      <c r="C479" s="66"/>
      <c r="D479" s="66"/>
      <c r="E479" s="66"/>
      <c r="F479" s="66"/>
      <c r="G479" s="66"/>
      <c r="H479" s="66"/>
      <c r="I479" s="66"/>
      <c r="J479" s="66"/>
      <c r="K479" s="66"/>
      <c r="L479" s="66"/>
      <c r="M479" s="66"/>
    </row>
    <row r="480" spans="1:13" ht="15" customHeight="1" x14ac:dyDescent="0.15">
      <c r="A480" s="6"/>
      <c r="B480" s="6"/>
      <c r="C480" s="6"/>
      <c r="D480" s="6"/>
      <c r="E480" s="6"/>
      <c r="F480" s="6"/>
      <c r="G480" s="6"/>
      <c r="H480" s="6"/>
      <c r="I480" s="6"/>
      <c r="J480" s="6"/>
      <c r="K480" s="6"/>
      <c r="L480" s="6"/>
      <c r="M480" s="6"/>
    </row>
    <row r="481" spans="1:13" ht="15" customHeight="1" x14ac:dyDescent="0.15">
      <c r="A481" s="8" t="s">
        <v>28</v>
      </c>
      <c r="B481" s="9" t="s">
        <v>29</v>
      </c>
      <c r="C481" s="6"/>
      <c r="D481" s="6"/>
      <c r="E481" s="6"/>
      <c r="F481" s="6"/>
      <c r="G481" s="6"/>
      <c r="H481" s="6"/>
      <c r="I481" s="6"/>
      <c r="J481" s="6"/>
      <c r="K481" s="6"/>
      <c r="L481" s="6"/>
      <c r="M481" s="6"/>
    </row>
    <row r="482" spans="1:13" ht="15" customHeight="1" x14ac:dyDescent="0.15">
      <c r="A482" s="6"/>
      <c r="B482" s="6" t="s">
        <v>37</v>
      </c>
      <c r="C482" s="6"/>
      <c r="D482" s="6"/>
      <c r="E482" s="6"/>
      <c r="F482" s="6"/>
      <c r="G482" s="6"/>
      <c r="H482" s="6"/>
      <c r="I482" s="6"/>
      <c r="J482" s="6"/>
      <c r="K482" s="6"/>
      <c r="L482" s="6"/>
      <c r="M482" s="6"/>
    </row>
    <row r="483" spans="1:13" ht="15" customHeight="1" x14ac:dyDescent="0.15">
      <c r="A483" s="6"/>
      <c r="B483" s="6" t="s">
        <v>38</v>
      </c>
      <c r="C483" s="65" t="s">
        <v>41</v>
      </c>
      <c r="D483" s="65"/>
      <c r="E483" s="65"/>
      <c r="F483" s="65"/>
      <c r="G483" s="65"/>
      <c r="H483" s="65"/>
      <c r="I483" s="65"/>
      <c r="J483" s="65"/>
      <c r="K483" s="65"/>
      <c r="L483" s="65"/>
      <c r="M483" s="65"/>
    </row>
    <row r="484" spans="1:13" ht="15" customHeight="1" x14ac:dyDescent="0.15">
      <c r="A484" s="6"/>
      <c r="B484" s="6"/>
      <c r="C484" s="65"/>
      <c r="D484" s="65"/>
      <c r="E484" s="65"/>
      <c r="F484" s="65"/>
      <c r="G484" s="65"/>
      <c r="H484" s="65"/>
      <c r="I484" s="65"/>
      <c r="J484" s="65"/>
      <c r="K484" s="65"/>
      <c r="L484" s="65"/>
      <c r="M484" s="65"/>
    </row>
    <row r="485" spans="1:13" ht="15" customHeight="1" x14ac:dyDescent="0.15">
      <c r="A485" s="6"/>
      <c r="B485" s="6" t="s">
        <v>39</v>
      </c>
      <c r="C485" s="64" t="s">
        <v>40</v>
      </c>
      <c r="D485" s="64"/>
      <c r="E485" s="64"/>
      <c r="F485" s="64"/>
      <c r="G485" s="64"/>
      <c r="H485" s="64"/>
      <c r="I485" s="64"/>
      <c r="J485" s="64"/>
      <c r="K485" s="64"/>
      <c r="L485" s="64"/>
      <c r="M485" s="64"/>
    </row>
    <row r="486" spans="1:13" ht="15" customHeight="1" x14ac:dyDescent="0.15">
      <c r="A486" s="6"/>
      <c r="B486" s="6" t="s">
        <v>42</v>
      </c>
      <c r="C486" s="64" t="s">
        <v>43</v>
      </c>
      <c r="D486" s="64"/>
      <c r="E486" s="64"/>
      <c r="F486" s="64"/>
      <c r="G486" s="64"/>
      <c r="H486" s="64"/>
      <c r="I486" s="64"/>
      <c r="J486" s="64"/>
      <c r="K486" s="64"/>
      <c r="L486" s="64"/>
      <c r="M486" s="64"/>
    </row>
    <row r="487" spans="1:13" ht="15" customHeight="1" x14ac:dyDescent="0.15">
      <c r="A487" s="6"/>
      <c r="B487" s="6" t="s">
        <v>44</v>
      </c>
      <c r="C487" s="64" t="s">
        <v>45</v>
      </c>
      <c r="D487" s="64"/>
      <c r="E487" s="64"/>
      <c r="F487" s="64"/>
      <c r="G487" s="64"/>
      <c r="H487" s="64"/>
      <c r="I487" s="64"/>
      <c r="J487" s="64"/>
      <c r="K487" s="64"/>
      <c r="L487" s="64"/>
      <c r="M487" s="64"/>
    </row>
    <row r="488" spans="1:13" ht="15" customHeight="1" x14ac:dyDescent="0.15">
      <c r="A488" s="6"/>
      <c r="B488" s="6" t="s">
        <v>46</v>
      </c>
      <c r="C488" s="64" t="s">
        <v>47</v>
      </c>
      <c r="D488" s="64"/>
      <c r="E488" s="64"/>
      <c r="F488" s="64"/>
      <c r="G488" s="64"/>
      <c r="H488" s="64"/>
      <c r="I488" s="64"/>
      <c r="J488" s="64"/>
      <c r="K488" s="64"/>
      <c r="L488" s="64"/>
      <c r="M488" s="64"/>
    </row>
    <row r="489" spans="1:13" ht="15" customHeight="1" x14ac:dyDescent="0.15">
      <c r="A489" s="6"/>
      <c r="B489" s="6" t="s">
        <v>50</v>
      </c>
      <c r="C489" s="64" t="s">
        <v>48</v>
      </c>
      <c r="D489" s="64"/>
      <c r="E489" s="64"/>
      <c r="F489" s="64"/>
      <c r="G489" s="64"/>
      <c r="H489" s="64"/>
      <c r="I489" s="64"/>
      <c r="J489" s="64"/>
      <c r="K489" s="64"/>
      <c r="L489" s="64"/>
      <c r="M489" s="64"/>
    </row>
    <row r="490" spans="1:13" ht="15" customHeight="1" x14ac:dyDescent="0.15">
      <c r="A490" s="6"/>
      <c r="B490" s="6" t="s">
        <v>51</v>
      </c>
      <c r="C490" s="64" t="s">
        <v>49</v>
      </c>
      <c r="D490" s="64"/>
      <c r="E490" s="64"/>
      <c r="F490" s="64"/>
      <c r="G490" s="64"/>
      <c r="H490" s="64"/>
      <c r="I490" s="64"/>
      <c r="J490" s="64"/>
      <c r="K490" s="64"/>
      <c r="L490" s="64"/>
      <c r="M490" s="64"/>
    </row>
    <row r="491" spans="1:13" ht="15" customHeight="1" x14ac:dyDescent="0.15">
      <c r="A491" s="6"/>
      <c r="B491" s="6" t="s">
        <v>52</v>
      </c>
      <c r="C491" s="64" t="s">
        <v>154</v>
      </c>
      <c r="D491" s="64"/>
      <c r="E491" s="64"/>
      <c r="F491" s="64"/>
      <c r="G491" s="64"/>
      <c r="H491" s="64"/>
      <c r="I491" s="64"/>
      <c r="J491" s="64"/>
      <c r="K491" s="64"/>
      <c r="L491" s="64"/>
      <c r="M491" s="64"/>
    </row>
    <row r="492" spans="1:13" ht="15" customHeight="1" x14ac:dyDescent="0.15">
      <c r="A492" s="6"/>
      <c r="B492" s="6" t="s">
        <v>53</v>
      </c>
      <c r="C492" s="65" t="s">
        <v>54</v>
      </c>
      <c r="D492" s="65"/>
      <c r="E492" s="65"/>
      <c r="F492" s="65"/>
      <c r="G492" s="65"/>
      <c r="H492" s="65"/>
      <c r="I492" s="65"/>
      <c r="J492" s="65"/>
      <c r="K492" s="65"/>
      <c r="L492" s="65"/>
      <c r="M492" s="65"/>
    </row>
    <row r="493" spans="1:13" ht="15" customHeight="1" x14ac:dyDescent="0.15">
      <c r="A493" s="6"/>
      <c r="B493" s="6"/>
      <c r="C493" s="65"/>
      <c r="D493" s="65"/>
      <c r="E493" s="65"/>
      <c r="F493" s="65"/>
      <c r="G493" s="65"/>
      <c r="H493" s="65"/>
      <c r="I493" s="65"/>
      <c r="J493" s="65"/>
      <c r="K493" s="65"/>
      <c r="L493" s="65"/>
      <c r="M493" s="65"/>
    </row>
    <row r="494" spans="1:13" ht="15" customHeight="1" x14ac:dyDescent="0.15">
      <c r="A494" s="6"/>
      <c r="B494" s="6"/>
      <c r="C494" s="6"/>
      <c r="D494" s="6"/>
      <c r="E494" s="6"/>
      <c r="F494" s="6"/>
      <c r="G494" s="6"/>
      <c r="H494" s="6"/>
      <c r="I494" s="6"/>
      <c r="J494" s="6"/>
      <c r="K494" s="6"/>
      <c r="L494" s="6"/>
      <c r="M494" s="6"/>
    </row>
    <row r="495" spans="1:13" ht="15" customHeight="1" x14ac:dyDescent="0.15">
      <c r="A495" s="6"/>
      <c r="B495" s="6"/>
      <c r="C495" s="6"/>
      <c r="D495" s="6"/>
      <c r="E495" s="6"/>
      <c r="F495" s="6"/>
      <c r="G495" s="6"/>
      <c r="H495" s="6"/>
      <c r="I495" s="6"/>
      <c r="J495" s="6"/>
      <c r="K495" s="6"/>
      <c r="L495" s="6"/>
      <c r="M495" s="13" t="str">
        <f>[94]Base_01!$C$4&amp;", …..  …........................  2026"</f>
        <v>Sorong, …..  …........................  2026</v>
      </c>
    </row>
    <row r="496" spans="1:13" ht="15" customHeight="1" x14ac:dyDescent="0.15">
      <c r="A496" s="6"/>
      <c r="B496" s="6"/>
      <c r="C496" s="6"/>
      <c r="D496" s="6"/>
      <c r="E496" s="6"/>
      <c r="F496" s="6"/>
      <c r="G496" s="6"/>
      <c r="H496" s="6"/>
      <c r="I496" s="6"/>
      <c r="J496" s="6"/>
      <c r="K496" s="6"/>
      <c r="L496" s="6"/>
      <c r="M496" s="6"/>
    </row>
    <row r="497" spans="1:14" ht="15" customHeight="1" x14ac:dyDescent="0.15">
      <c r="A497" s="6"/>
      <c r="B497" s="63" t="s">
        <v>57</v>
      </c>
      <c r="C497" s="63"/>
      <c r="D497" s="63"/>
      <c r="E497" s="63"/>
      <c r="F497" s="63" t="s">
        <v>56</v>
      </c>
      <c r="G497" s="63"/>
      <c r="H497" s="63"/>
      <c r="I497" s="63"/>
      <c r="J497" s="6"/>
      <c r="K497" s="6"/>
      <c r="L497" s="6"/>
      <c r="M497" s="6"/>
    </row>
    <row r="498" spans="1:14" ht="15" customHeight="1" x14ac:dyDescent="0.15">
      <c r="A498" s="6"/>
      <c r="B498" s="63" t="s">
        <v>60</v>
      </c>
      <c r="C498" s="63"/>
      <c r="D498" s="63"/>
      <c r="E498" s="63"/>
      <c r="F498" s="63" t="s">
        <v>58</v>
      </c>
      <c r="G498" s="63"/>
      <c r="H498" s="63"/>
      <c r="I498" s="63"/>
      <c r="J498" s="63" t="s">
        <v>55</v>
      </c>
      <c r="K498" s="63"/>
      <c r="L498" s="63"/>
      <c r="M498" s="63"/>
    </row>
    <row r="499" spans="1:14" ht="15" customHeight="1" x14ac:dyDescent="0.15">
      <c r="A499" s="6"/>
      <c r="B499" s="63" t="str">
        <f>[94]Base_01!$B$4&amp;" "&amp;[94]Base_01!$C$4</f>
        <v>Kota Sorong</v>
      </c>
      <c r="C499" s="63"/>
      <c r="D499" s="63"/>
      <c r="E499" s="63"/>
      <c r="F499" s="63" t="s">
        <v>59</v>
      </c>
      <c r="G499" s="63"/>
      <c r="H499" s="63"/>
      <c r="I499" s="63"/>
      <c r="J499" s="6"/>
      <c r="K499" s="6"/>
      <c r="L499" s="6"/>
      <c r="M499" s="6"/>
    </row>
    <row r="500" spans="1:14" ht="15" customHeight="1" x14ac:dyDescent="0.15">
      <c r="A500" s="6"/>
      <c r="B500" s="14"/>
      <c r="C500" s="14"/>
      <c r="D500" s="14"/>
      <c r="E500" s="14"/>
      <c r="F500" s="14"/>
      <c r="G500" s="14"/>
      <c r="H500" s="14"/>
      <c r="I500" s="6"/>
      <c r="J500" s="6"/>
      <c r="K500" s="6"/>
      <c r="L500" s="6"/>
      <c r="M500" s="6"/>
    </row>
    <row r="501" spans="1:14" ht="15" customHeight="1" x14ac:dyDescent="0.15">
      <c r="A501" s="6"/>
      <c r="B501" s="14"/>
      <c r="C501" s="14"/>
      <c r="D501" s="14"/>
      <c r="E501" s="14"/>
      <c r="F501" s="14"/>
      <c r="G501" s="14"/>
      <c r="H501" s="14"/>
      <c r="I501" s="6"/>
      <c r="J501" s="6"/>
      <c r="K501" s="6"/>
      <c r="L501" s="6"/>
      <c r="M501" s="6"/>
    </row>
    <row r="502" spans="1:14" ht="15" customHeight="1" x14ac:dyDescent="0.15">
      <c r="A502" s="6"/>
      <c r="B502" s="6"/>
      <c r="C502" s="6"/>
      <c r="D502" s="6"/>
      <c r="E502" s="6"/>
      <c r="F502" s="6"/>
      <c r="G502" s="6"/>
      <c r="H502" s="6"/>
      <c r="I502" s="6"/>
      <c r="J502" s="6"/>
      <c r="K502" s="6"/>
      <c r="L502" s="6"/>
      <c r="M502" s="6"/>
    </row>
    <row r="503" spans="1:14" ht="15" customHeight="1" x14ac:dyDescent="0.15">
      <c r="A503" s="6"/>
      <c r="B503" s="6"/>
      <c r="C503" s="6"/>
      <c r="D503" s="6"/>
      <c r="E503" s="6"/>
      <c r="F503" s="6"/>
      <c r="G503" s="6"/>
      <c r="H503" s="6"/>
      <c r="I503" s="6"/>
      <c r="J503" s="6"/>
      <c r="K503" s="6"/>
      <c r="L503" s="6"/>
      <c r="M503" s="6"/>
    </row>
    <row r="504" spans="1:14" ht="15" customHeight="1" x14ac:dyDescent="0.15">
      <c r="A504" s="6"/>
      <c r="B504" s="63" t="str">
        <f>[94]Base_01!$C$17</f>
        <v>AfrIandi Yudhistira, S.T.</v>
      </c>
      <c r="C504" s="63"/>
      <c r="D504" s="63"/>
      <c r="E504" s="63"/>
      <c r="F504" s="63" t="str">
        <f>[94]Base_01!$C$20</f>
        <v>…...............         …...............</v>
      </c>
      <c r="G504" s="63"/>
      <c r="H504" s="63"/>
      <c r="I504" s="63"/>
      <c r="J504" s="63" t="str">
        <f>G446</f>
        <v>Nama PB 8</v>
      </c>
      <c r="K504" s="63"/>
      <c r="L504" s="63"/>
      <c r="M504" s="63"/>
    </row>
    <row r="505" spans="1:14" ht="16" customHeight="1" x14ac:dyDescent="0.15">
      <c r="A505" s="67" t="s">
        <v>14</v>
      </c>
      <c r="B505" s="67"/>
      <c r="C505" s="67"/>
      <c r="D505" s="67"/>
      <c r="E505" s="67"/>
      <c r="F505" s="67"/>
      <c r="G505" s="67"/>
      <c r="H505" s="67"/>
      <c r="I505" s="67"/>
      <c r="J505" s="67"/>
      <c r="K505" s="67"/>
      <c r="L505" s="67"/>
      <c r="M505" s="67"/>
      <c r="N505" s="5">
        <f>N442+1</f>
        <v>9</v>
      </c>
    </row>
    <row r="506" spans="1:14" ht="16" customHeight="1" x14ac:dyDescent="0.15">
      <c r="A506" s="67" t="str">
        <f>"NOMOR "&amp;VLOOKUP($N505,[94]Base_02!$A$5:$AD$24,2,0)</f>
        <v>NOMOR 000009</v>
      </c>
      <c r="B506" s="67"/>
      <c r="C506" s="67"/>
      <c r="D506" s="67"/>
      <c r="E506" s="67"/>
      <c r="F506" s="67"/>
      <c r="G506" s="67"/>
      <c r="H506" s="67"/>
      <c r="I506" s="67"/>
      <c r="J506" s="67"/>
      <c r="K506" s="67"/>
      <c r="L506" s="67"/>
      <c r="M506" s="67"/>
    </row>
    <row r="507" spans="1:14" x14ac:dyDescent="0.15">
      <c r="A507" s="6"/>
      <c r="B507" s="7"/>
      <c r="C507" s="7"/>
      <c r="D507" s="7"/>
      <c r="E507" s="7"/>
      <c r="F507" s="7"/>
      <c r="G507" s="7"/>
      <c r="H507" s="7"/>
      <c r="I507" s="7"/>
      <c r="J507" s="7"/>
      <c r="K507" s="6"/>
      <c r="L507" s="6"/>
      <c r="M507" s="6"/>
    </row>
    <row r="508" spans="1:14" ht="15" customHeight="1" x14ac:dyDescent="0.15">
      <c r="A508" s="8" t="s">
        <v>13</v>
      </c>
      <c r="B508" s="9" t="s">
        <v>15</v>
      </c>
      <c r="C508" s="6"/>
      <c r="D508" s="6"/>
      <c r="E508" s="6"/>
      <c r="F508" s="6"/>
      <c r="G508" s="6"/>
      <c r="H508" s="6"/>
      <c r="I508" s="6"/>
      <c r="J508" s="6"/>
      <c r="K508" s="6"/>
      <c r="L508" s="6"/>
      <c r="M508" s="6"/>
    </row>
    <row r="509" spans="1:14" ht="15" customHeight="1" x14ac:dyDescent="0.15">
      <c r="A509" s="6"/>
      <c r="B509" s="57" t="s">
        <v>16</v>
      </c>
      <c r="C509" s="57"/>
      <c r="D509" s="57"/>
      <c r="E509" s="57"/>
      <c r="F509" s="57"/>
      <c r="G509" s="6" t="str">
        <f>VLOOKUP($N505,[94]Base_02!$A$5:$AD$24,3,0)</f>
        <v>Nama PB 9</v>
      </c>
      <c r="H509" s="6"/>
      <c r="I509" s="6"/>
      <c r="J509" s="6"/>
      <c r="K509" s="6"/>
      <c r="L509" s="6"/>
      <c r="M509" s="6"/>
    </row>
    <row r="510" spans="1:14" ht="15" customHeight="1" x14ac:dyDescent="0.15">
      <c r="A510" s="6"/>
      <c r="B510" s="57" t="s">
        <v>17</v>
      </c>
      <c r="C510" s="57"/>
      <c r="D510" s="57"/>
      <c r="E510" s="57"/>
      <c r="F510" s="57"/>
      <c r="G510" s="6">
        <f>VLOOKUP($N505,[94]Base_02!$A$5:$AD$24,14,0)</f>
        <v>0</v>
      </c>
      <c r="H510" s="6"/>
      <c r="I510" s="6"/>
      <c r="J510" s="6"/>
      <c r="K510" s="6"/>
      <c r="L510" s="6"/>
      <c r="M510" s="6"/>
    </row>
    <row r="511" spans="1:14" ht="15" customHeight="1" x14ac:dyDescent="0.15">
      <c r="A511" s="6"/>
      <c r="B511" s="57" t="s">
        <v>18</v>
      </c>
      <c r="C511" s="57"/>
      <c r="D511" s="57"/>
      <c r="E511" s="57"/>
      <c r="F511" s="57"/>
      <c r="G511" s="6" t="str">
        <f>VLOOKUP(N505,[94]Base_02!$A$5:$Z$24,11,FALSE)&amp;", RT "&amp;VLOOKUP(N505,[94]Base_02!$A$5:$Z$24,12,FALSE)&amp;", RW "&amp;VLOOKUP(N505,[94]Base_02!$A$5:$Z$24,13,FALSE)</f>
        <v>Jalan Kanal Victory, RT 2, RW 1</v>
      </c>
      <c r="H511" s="6"/>
      <c r="I511" s="6"/>
      <c r="J511" s="6"/>
      <c r="K511" s="6"/>
      <c r="L511" s="6"/>
      <c r="M511" s="6"/>
    </row>
    <row r="512" spans="1:14" ht="15" customHeight="1" x14ac:dyDescent="0.15">
      <c r="A512" s="6"/>
      <c r="B512" s="57" t="str">
        <f>[94]Base_01!$B$2</f>
        <v>Kelurahan</v>
      </c>
      <c r="C512" s="57"/>
      <c r="D512" s="57"/>
      <c r="E512" s="57"/>
      <c r="F512" s="57"/>
      <c r="G512" s="10" t="str">
        <f>[94]Base_01!$C$2</f>
        <v>Klasabi</v>
      </c>
      <c r="H512" s="6"/>
      <c r="I512" s="6"/>
      <c r="J512" s="6"/>
      <c r="K512" s="6"/>
      <c r="L512" s="6"/>
      <c r="M512" s="6"/>
    </row>
    <row r="513" spans="1:17" ht="15" customHeight="1" x14ac:dyDescent="0.15">
      <c r="A513" s="6"/>
      <c r="B513" s="57" t="s">
        <v>19</v>
      </c>
      <c r="C513" s="57"/>
      <c r="D513" s="57"/>
      <c r="E513" s="57"/>
      <c r="F513" s="57"/>
      <c r="G513" s="10" t="str">
        <f>[94]Base_01!$C$3</f>
        <v>Sorong Manoi</v>
      </c>
      <c r="H513" s="6"/>
      <c r="I513" s="6"/>
      <c r="J513" s="6"/>
      <c r="K513" s="6"/>
      <c r="L513" s="6"/>
      <c r="M513" s="6"/>
    </row>
    <row r="514" spans="1:17" ht="15" customHeight="1" x14ac:dyDescent="0.15">
      <c r="A514" s="6"/>
      <c r="B514" s="57" t="str">
        <f>[94]Base_01!$B$4</f>
        <v>Kota</v>
      </c>
      <c r="C514" s="57"/>
      <c r="D514" s="57"/>
      <c r="E514" s="57"/>
      <c r="F514" s="57"/>
      <c r="G514" s="10" t="str">
        <f>[94]Base_01!$C$4</f>
        <v>Sorong</v>
      </c>
      <c r="H514" s="6"/>
      <c r="I514" s="6"/>
      <c r="J514" s="6"/>
      <c r="K514" s="6"/>
      <c r="L514" s="6"/>
      <c r="M514" s="6"/>
    </row>
    <row r="515" spans="1:17" ht="15" customHeight="1" x14ac:dyDescent="0.15">
      <c r="A515" s="6"/>
      <c r="B515" s="57" t="s">
        <v>20</v>
      </c>
      <c r="C515" s="57"/>
      <c r="D515" s="57"/>
      <c r="E515" s="57"/>
      <c r="F515" s="57"/>
      <c r="G515" s="11" t="str">
        <f>[94]Base_01!$C$5</f>
        <v>Papua Barat Daya</v>
      </c>
      <c r="H515" s="6"/>
      <c r="I515" s="6"/>
      <c r="J515" s="6"/>
      <c r="K515" s="6"/>
      <c r="L515" s="6"/>
      <c r="M515" s="6"/>
    </row>
    <row r="516" spans="1:17" ht="15" customHeight="1" x14ac:dyDescent="0.15">
      <c r="A516" s="6"/>
      <c r="B516" s="57" t="s">
        <v>21</v>
      </c>
      <c r="C516" s="57"/>
      <c r="D516" s="57"/>
      <c r="E516" s="57"/>
      <c r="F516" s="57"/>
      <c r="G516" s="6" t="str">
        <f>VLOOKUP($N505,[94]Base_02!$A$5:$AG$24,32,0)&amp;" - "&amp;VLOOKUP($N505,[94]Base_02!$A$5:$AG$24,31,0)</f>
        <v>1600006544262 - Bank Mandiri</v>
      </c>
      <c r="H516" s="6"/>
      <c r="I516" s="6"/>
      <c r="J516" s="6"/>
      <c r="K516" s="6"/>
      <c r="L516" s="6"/>
      <c r="M516" s="6"/>
    </row>
    <row r="517" spans="1:17" ht="15" customHeight="1" x14ac:dyDescent="0.15">
      <c r="A517" s="6"/>
      <c r="B517" s="6"/>
      <c r="C517" s="6"/>
      <c r="D517" s="6"/>
      <c r="E517" s="6"/>
      <c r="F517" s="6"/>
      <c r="G517" s="6"/>
      <c r="H517" s="6"/>
      <c r="I517" s="6"/>
      <c r="J517" s="6"/>
      <c r="K517" s="6"/>
      <c r="L517" s="6"/>
      <c r="M517" s="6"/>
    </row>
    <row r="518" spans="1:17" ht="15" customHeight="1" x14ac:dyDescent="0.15">
      <c r="A518" s="8" t="s">
        <v>22</v>
      </c>
      <c r="B518" s="9" t="s">
        <v>23</v>
      </c>
      <c r="C518" s="6"/>
      <c r="D518" s="6"/>
      <c r="E518" s="6"/>
      <c r="F518" s="6"/>
      <c r="G518" s="6"/>
      <c r="H518" s="6"/>
      <c r="I518" s="6"/>
      <c r="J518" s="6"/>
      <c r="K518" s="6"/>
      <c r="L518" s="6"/>
      <c r="M518" s="6"/>
    </row>
    <row r="519" spans="1:17" ht="15" customHeight="1" x14ac:dyDescent="0.15">
      <c r="A519" s="6"/>
      <c r="B519" s="66" t="s">
        <v>30</v>
      </c>
      <c r="C519" s="66"/>
      <c r="D519" s="66"/>
      <c r="E519" s="66"/>
      <c r="F519" s="66" t="s">
        <v>31</v>
      </c>
      <c r="G519" s="66"/>
      <c r="H519" s="66"/>
      <c r="I519" s="66"/>
      <c r="J519" s="66" t="s">
        <v>32</v>
      </c>
      <c r="K519" s="66"/>
      <c r="L519" s="66"/>
      <c r="M519" s="66"/>
      <c r="O519" s="15" t="s">
        <v>61</v>
      </c>
    </row>
    <row r="520" spans="1:17" ht="15" customHeight="1" x14ac:dyDescent="0.15">
      <c r="A520" s="6"/>
      <c r="B520" s="66"/>
      <c r="C520" s="66"/>
      <c r="D520" s="66"/>
      <c r="E520" s="66"/>
      <c r="F520" s="66"/>
      <c r="G520" s="66"/>
      <c r="H520" s="66"/>
      <c r="I520" s="66"/>
      <c r="J520" s="66"/>
      <c r="K520" s="66"/>
      <c r="L520" s="66"/>
      <c r="M520" s="66"/>
      <c r="Q520" s="5" t="s">
        <v>62</v>
      </c>
    </row>
    <row r="521" spans="1:17" ht="15" customHeight="1" x14ac:dyDescent="0.15">
      <c r="A521" s="6"/>
      <c r="B521" s="66"/>
      <c r="C521" s="66"/>
      <c r="D521" s="66"/>
      <c r="E521" s="66"/>
      <c r="F521" s="66"/>
      <c r="G521" s="66"/>
      <c r="H521" s="66"/>
      <c r="I521" s="66"/>
      <c r="J521" s="66"/>
      <c r="K521" s="66"/>
      <c r="L521" s="66"/>
      <c r="M521" s="66"/>
    </row>
    <row r="522" spans="1:17" ht="15" customHeight="1" x14ac:dyDescent="0.15">
      <c r="A522" s="6"/>
      <c r="B522" s="66"/>
      <c r="C522" s="66"/>
      <c r="D522" s="66"/>
      <c r="E522" s="66"/>
      <c r="F522" s="66"/>
      <c r="G522" s="66"/>
      <c r="H522" s="66"/>
      <c r="I522" s="66"/>
      <c r="J522" s="66"/>
      <c r="K522" s="66"/>
      <c r="L522" s="66"/>
      <c r="M522" s="66"/>
    </row>
    <row r="523" spans="1:17" ht="15" customHeight="1" x14ac:dyDescent="0.15">
      <c r="A523" s="6"/>
      <c r="B523" s="66"/>
      <c r="C523" s="66"/>
      <c r="D523" s="66"/>
      <c r="E523" s="66"/>
      <c r="F523" s="66"/>
      <c r="G523" s="66"/>
      <c r="H523" s="66"/>
      <c r="I523" s="66"/>
      <c r="J523" s="66"/>
      <c r="K523" s="66"/>
      <c r="L523" s="66"/>
      <c r="M523" s="66"/>
    </row>
    <row r="524" spans="1:17" ht="15" customHeight="1" x14ac:dyDescent="0.15">
      <c r="A524" s="6"/>
      <c r="B524" s="66"/>
      <c r="C524" s="66"/>
      <c r="D524" s="66"/>
      <c r="E524" s="66"/>
      <c r="F524" s="66"/>
      <c r="G524" s="66"/>
      <c r="H524" s="66"/>
      <c r="I524" s="66"/>
      <c r="J524" s="66"/>
      <c r="K524" s="66"/>
      <c r="L524" s="66"/>
      <c r="M524" s="66"/>
    </row>
    <row r="525" spans="1:17" ht="15" customHeight="1" x14ac:dyDescent="0.15">
      <c r="A525" s="6"/>
      <c r="B525" s="6"/>
      <c r="C525" s="6"/>
      <c r="D525" s="6"/>
      <c r="E525" s="6"/>
      <c r="F525" s="6"/>
      <c r="G525" s="6"/>
      <c r="H525" s="6"/>
      <c r="I525" s="6"/>
      <c r="J525" s="6"/>
      <c r="K525" s="6"/>
      <c r="L525" s="6"/>
      <c r="M525" s="6"/>
    </row>
    <row r="526" spans="1:17" ht="15" customHeight="1" x14ac:dyDescent="0.15">
      <c r="A526" s="8" t="s">
        <v>24</v>
      </c>
      <c r="B526" s="9" t="s">
        <v>25</v>
      </c>
      <c r="C526" s="6"/>
      <c r="D526" s="6"/>
      <c r="E526" s="6"/>
      <c r="F526" s="6"/>
      <c r="G526" s="6"/>
      <c r="H526" s="6"/>
      <c r="I526" s="6"/>
      <c r="J526" s="6"/>
      <c r="K526" s="6"/>
      <c r="L526" s="6"/>
      <c r="M526" s="6"/>
    </row>
    <row r="527" spans="1:17" ht="15" customHeight="1" x14ac:dyDescent="0.15">
      <c r="A527" s="12"/>
      <c r="B527" s="66" t="s">
        <v>35</v>
      </c>
      <c r="C527" s="66"/>
      <c r="D527" s="66"/>
      <c r="E527" s="66"/>
      <c r="F527" s="66"/>
      <c r="G527" s="66"/>
      <c r="H527" s="66" t="s">
        <v>36</v>
      </c>
      <c r="I527" s="66"/>
      <c r="J527" s="66"/>
      <c r="K527" s="66"/>
      <c r="L527" s="66"/>
      <c r="M527" s="66"/>
    </row>
    <row r="528" spans="1:17" ht="15" customHeight="1" x14ac:dyDescent="0.15">
      <c r="A528" s="6"/>
      <c r="B528" s="66"/>
      <c r="C528" s="66"/>
      <c r="D528" s="66"/>
      <c r="E528" s="66"/>
      <c r="F528" s="66"/>
      <c r="G528" s="66"/>
      <c r="H528" s="66"/>
      <c r="I528" s="66"/>
      <c r="J528" s="66"/>
      <c r="K528" s="66"/>
      <c r="L528" s="66"/>
      <c r="M528" s="66"/>
    </row>
    <row r="529" spans="1:13" ht="15" customHeight="1" x14ac:dyDescent="0.15">
      <c r="A529" s="6"/>
      <c r="B529" s="66"/>
      <c r="C529" s="66"/>
      <c r="D529" s="66"/>
      <c r="E529" s="66"/>
      <c r="F529" s="66"/>
      <c r="G529" s="66"/>
      <c r="H529" s="66"/>
      <c r="I529" s="66"/>
      <c r="J529" s="66"/>
      <c r="K529" s="66"/>
      <c r="L529" s="66"/>
      <c r="M529" s="66"/>
    </row>
    <row r="530" spans="1:13" ht="15" customHeight="1" x14ac:dyDescent="0.15">
      <c r="A530" s="6"/>
      <c r="B530" s="66"/>
      <c r="C530" s="66"/>
      <c r="D530" s="66"/>
      <c r="E530" s="66"/>
      <c r="F530" s="66"/>
      <c r="G530" s="66"/>
      <c r="H530" s="66"/>
      <c r="I530" s="66"/>
      <c r="J530" s="66"/>
      <c r="K530" s="66"/>
      <c r="L530" s="66"/>
      <c r="M530" s="66"/>
    </row>
    <row r="531" spans="1:13" ht="15" customHeight="1" x14ac:dyDescent="0.15">
      <c r="A531" s="6"/>
      <c r="B531" s="66"/>
      <c r="C531" s="66"/>
      <c r="D531" s="66"/>
      <c r="E531" s="66"/>
      <c r="F531" s="66"/>
      <c r="G531" s="66"/>
      <c r="H531" s="66"/>
      <c r="I531" s="66"/>
      <c r="J531" s="66"/>
      <c r="K531" s="66"/>
      <c r="L531" s="66"/>
      <c r="M531" s="66"/>
    </row>
    <row r="532" spans="1:13" ht="15" customHeight="1" x14ac:dyDescent="0.15">
      <c r="A532" s="6"/>
      <c r="B532" s="66"/>
      <c r="C532" s="66"/>
      <c r="D532" s="66"/>
      <c r="E532" s="66"/>
      <c r="F532" s="66"/>
      <c r="G532" s="66"/>
      <c r="H532" s="66"/>
      <c r="I532" s="66"/>
      <c r="J532" s="66"/>
      <c r="K532" s="66"/>
      <c r="L532" s="66"/>
      <c r="M532" s="66"/>
    </row>
    <row r="533" spans="1:13" ht="15" customHeight="1" x14ac:dyDescent="0.15">
      <c r="A533" s="6"/>
      <c r="B533" s="66"/>
      <c r="C533" s="66"/>
      <c r="D533" s="66"/>
      <c r="E533" s="66"/>
      <c r="F533" s="66"/>
      <c r="G533" s="66"/>
      <c r="H533" s="66"/>
      <c r="I533" s="66"/>
      <c r="J533" s="66"/>
      <c r="K533" s="66"/>
      <c r="L533" s="66"/>
      <c r="M533" s="66"/>
    </row>
    <row r="534" spans="1:13" ht="15" customHeight="1" x14ac:dyDescent="0.15">
      <c r="A534" s="6"/>
      <c r="B534" s="66"/>
      <c r="C534" s="66"/>
      <c r="D534" s="66"/>
      <c r="E534" s="66"/>
      <c r="F534" s="66"/>
      <c r="G534" s="66"/>
      <c r="H534" s="66"/>
      <c r="I534" s="66"/>
      <c r="J534" s="66"/>
      <c r="K534" s="66"/>
      <c r="L534" s="66"/>
      <c r="M534" s="66"/>
    </row>
    <row r="535" spans="1:13" ht="15" customHeight="1" x14ac:dyDescent="0.15">
      <c r="A535" s="6"/>
      <c r="B535" s="6"/>
      <c r="C535" s="6"/>
      <c r="D535" s="6"/>
      <c r="E535" s="6"/>
      <c r="F535" s="6"/>
      <c r="G535" s="6"/>
      <c r="H535" s="6"/>
      <c r="I535" s="6"/>
      <c r="J535" s="6"/>
      <c r="K535" s="6"/>
      <c r="L535" s="6"/>
      <c r="M535" s="6"/>
    </row>
    <row r="536" spans="1:13" ht="15" customHeight="1" x14ac:dyDescent="0.15">
      <c r="A536" s="8" t="s">
        <v>26</v>
      </c>
      <c r="B536" s="9" t="s">
        <v>27</v>
      </c>
      <c r="C536" s="6"/>
      <c r="D536" s="6"/>
      <c r="E536" s="6"/>
      <c r="F536" s="6"/>
      <c r="G536" s="6"/>
      <c r="H536" s="6"/>
      <c r="I536" s="6"/>
      <c r="J536" s="6"/>
      <c r="K536" s="6"/>
      <c r="L536" s="6"/>
      <c r="M536" s="6"/>
    </row>
    <row r="537" spans="1:13" ht="15" customHeight="1" x14ac:dyDescent="0.15">
      <c r="A537" s="12"/>
      <c r="B537" s="66" t="s">
        <v>30</v>
      </c>
      <c r="C537" s="66"/>
      <c r="D537" s="66"/>
      <c r="E537" s="66"/>
      <c r="F537" s="66" t="s">
        <v>33</v>
      </c>
      <c r="G537" s="66"/>
      <c r="H537" s="66"/>
      <c r="I537" s="66"/>
      <c r="J537" s="66" t="s">
        <v>34</v>
      </c>
      <c r="K537" s="66"/>
      <c r="L537" s="66"/>
      <c r="M537" s="66"/>
    </row>
    <row r="538" spans="1:13" ht="15" customHeight="1" x14ac:dyDescent="0.15">
      <c r="A538" s="6"/>
      <c r="B538" s="66"/>
      <c r="C538" s="66"/>
      <c r="D538" s="66"/>
      <c r="E538" s="66"/>
      <c r="F538" s="66"/>
      <c r="G538" s="66"/>
      <c r="H538" s="66"/>
      <c r="I538" s="66"/>
      <c r="J538" s="66"/>
      <c r="K538" s="66"/>
      <c r="L538" s="66"/>
      <c r="M538" s="66"/>
    </row>
    <row r="539" spans="1:13" ht="15" customHeight="1" x14ac:dyDescent="0.15">
      <c r="A539" s="6"/>
      <c r="B539" s="66"/>
      <c r="C539" s="66"/>
      <c r="D539" s="66"/>
      <c r="E539" s="66"/>
      <c r="F539" s="66"/>
      <c r="G539" s="66"/>
      <c r="H539" s="66"/>
      <c r="I539" s="66"/>
      <c r="J539" s="66"/>
      <c r="K539" s="66"/>
      <c r="L539" s="66"/>
      <c r="M539" s="66"/>
    </row>
    <row r="540" spans="1:13" ht="15" customHeight="1" x14ac:dyDescent="0.15">
      <c r="A540" s="6"/>
      <c r="B540" s="66"/>
      <c r="C540" s="66"/>
      <c r="D540" s="66"/>
      <c r="E540" s="66"/>
      <c r="F540" s="66"/>
      <c r="G540" s="66"/>
      <c r="H540" s="66"/>
      <c r="I540" s="66"/>
      <c r="J540" s="66"/>
      <c r="K540" s="66"/>
      <c r="L540" s="66"/>
      <c r="M540" s="66"/>
    </row>
    <row r="541" spans="1:13" ht="15" customHeight="1" x14ac:dyDescent="0.15">
      <c r="A541" s="6"/>
      <c r="B541" s="66"/>
      <c r="C541" s="66"/>
      <c r="D541" s="66"/>
      <c r="E541" s="66"/>
      <c r="F541" s="66"/>
      <c r="G541" s="66"/>
      <c r="H541" s="66"/>
      <c r="I541" s="66"/>
      <c r="J541" s="66"/>
      <c r="K541" s="66"/>
      <c r="L541" s="66"/>
      <c r="M541" s="66"/>
    </row>
    <row r="542" spans="1:13" ht="15" customHeight="1" x14ac:dyDescent="0.15">
      <c r="A542" s="6"/>
      <c r="B542" s="66"/>
      <c r="C542" s="66"/>
      <c r="D542" s="66"/>
      <c r="E542" s="66"/>
      <c r="F542" s="66"/>
      <c r="G542" s="66"/>
      <c r="H542" s="66"/>
      <c r="I542" s="66"/>
      <c r="J542" s="66"/>
      <c r="K542" s="66"/>
      <c r="L542" s="66"/>
      <c r="M542" s="66"/>
    </row>
    <row r="543" spans="1:13" ht="15" customHeight="1" x14ac:dyDescent="0.15">
      <c r="A543" s="6"/>
      <c r="B543" s="6"/>
      <c r="C543" s="6"/>
      <c r="D543" s="6"/>
      <c r="E543" s="6"/>
      <c r="F543" s="6"/>
      <c r="G543" s="6"/>
      <c r="H543" s="6"/>
      <c r="I543" s="6"/>
      <c r="J543" s="6"/>
      <c r="K543" s="6"/>
      <c r="L543" s="6"/>
      <c r="M543" s="6"/>
    </row>
    <row r="544" spans="1:13" ht="15" customHeight="1" x14ac:dyDescent="0.15">
      <c r="A544" s="8" t="s">
        <v>28</v>
      </c>
      <c r="B544" s="9" t="s">
        <v>29</v>
      </c>
      <c r="C544" s="6"/>
      <c r="D544" s="6"/>
      <c r="E544" s="6"/>
      <c r="F544" s="6"/>
      <c r="G544" s="6"/>
      <c r="H544" s="6"/>
      <c r="I544" s="6"/>
      <c r="J544" s="6"/>
      <c r="K544" s="6"/>
      <c r="L544" s="6"/>
      <c r="M544" s="6"/>
    </row>
    <row r="545" spans="1:13" ht="15" customHeight="1" x14ac:dyDescent="0.15">
      <c r="A545" s="6"/>
      <c r="B545" s="6" t="s">
        <v>37</v>
      </c>
      <c r="C545" s="6"/>
      <c r="D545" s="6"/>
      <c r="E545" s="6"/>
      <c r="F545" s="6"/>
      <c r="G545" s="6"/>
      <c r="H545" s="6"/>
      <c r="I545" s="6"/>
      <c r="J545" s="6"/>
      <c r="K545" s="6"/>
      <c r="L545" s="6"/>
      <c r="M545" s="6"/>
    </row>
    <row r="546" spans="1:13" ht="15" customHeight="1" x14ac:dyDescent="0.15">
      <c r="A546" s="6"/>
      <c r="B546" s="6" t="s">
        <v>38</v>
      </c>
      <c r="C546" s="65" t="s">
        <v>41</v>
      </c>
      <c r="D546" s="65"/>
      <c r="E546" s="65"/>
      <c r="F546" s="65"/>
      <c r="G546" s="65"/>
      <c r="H546" s="65"/>
      <c r="I546" s="65"/>
      <c r="J546" s="65"/>
      <c r="K546" s="65"/>
      <c r="L546" s="65"/>
      <c r="M546" s="65"/>
    </row>
    <row r="547" spans="1:13" ht="15" customHeight="1" x14ac:dyDescent="0.15">
      <c r="A547" s="6"/>
      <c r="B547" s="6"/>
      <c r="C547" s="65"/>
      <c r="D547" s="65"/>
      <c r="E547" s="65"/>
      <c r="F547" s="65"/>
      <c r="G547" s="65"/>
      <c r="H547" s="65"/>
      <c r="I547" s="65"/>
      <c r="J547" s="65"/>
      <c r="K547" s="65"/>
      <c r="L547" s="65"/>
      <c r="M547" s="65"/>
    </row>
    <row r="548" spans="1:13" ht="15" customHeight="1" x14ac:dyDescent="0.15">
      <c r="A548" s="6"/>
      <c r="B548" s="6" t="s">
        <v>39</v>
      </c>
      <c r="C548" s="64" t="s">
        <v>40</v>
      </c>
      <c r="D548" s="64"/>
      <c r="E548" s="64"/>
      <c r="F548" s="64"/>
      <c r="G548" s="64"/>
      <c r="H548" s="64"/>
      <c r="I548" s="64"/>
      <c r="J548" s="64"/>
      <c r="K548" s="64"/>
      <c r="L548" s="64"/>
      <c r="M548" s="64"/>
    </row>
    <row r="549" spans="1:13" ht="15" customHeight="1" x14ac:dyDescent="0.15">
      <c r="A549" s="6"/>
      <c r="B549" s="6" t="s">
        <v>42</v>
      </c>
      <c r="C549" s="64" t="s">
        <v>43</v>
      </c>
      <c r="D549" s="64"/>
      <c r="E549" s="64"/>
      <c r="F549" s="64"/>
      <c r="G549" s="64"/>
      <c r="H549" s="64"/>
      <c r="I549" s="64"/>
      <c r="J549" s="64"/>
      <c r="K549" s="64"/>
      <c r="L549" s="64"/>
      <c r="M549" s="64"/>
    </row>
    <row r="550" spans="1:13" ht="15" customHeight="1" x14ac:dyDescent="0.15">
      <c r="A550" s="6"/>
      <c r="B550" s="6" t="s">
        <v>44</v>
      </c>
      <c r="C550" s="64" t="s">
        <v>45</v>
      </c>
      <c r="D550" s="64"/>
      <c r="E550" s="64"/>
      <c r="F550" s="64"/>
      <c r="G550" s="64"/>
      <c r="H550" s="64"/>
      <c r="I550" s="64"/>
      <c r="J550" s="64"/>
      <c r="K550" s="64"/>
      <c r="L550" s="64"/>
      <c r="M550" s="64"/>
    </row>
    <row r="551" spans="1:13" ht="15" customHeight="1" x14ac:dyDescent="0.15">
      <c r="A551" s="6"/>
      <c r="B551" s="6" t="s">
        <v>46</v>
      </c>
      <c r="C551" s="64" t="s">
        <v>47</v>
      </c>
      <c r="D551" s="64"/>
      <c r="E551" s="64"/>
      <c r="F551" s="64"/>
      <c r="G551" s="64"/>
      <c r="H551" s="64"/>
      <c r="I551" s="64"/>
      <c r="J551" s="64"/>
      <c r="K551" s="64"/>
      <c r="L551" s="64"/>
      <c r="M551" s="64"/>
    </row>
    <row r="552" spans="1:13" ht="15" customHeight="1" x14ac:dyDescent="0.15">
      <c r="A552" s="6"/>
      <c r="B552" s="6" t="s">
        <v>50</v>
      </c>
      <c r="C552" s="64" t="s">
        <v>48</v>
      </c>
      <c r="D552" s="64"/>
      <c r="E552" s="64"/>
      <c r="F552" s="64"/>
      <c r="G552" s="64"/>
      <c r="H552" s="64"/>
      <c r="I552" s="64"/>
      <c r="J552" s="64"/>
      <c r="K552" s="64"/>
      <c r="L552" s="64"/>
      <c r="M552" s="64"/>
    </row>
    <row r="553" spans="1:13" ht="15" customHeight="1" x14ac:dyDescent="0.15">
      <c r="A553" s="6"/>
      <c r="B553" s="6" t="s">
        <v>51</v>
      </c>
      <c r="C553" s="64" t="s">
        <v>49</v>
      </c>
      <c r="D553" s="64"/>
      <c r="E553" s="64"/>
      <c r="F553" s="64"/>
      <c r="G553" s="64"/>
      <c r="H553" s="64"/>
      <c r="I553" s="64"/>
      <c r="J553" s="64"/>
      <c r="K553" s="64"/>
      <c r="L553" s="64"/>
      <c r="M553" s="64"/>
    </row>
    <row r="554" spans="1:13" ht="15" customHeight="1" x14ac:dyDescent="0.15">
      <c r="A554" s="6"/>
      <c r="B554" s="6" t="s">
        <v>52</v>
      </c>
      <c r="C554" s="64" t="s">
        <v>154</v>
      </c>
      <c r="D554" s="64"/>
      <c r="E554" s="64"/>
      <c r="F554" s="64"/>
      <c r="G554" s="64"/>
      <c r="H554" s="64"/>
      <c r="I554" s="64"/>
      <c r="J554" s="64"/>
      <c r="K554" s="64"/>
      <c r="L554" s="64"/>
      <c r="M554" s="64"/>
    </row>
    <row r="555" spans="1:13" ht="15" customHeight="1" x14ac:dyDescent="0.15">
      <c r="A555" s="6"/>
      <c r="B555" s="6" t="s">
        <v>53</v>
      </c>
      <c r="C555" s="65" t="s">
        <v>54</v>
      </c>
      <c r="D555" s="65"/>
      <c r="E555" s="65"/>
      <c r="F555" s="65"/>
      <c r="G555" s="65"/>
      <c r="H555" s="65"/>
      <c r="I555" s="65"/>
      <c r="J555" s="65"/>
      <c r="K555" s="65"/>
      <c r="L555" s="65"/>
      <c r="M555" s="65"/>
    </row>
    <row r="556" spans="1:13" ht="15" customHeight="1" x14ac:dyDescent="0.15">
      <c r="A556" s="6"/>
      <c r="B556" s="6"/>
      <c r="C556" s="65"/>
      <c r="D556" s="65"/>
      <c r="E556" s="65"/>
      <c r="F556" s="65"/>
      <c r="G556" s="65"/>
      <c r="H556" s="65"/>
      <c r="I556" s="65"/>
      <c r="J556" s="65"/>
      <c r="K556" s="65"/>
      <c r="L556" s="65"/>
      <c r="M556" s="65"/>
    </row>
    <row r="557" spans="1:13" ht="15" customHeight="1" x14ac:dyDescent="0.15">
      <c r="A557" s="6"/>
      <c r="B557" s="6"/>
      <c r="C557" s="6"/>
      <c r="D557" s="6"/>
      <c r="E557" s="6"/>
      <c r="F557" s="6"/>
      <c r="G557" s="6"/>
      <c r="H557" s="6"/>
      <c r="I557" s="6"/>
      <c r="J557" s="6"/>
      <c r="K557" s="6"/>
      <c r="L557" s="6"/>
      <c r="M557" s="6"/>
    </row>
    <row r="558" spans="1:13" ht="15" customHeight="1" x14ac:dyDescent="0.15">
      <c r="A558" s="6"/>
      <c r="B558" s="6"/>
      <c r="C558" s="6"/>
      <c r="D558" s="6"/>
      <c r="E558" s="6"/>
      <c r="F558" s="6"/>
      <c r="G558" s="6"/>
      <c r="H558" s="6"/>
      <c r="I558" s="6"/>
      <c r="J558" s="6"/>
      <c r="K558" s="6"/>
      <c r="L558" s="6"/>
      <c r="M558" s="13" t="str">
        <f>[94]Base_01!$C$4&amp;", …..  …........................  2026"</f>
        <v>Sorong, …..  …........................  2026</v>
      </c>
    </row>
    <row r="559" spans="1:13" ht="15" customHeight="1" x14ac:dyDescent="0.15">
      <c r="A559" s="6"/>
      <c r="B559" s="6"/>
      <c r="C559" s="6"/>
      <c r="D559" s="6"/>
      <c r="E559" s="6"/>
      <c r="F559" s="6"/>
      <c r="G559" s="6"/>
      <c r="H559" s="6"/>
      <c r="I559" s="6"/>
      <c r="J559" s="6"/>
      <c r="K559" s="6"/>
      <c r="L559" s="6"/>
      <c r="M559" s="6"/>
    </row>
    <row r="560" spans="1:13" ht="15" customHeight="1" x14ac:dyDescent="0.15">
      <c r="A560" s="6"/>
      <c r="B560" s="63" t="s">
        <v>57</v>
      </c>
      <c r="C560" s="63"/>
      <c r="D560" s="63"/>
      <c r="E560" s="63"/>
      <c r="F560" s="63" t="s">
        <v>56</v>
      </c>
      <c r="G560" s="63"/>
      <c r="H560" s="63"/>
      <c r="I560" s="63"/>
      <c r="J560" s="6"/>
      <c r="K560" s="6"/>
      <c r="L560" s="6"/>
      <c r="M560" s="6"/>
    </row>
    <row r="561" spans="1:14" ht="15" customHeight="1" x14ac:dyDescent="0.15">
      <c r="A561" s="6"/>
      <c r="B561" s="63" t="s">
        <v>60</v>
      </c>
      <c r="C561" s="63"/>
      <c r="D561" s="63"/>
      <c r="E561" s="63"/>
      <c r="F561" s="63" t="s">
        <v>58</v>
      </c>
      <c r="G561" s="63"/>
      <c r="H561" s="63"/>
      <c r="I561" s="63"/>
      <c r="J561" s="63" t="s">
        <v>55</v>
      </c>
      <c r="K561" s="63"/>
      <c r="L561" s="63"/>
      <c r="M561" s="63"/>
    </row>
    <row r="562" spans="1:14" ht="15" customHeight="1" x14ac:dyDescent="0.15">
      <c r="A562" s="6"/>
      <c r="B562" s="63" t="str">
        <f>[94]Base_01!$B$4&amp;" "&amp;[94]Base_01!$C$4</f>
        <v>Kota Sorong</v>
      </c>
      <c r="C562" s="63"/>
      <c r="D562" s="63"/>
      <c r="E562" s="63"/>
      <c r="F562" s="63" t="s">
        <v>59</v>
      </c>
      <c r="G562" s="63"/>
      <c r="H562" s="63"/>
      <c r="I562" s="63"/>
      <c r="J562" s="6"/>
      <c r="K562" s="6"/>
      <c r="L562" s="6"/>
      <c r="M562" s="6"/>
    </row>
    <row r="563" spans="1:14" ht="15" customHeight="1" x14ac:dyDescent="0.15">
      <c r="A563" s="6"/>
      <c r="B563" s="14"/>
      <c r="C563" s="14"/>
      <c r="D563" s="14"/>
      <c r="E563" s="14"/>
      <c r="F563" s="14"/>
      <c r="G563" s="14"/>
      <c r="H563" s="14"/>
      <c r="I563" s="6"/>
      <c r="J563" s="6"/>
      <c r="K563" s="6"/>
      <c r="L563" s="6"/>
      <c r="M563" s="6"/>
    </row>
    <row r="564" spans="1:14" ht="15" customHeight="1" x14ac:dyDescent="0.15">
      <c r="A564" s="6"/>
      <c r="B564" s="14"/>
      <c r="C564" s="14"/>
      <c r="D564" s="14"/>
      <c r="E564" s="14"/>
      <c r="F564" s="14"/>
      <c r="G564" s="14"/>
      <c r="H564" s="14"/>
      <c r="I564" s="6"/>
      <c r="J564" s="6"/>
      <c r="K564" s="6"/>
      <c r="L564" s="6"/>
      <c r="M564" s="6"/>
    </row>
    <row r="565" spans="1:14" ht="15" customHeight="1" x14ac:dyDescent="0.15">
      <c r="A565" s="6"/>
      <c r="B565" s="6"/>
      <c r="C565" s="6"/>
      <c r="D565" s="6"/>
      <c r="E565" s="6"/>
      <c r="F565" s="6"/>
      <c r="G565" s="6"/>
      <c r="H565" s="6"/>
      <c r="I565" s="6"/>
      <c r="J565" s="6"/>
      <c r="K565" s="6"/>
      <c r="L565" s="6"/>
      <c r="M565" s="6"/>
    </row>
    <row r="566" spans="1:14" ht="15" customHeight="1" x14ac:dyDescent="0.15">
      <c r="A566" s="6"/>
      <c r="B566" s="6"/>
      <c r="C566" s="6"/>
      <c r="D566" s="6"/>
      <c r="E566" s="6"/>
      <c r="F566" s="6"/>
      <c r="G566" s="6"/>
      <c r="H566" s="6"/>
      <c r="I566" s="6"/>
      <c r="J566" s="6"/>
      <c r="K566" s="6"/>
      <c r="L566" s="6"/>
      <c r="M566" s="6"/>
    </row>
    <row r="567" spans="1:14" ht="15" customHeight="1" x14ac:dyDescent="0.15">
      <c r="A567" s="6"/>
      <c r="B567" s="63" t="str">
        <f>[94]Base_01!$C$17</f>
        <v>AfrIandi Yudhistira, S.T.</v>
      </c>
      <c r="C567" s="63"/>
      <c r="D567" s="63"/>
      <c r="E567" s="63"/>
      <c r="F567" s="63" t="str">
        <f>[94]Base_01!$C$20</f>
        <v>…...............         …...............</v>
      </c>
      <c r="G567" s="63"/>
      <c r="H567" s="63"/>
      <c r="I567" s="63"/>
      <c r="J567" s="63" t="str">
        <f>G509</f>
        <v>Nama PB 9</v>
      </c>
      <c r="K567" s="63"/>
      <c r="L567" s="63"/>
      <c r="M567" s="63"/>
    </row>
    <row r="568" spans="1:14" ht="16" customHeight="1" x14ac:dyDescent="0.15">
      <c r="A568" s="67" t="s">
        <v>14</v>
      </c>
      <c r="B568" s="67"/>
      <c r="C568" s="67"/>
      <c r="D568" s="67"/>
      <c r="E568" s="67"/>
      <c r="F568" s="67"/>
      <c r="G568" s="67"/>
      <c r="H568" s="67"/>
      <c r="I568" s="67"/>
      <c r="J568" s="67"/>
      <c r="K568" s="67"/>
      <c r="L568" s="67"/>
      <c r="M568" s="67"/>
      <c r="N568" s="5">
        <f>N505+1</f>
        <v>10</v>
      </c>
    </row>
    <row r="569" spans="1:14" ht="16" customHeight="1" x14ac:dyDescent="0.15">
      <c r="A569" s="67" t="str">
        <f>"NOMOR "&amp;VLOOKUP($N568,[94]Base_02!$A$5:$AD$24,2,0)</f>
        <v>NOMOR 000010</v>
      </c>
      <c r="B569" s="67"/>
      <c r="C569" s="67"/>
      <c r="D569" s="67"/>
      <c r="E569" s="67"/>
      <c r="F569" s="67"/>
      <c r="G569" s="67"/>
      <c r="H569" s="67"/>
      <c r="I569" s="67"/>
      <c r="J569" s="67"/>
      <c r="K569" s="67"/>
      <c r="L569" s="67"/>
      <c r="M569" s="67"/>
    </row>
    <row r="570" spans="1:14" x14ac:dyDescent="0.15">
      <c r="A570" s="6"/>
      <c r="B570" s="7"/>
      <c r="C570" s="7"/>
      <c r="D570" s="7"/>
      <c r="E570" s="7"/>
      <c r="F570" s="7"/>
      <c r="G570" s="7"/>
      <c r="H570" s="7"/>
      <c r="I570" s="7"/>
      <c r="J570" s="7"/>
      <c r="K570" s="6"/>
      <c r="L570" s="6"/>
      <c r="M570" s="6"/>
    </row>
    <row r="571" spans="1:14" ht="15" customHeight="1" x14ac:dyDescent="0.15">
      <c r="A571" s="8" t="s">
        <v>13</v>
      </c>
      <c r="B571" s="9" t="s">
        <v>15</v>
      </c>
      <c r="C571" s="6"/>
      <c r="D571" s="6"/>
      <c r="E571" s="6"/>
      <c r="F571" s="6"/>
      <c r="G571" s="6"/>
      <c r="H571" s="6"/>
      <c r="I571" s="6"/>
      <c r="J571" s="6"/>
      <c r="K571" s="6"/>
      <c r="L571" s="6"/>
      <c r="M571" s="6"/>
    </row>
    <row r="572" spans="1:14" ht="15" customHeight="1" x14ac:dyDescent="0.15">
      <c r="A572" s="6"/>
      <c r="B572" s="57" t="s">
        <v>16</v>
      </c>
      <c r="C572" s="57"/>
      <c r="D572" s="57"/>
      <c r="E572" s="57"/>
      <c r="F572" s="57"/>
      <c r="G572" s="6" t="str">
        <f>VLOOKUP($N568,[94]Base_02!$A$5:$AD$24,3,0)</f>
        <v>Nama PB 10</v>
      </c>
      <c r="H572" s="6"/>
      <c r="I572" s="6"/>
      <c r="J572" s="6"/>
      <c r="K572" s="6"/>
      <c r="L572" s="6"/>
      <c r="M572" s="6"/>
    </row>
    <row r="573" spans="1:14" ht="15" customHeight="1" x14ac:dyDescent="0.15">
      <c r="A573" s="6"/>
      <c r="B573" s="57" t="s">
        <v>17</v>
      </c>
      <c r="C573" s="57"/>
      <c r="D573" s="57"/>
      <c r="E573" s="57"/>
      <c r="F573" s="57"/>
      <c r="G573" s="6">
        <f>VLOOKUP($N568,[94]Base_02!$A$5:$AD$24,14,0)</f>
        <v>0</v>
      </c>
      <c r="H573" s="6"/>
      <c r="I573" s="6"/>
      <c r="J573" s="6"/>
      <c r="K573" s="6"/>
      <c r="L573" s="6"/>
      <c r="M573" s="6"/>
    </row>
    <row r="574" spans="1:14" ht="15" customHeight="1" x14ac:dyDescent="0.15">
      <c r="A574" s="6"/>
      <c r="B574" s="57" t="s">
        <v>18</v>
      </c>
      <c r="C574" s="57"/>
      <c r="D574" s="57"/>
      <c r="E574" s="57"/>
      <c r="F574" s="57"/>
      <c r="G574" s="6" t="str">
        <f>VLOOKUP(N568,[94]Base_02!$A$5:$Z$24,11,FALSE)&amp;", RT "&amp;VLOOKUP(N568,[94]Base_02!$A$5:$Z$24,12,FALSE)&amp;", RW "&amp;VLOOKUP(N568,[94]Base_02!$A$5:$Z$24,13,FALSE)</f>
        <v>Jalan Kanal Victory, RT 2, RW 1</v>
      </c>
      <c r="H574" s="6"/>
      <c r="I574" s="6"/>
      <c r="J574" s="6"/>
      <c r="K574" s="6"/>
      <c r="L574" s="6"/>
      <c r="M574" s="6"/>
    </row>
    <row r="575" spans="1:14" ht="15" customHeight="1" x14ac:dyDescent="0.15">
      <c r="A575" s="6"/>
      <c r="B575" s="57" t="str">
        <f>[94]Base_01!$B$2</f>
        <v>Kelurahan</v>
      </c>
      <c r="C575" s="57"/>
      <c r="D575" s="57"/>
      <c r="E575" s="57"/>
      <c r="F575" s="57"/>
      <c r="G575" s="10" t="str">
        <f>[94]Base_01!$C$2</f>
        <v>Klasabi</v>
      </c>
      <c r="H575" s="6"/>
      <c r="I575" s="6"/>
      <c r="J575" s="6"/>
      <c r="K575" s="6"/>
      <c r="L575" s="6"/>
      <c r="M575" s="6"/>
    </row>
    <row r="576" spans="1:14" ht="15" customHeight="1" x14ac:dyDescent="0.15">
      <c r="A576" s="6"/>
      <c r="B576" s="57" t="s">
        <v>19</v>
      </c>
      <c r="C576" s="57"/>
      <c r="D576" s="57"/>
      <c r="E576" s="57"/>
      <c r="F576" s="57"/>
      <c r="G576" s="10" t="str">
        <f>[94]Base_01!$C$3</f>
        <v>Sorong Manoi</v>
      </c>
      <c r="H576" s="6"/>
      <c r="I576" s="6"/>
      <c r="J576" s="6"/>
      <c r="K576" s="6"/>
      <c r="L576" s="6"/>
      <c r="M576" s="6"/>
    </row>
    <row r="577" spans="1:17" ht="15" customHeight="1" x14ac:dyDescent="0.15">
      <c r="A577" s="6"/>
      <c r="B577" s="57" t="str">
        <f>[94]Base_01!$B$4</f>
        <v>Kota</v>
      </c>
      <c r="C577" s="57"/>
      <c r="D577" s="57"/>
      <c r="E577" s="57"/>
      <c r="F577" s="57"/>
      <c r="G577" s="10" t="str">
        <f>[94]Base_01!$C$4</f>
        <v>Sorong</v>
      </c>
      <c r="H577" s="6"/>
      <c r="I577" s="6"/>
      <c r="J577" s="6"/>
      <c r="K577" s="6"/>
      <c r="L577" s="6"/>
      <c r="M577" s="6"/>
    </row>
    <row r="578" spans="1:17" ht="15" customHeight="1" x14ac:dyDescent="0.15">
      <c r="A578" s="6"/>
      <c r="B578" s="57" t="s">
        <v>20</v>
      </c>
      <c r="C578" s="57"/>
      <c r="D578" s="57"/>
      <c r="E578" s="57"/>
      <c r="F578" s="57"/>
      <c r="G578" s="11" t="str">
        <f>[94]Base_01!$C$5</f>
        <v>Papua Barat Daya</v>
      </c>
      <c r="H578" s="6"/>
      <c r="I578" s="6"/>
      <c r="J578" s="6"/>
      <c r="K578" s="6"/>
      <c r="L578" s="6"/>
      <c r="M578" s="6"/>
    </row>
    <row r="579" spans="1:17" ht="15" customHeight="1" x14ac:dyDescent="0.15">
      <c r="A579" s="6"/>
      <c r="B579" s="57" t="s">
        <v>21</v>
      </c>
      <c r="C579" s="57"/>
      <c r="D579" s="57"/>
      <c r="E579" s="57"/>
      <c r="F579" s="57"/>
      <c r="G579" s="6" t="str">
        <f>VLOOKUP($N568,[94]Base_02!$A$5:$AG$24,32,0)&amp;" - "&amp;VLOOKUP($N568,[94]Base_02!$A$5:$AG$24,31,0)</f>
        <v>1600006544270 - Bank Mandiri</v>
      </c>
      <c r="H579" s="6"/>
      <c r="I579" s="6"/>
      <c r="J579" s="6"/>
      <c r="K579" s="6"/>
      <c r="L579" s="6"/>
      <c r="M579" s="6"/>
    </row>
    <row r="580" spans="1:17" ht="15" customHeight="1" x14ac:dyDescent="0.15">
      <c r="A580" s="6"/>
      <c r="B580" s="6"/>
      <c r="C580" s="6"/>
      <c r="D580" s="6"/>
      <c r="E580" s="6"/>
      <c r="F580" s="6"/>
      <c r="G580" s="6"/>
      <c r="H580" s="6"/>
      <c r="I580" s="6"/>
      <c r="J580" s="6"/>
      <c r="K580" s="6"/>
      <c r="L580" s="6"/>
      <c r="M580" s="6"/>
    </row>
    <row r="581" spans="1:17" ht="15" customHeight="1" x14ac:dyDescent="0.15">
      <c r="A581" s="8" t="s">
        <v>22</v>
      </c>
      <c r="B581" s="9" t="s">
        <v>23</v>
      </c>
      <c r="C581" s="6"/>
      <c r="D581" s="6"/>
      <c r="E581" s="6"/>
      <c r="F581" s="6"/>
      <c r="G581" s="6"/>
      <c r="H581" s="6"/>
      <c r="I581" s="6"/>
      <c r="J581" s="6"/>
      <c r="K581" s="6"/>
      <c r="L581" s="6"/>
      <c r="M581" s="6"/>
    </row>
    <row r="582" spans="1:17" ht="15" customHeight="1" x14ac:dyDescent="0.15">
      <c r="A582" s="6"/>
      <c r="B582" s="66" t="s">
        <v>30</v>
      </c>
      <c r="C582" s="66"/>
      <c r="D582" s="66"/>
      <c r="E582" s="66"/>
      <c r="F582" s="66" t="s">
        <v>31</v>
      </c>
      <c r="G582" s="66"/>
      <c r="H582" s="66"/>
      <c r="I582" s="66"/>
      <c r="J582" s="66" t="s">
        <v>32</v>
      </c>
      <c r="K582" s="66"/>
      <c r="L582" s="66"/>
      <c r="M582" s="66"/>
      <c r="O582" s="15" t="s">
        <v>61</v>
      </c>
    </row>
    <row r="583" spans="1:17" ht="15" customHeight="1" x14ac:dyDescent="0.15">
      <c r="A583" s="6"/>
      <c r="B583" s="66"/>
      <c r="C583" s="66"/>
      <c r="D583" s="66"/>
      <c r="E583" s="66"/>
      <c r="F583" s="66"/>
      <c r="G583" s="66"/>
      <c r="H583" s="66"/>
      <c r="I583" s="66"/>
      <c r="J583" s="66"/>
      <c r="K583" s="66"/>
      <c r="L583" s="66"/>
      <c r="M583" s="66"/>
      <c r="Q583" s="5" t="s">
        <v>62</v>
      </c>
    </row>
    <row r="584" spans="1:17" ht="15" customHeight="1" x14ac:dyDescent="0.15">
      <c r="A584" s="6"/>
      <c r="B584" s="66"/>
      <c r="C584" s="66"/>
      <c r="D584" s="66"/>
      <c r="E584" s="66"/>
      <c r="F584" s="66"/>
      <c r="G584" s="66"/>
      <c r="H584" s="66"/>
      <c r="I584" s="66"/>
      <c r="J584" s="66"/>
      <c r="K584" s="66"/>
      <c r="L584" s="66"/>
      <c r="M584" s="66"/>
    </row>
    <row r="585" spans="1:17" ht="15" customHeight="1" x14ac:dyDescent="0.15">
      <c r="A585" s="6"/>
      <c r="B585" s="66"/>
      <c r="C585" s="66"/>
      <c r="D585" s="66"/>
      <c r="E585" s="66"/>
      <c r="F585" s="66"/>
      <c r="G585" s="66"/>
      <c r="H585" s="66"/>
      <c r="I585" s="66"/>
      <c r="J585" s="66"/>
      <c r="K585" s="66"/>
      <c r="L585" s="66"/>
      <c r="M585" s="66"/>
    </row>
    <row r="586" spans="1:17" ht="15" customHeight="1" x14ac:dyDescent="0.15">
      <c r="A586" s="6"/>
      <c r="B586" s="66"/>
      <c r="C586" s="66"/>
      <c r="D586" s="66"/>
      <c r="E586" s="66"/>
      <c r="F586" s="66"/>
      <c r="G586" s="66"/>
      <c r="H586" s="66"/>
      <c r="I586" s="66"/>
      <c r="J586" s="66"/>
      <c r="K586" s="66"/>
      <c r="L586" s="66"/>
      <c r="M586" s="66"/>
    </row>
    <row r="587" spans="1:17" ht="15" customHeight="1" x14ac:dyDescent="0.15">
      <c r="A587" s="6"/>
      <c r="B587" s="66"/>
      <c r="C587" s="66"/>
      <c r="D587" s="66"/>
      <c r="E587" s="66"/>
      <c r="F587" s="66"/>
      <c r="G587" s="66"/>
      <c r="H587" s="66"/>
      <c r="I587" s="66"/>
      <c r="J587" s="66"/>
      <c r="K587" s="66"/>
      <c r="L587" s="66"/>
      <c r="M587" s="66"/>
    </row>
    <row r="588" spans="1:17" ht="15" customHeight="1" x14ac:dyDescent="0.15">
      <c r="A588" s="6"/>
      <c r="B588" s="6"/>
      <c r="C588" s="6"/>
      <c r="D588" s="6"/>
      <c r="E588" s="6"/>
      <c r="F588" s="6"/>
      <c r="G588" s="6"/>
      <c r="H588" s="6"/>
      <c r="I588" s="6"/>
      <c r="J588" s="6"/>
      <c r="K588" s="6"/>
      <c r="L588" s="6"/>
      <c r="M588" s="6"/>
    </row>
    <row r="589" spans="1:17" ht="15" customHeight="1" x14ac:dyDescent="0.15">
      <c r="A589" s="8" t="s">
        <v>24</v>
      </c>
      <c r="B589" s="9" t="s">
        <v>25</v>
      </c>
      <c r="C589" s="6"/>
      <c r="D589" s="6"/>
      <c r="E589" s="6"/>
      <c r="F589" s="6"/>
      <c r="G589" s="6"/>
      <c r="H589" s="6"/>
      <c r="I589" s="6"/>
      <c r="J589" s="6"/>
      <c r="K589" s="6"/>
      <c r="L589" s="6"/>
      <c r="M589" s="6"/>
    </row>
    <row r="590" spans="1:17" ht="15" customHeight="1" x14ac:dyDescent="0.15">
      <c r="A590" s="12"/>
      <c r="B590" s="66" t="s">
        <v>35</v>
      </c>
      <c r="C590" s="66"/>
      <c r="D590" s="66"/>
      <c r="E590" s="66"/>
      <c r="F590" s="66"/>
      <c r="G590" s="66"/>
      <c r="H590" s="66" t="s">
        <v>36</v>
      </c>
      <c r="I590" s="66"/>
      <c r="J590" s="66"/>
      <c r="K590" s="66"/>
      <c r="L590" s="66"/>
      <c r="M590" s="66"/>
    </row>
    <row r="591" spans="1:17" ht="15" customHeight="1" x14ac:dyDescent="0.15">
      <c r="A591" s="6"/>
      <c r="B591" s="66"/>
      <c r="C591" s="66"/>
      <c r="D591" s="66"/>
      <c r="E591" s="66"/>
      <c r="F591" s="66"/>
      <c r="G591" s="66"/>
      <c r="H591" s="66"/>
      <c r="I591" s="66"/>
      <c r="J591" s="66"/>
      <c r="K591" s="66"/>
      <c r="L591" s="66"/>
      <c r="M591" s="66"/>
    </row>
    <row r="592" spans="1:17" ht="15" customHeight="1" x14ac:dyDescent="0.15">
      <c r="A592" s="6"/>
      <c r="B592" s="66"/>
      <c r="C592" s="66"/>
      <c r="D592" s="66"/>
      <c r="E592" s="66"/>
      <c r="F592" s="66"/>
      <c r="G592" s="66"/>
      <c r="H592" s="66"/>
      <c r="I592" s="66"/>
      <c r="J592" s="66"/>
      <c r="K592" s="66"/>
      <c r="L592" s="66"/>
      <c r="M592" s="66"/>
    </row>
    <row r="593" spans="1:13" ht="15" customHeight="1" x14ac:dyDescent="0.15">
      <c r="A593" s="6"/>
      <c r="B593" s="66"/>
      <c r="C593" s="66"/>
      <c r="D593" s="66"/>
      <c r="E593" s="66"/>
      <c r="F593" s="66"/>
      <c r="G593" s="66"/>
      <c r="H593" s="66"/>
      <c r="I593" s="66"/>
      <c r="J593" s="66"/>
      <c r="K593" s="66"/>
      <c r="L593" s="66"/>
      <c r="M593" s="66"/>
    </row>
    <row r="594" spans="1:13" ht="15" customHeight="1" x14ac:dyDescent="0.15">
      <c r="A594" s="6"/>
      <c r="B594" s="66"/>
      <c r="C594" s="66"/>
      <c r="D594" s="66"/>
      <c r="E594" s="66"/>
      <c r="F594" s="66"/>
      <c r="G594" s="66"/>
      <c r="H594" s="66"/>
      <c r="I594" s="66"/>
      <c r="J594" s="66"/>
      <c r="K594" s="66"/>
      <c r="L594" s="66"/>
      <c r="M594" s="66"/>
    </row>
    <row r="595" spans="1:13" ht="15" customHeight="1" x14ac:dyDescent="0.15">
      <c r="A595" s="6"/>
      <c r="B595" s="66"/>
      <c r="C595" s="66"/>
      <c r="D595" s="66"/>
      <c r="E595" s="66"/>
      <c r="F595" s="66"/>
      <c r="G595" s="66"/>
      <c r="H595" s="66"/>
      <c r="I595" s="66"/>
      <c r="J595" s="66"/>
      <c r="K595" s="66"/>
      <c r="L595" s="66"/>
      <c r="M595" s="66"/>
    </row>
    <row r="596" spans="1:13" ht="15" customHeight="1" x14ac:dyDescent="0.15">
      <c r="A596" s="6"/>
      <c r="B596" s="66"/>
      <c r="C596" s="66"/>
      <c r="D596" s="66"/>
      <c r="E596" s="66"/>
      <c r="F596" s="66"/>
      <c r="G596" s="66"/>
      <c r="H596" s="66"/>
      <c r="I596" s="66"/>
      <c r="J596" s="66"/>
      <c r="K596" s="66"/>
      <c r="L596" s="66"/>
      <c r="M596" s="66"/>
    </row>
    <row r="597" spans="1:13" ht="15" customHeight="1" x14ac:dyDescent="0.15">
      <c r="A597" s="6"/>
      <c r="B597" s="66"/>
      <c r="C597" s="66"/>
      <c r="D597" s="66"/>
      <c r="E597" s="66"/>
      <c r="F597" s="66"/>
      <c r="G597" s="66"/>
      <c r="H597" s="66"/>
      <c r="I597" s="66"/>
      <c r="J597" s="66"/>
      <c r="K597" s="66"/>
      <c r="L597" s="66"/>
      <c r="M597" s="66"/>
    </row>
    <row r="598" spans="1:13" ht="15" customHeight="1" x14ac:dyDescent="0.15">
      <c r="A598" s="6"/>
      <c r="B598" s="6"/>
      <c r="C598" s="6"/>
      <c r="D598" s="6"/>
      <c r="E598" s="6"/>
      <c r="F598" s="6"/>
      <c r="G598" s="6"/>
      <c r="H598" s="6"/>
      <c r="I598" s="6"/>
      <c r="J598" s="6"/>
      <c r="K598" s="6"/>
      <c r="L598" s="6"/>
      <c r="M598" s="6"/>
    </row>
    <row r="599" spans="1:13" ht="15" customHeight="1" x14ac:dyDescent="0.15">
      <c r="A599" s="8" t="s">
        <v>26</v>
      </c>
      <c r="B599" s="9" t="s">
        <v>27</v>
      </c>
      <c r="C599" s="6"/>
      <c r="D599" s="6"/>
      <c r="E599" s="6"/>
      <c r="F599" s="6"/>
      <c r="G599" s="6"/>
      <c r="H599" s="6"/>
      <c r="I599" s="6"/>
      <c r="J599" s="6"/>
      <c r="K599" s="6"/>
      <c r="L599" s="6"/>
      <c r="M599" s="6"/>
    </row>
    <row r="600" spans="1:13" ht="15" customHeight="1" x14ac:dyDescent="0.15">
      <c r="A600" s="12"/>
      <c r="B600" s="66" t="s">
        <v>30</v>
      </c>
      <c r="C600" s="66"/>
      <c r="D600" s="66"/>
      <c r="E600" s="66"/>
      <c r="F600" s="66" t="s">
        <v>33</v>
      </c>
      <c r="G600" s="66"/>
      <c r="H600" s="66"/>
      <c r="I600" s="66"/>
      <c r="J600" s="66" t="s">
        <v>34</v>
      </c>
      <c r="K600" s="66"/>
      <c r="L600" s="66"/>
      <c r="M600" s="66"/>
    </row>
    <row r="601" spans="1:13" ht="15" customHeight="1" x14ac:dyDescent="0.15">
      <c r="A601" s="6"/>
      <c r="B601" s="66"/>
      <c r="C601" s="66"/>
      <c r="D601" s="66"/>
      <c r="E601" s="66"/>
      <c r="F601" s="66"/>
      <c r="G601" s="66"/>
      <c r="H601" s="66"/>
      <c r="I601" s="66"/>
      <c r="J601" s="66"/>
      <c r="K601" s="66"/>
      <c r="L601" s="66"/>
      <c r="M601" s="66"/>
    </row>
    <row r="602" spans="1:13" ht="15" customHeight="1" x14ac:dyDescent="0.15">
      <c r="A602" s="6"/>
      <c r="B602" s="66"/>
      <c r="C602" s="66"/>
      <c r="D602" s="66"/>
      <c r="E602" s="66"/>
      <c r="F602" s="66"/>
      <c r="G602" s="66"/>
      <c r="H602" s="66"/>
      <c r="I602" s="66"/>
      <c r="J602" s="66"/>
      <c r="K602" s="66"/>
      <c r="L602" s="66"/>
      <c r="M602" s="66"/>
    </row>
    <row r="603" spans="1:13" ht="15" customHeight="1" x14ac:dyDescent="0.15">
      <c r="A603" s="6"/>
      <c r="B603" s="66"/>
      <c r="C603" s="66"/>
      <c r="D603" s="66"/>
      <c r="E603" s="66"/>
      <c r="F603" s="66"/>
      <c r="G603" s="66"/>
      <c r="H603" s="66"/>
      <c r="I603" s="66"/>
      <c r="J603" s="66"/>
      <c r="K603" s="66"/>
      <c r="L603" s="66"/>
      <c r="M603" s="66"/>
    </row>
    <row r="604" spans="1:13" ht="15" customHeight="1" x14ac:dyDescent="0.15">
      <c r="A604" s="6"/>
      <c r="B604" s="66"/>
      <c r="C604" s="66"/>
      <c r="D604" s="66"/>
      <c r="E604" s="66"/>
      <c r="F604" s="66"/>
      <c r="G604" s="66"/>
      <c r="H604" s="66"/>
      <c r="I604" s="66"/>
      <c r="J604" s="66"/>
      <c r="K604" s="66"/>
      <c r="L604" s="66"/>
      <c r="M604" s="66"/>
    </row>
    <row r="605" spans="1:13" ht="15" customHeight="1" x14ac:dyDescent="0.15">
      <c r="A605" s="6"/>
      <c r="B605" s="66"/>
      <c r="C605" s="66"/>
      <c r="D605" s="66"/>
      <c r="E605" s="66"/>
      <c r="F605" s="66"/>
      <c r="G605" s="66"/>
      <c r="H605" s="66"/>
      <c r="I605" s="66"/>
      <c r="J605" s="66"/>
      <c r="K605" s="66"/>
      <c r="L605" s="66"/>
      <c r="M605" s="66"/>
    </row>
    <row r="606" spans="1:13" ht="15" customHeight="1" x14ac:dyDescent="0.15">
      <c r="A606" s="6"/>
      <c r="B606" s="6"/>
      <c r="C606" s="6"/>
      <c r="D606" s="6"/>
      <c r="E606" s="6"/>
      <c r="F606" s="6"/>
      <c r="G606" s="6"/>
      <c r="H606" s="6"/>
      <c r="I606" s="6"/>
      <c r="J606" s="6"/>
      <c r="K606" s="6"/>
      <c r="L606" s="6"/>
      <c r="M606" s="6"/>
    </row>
    <row r="607" spans="1:13" ht="15" customHeight="1" x14ac:dyDescent="0.15">
      <c r="A607" s="8" t="s">
        <v>28</v>
      </c>
      <c r="B607" s="9" t="s">
        <v>29</v>
      </c>
      <c r="C607" s="6"/>
      <c r="D607" s="6"/>
      <c r="E607" s="6"/>
      <c r="F607" s="6"/>
      <c r="G607" s="6"/>
      <c r="H607" s="6"/>
      <c r="I607" s="6"/>
      <c r="J607" s="6"/>
      <c r="K607" s="6"/>
      <c r="L607" s="6"/>
      <c r="M607" s="6"/>
    </row>
    <row r="608" spans="1:13" ht="15" customHeight="1" x14ac:dyDescent="0.15">
      <c r="A608" s="6"/>
      <c r="B608" s="6" t="s">
        <v>37</v>
      </c>
      <c r="C608" s="6"/>
      <c r="D608" s="6"/>
      <c r="E608" s="6"/>
      <c r="F608" s="6"/>
      <c r="G608" s="6"/>
      <c r="H608" s="6"/>
      <c r="I608" s="6"/>
      <c r="J608" s="6"/>
      <c r="K608" s="6"/>
      <c r="L608" s="6"/>
      <c r="M608" s="6"/>
    </row>
    <row r="609" spans="1:13" ht="15" customHeight="1" x14ac:dyDescent="0.15">
      <c r="A609" s="6"/>
      <c r="B609" s="6" t="s">
        <v>38</v>
      </c>
      <c r="C609" s="65" t="s">
        <v>41</v>
      </c>
      <c r="D609" s="65"/>
      <c r="E609" s="65"/>
      <c r="F609" s="65"/>
      <c r="G609" s="65"/>
      <c r="H609" s="65"/>
      <c r="I609" s="65"/>
      <c r="J609" s="65"/>
      <c r="K609" s="65"/>
      <c r="L609" s="65"/>
      <c r="M609" s="65"/>
    </row>
    <row r="610" spans="1:13" ht="15" customHeight="1" x14ac:dyDescent="0.15">
      <c r="A610" s="6"/>
      <c r="B610" s="6"/>
      <c r="C610" s="65"/>
      <c r="D610" s="65"/>
      <c r="E610" s="65"/>
      <c r="F610" s="65"/>
      <c r="G610" s="65"/>
      <c r="H610" s="65"/>
      <c r="I610" s="65"/>
      <c r="J610" s="65"/>
      <c r="K610" s="65"/>
      <c r="L610" s="65"/>
      <c r="M610" s="65"/>
    </row>
    <row r="611" spans="1:13" ht="15" customHeight="1" x14ac:dyDescent="0.15">
      <c r="A611" s="6"/>
      <c r="B611" s="6" t="s">
        <v>39</v>
      </c>
      <c r="C611" s="64" t="s">
        <v>40</v>
      </c>
      <c r="D611" s="64"/>
      <c r="E611" s="64"/>
      <c r="F611" s="64"/>
      <c r="G611" s="64"/>
      <c r="H611" s="64"/>
      <c r="I611" s="64"/>
      <c r="J611" s="64"/>
      <c r="K611" s="64"/>
      <c r="L611" s="64"/>
      <c r="M611" s="64"/>
    </row>
    <row r="612" spans="1:13" ht="15" customHeight="1" x14ac:dyDescent="0.15">
      <c r="A612" s="6"/>
      <c r="B612" s="6" t="s">
        <v>42</v>
      </c>
      <c r="C612" s="64" t="s">
        <v>43</v>
      </c>
      <c r="D612" s="64"/>
      <c r="E612" s="64"/>
      <c r="F612" s="64"/>
      <c r="G612" s="64"/>
      <c r="H612" s="64"/>
      <c r="I612" s="64"/>
      <c r="J612" s="64"/>
      <c r="K612" s="64"/>
      <c r="L612" s="64"/>
      <c r="M612" s="64"/>
    </row>
    <row r="613" spans="1:13" ht="15" customHeight="1" x14ac:dyDescent="0.15">
      <c r="A613" s="6"/>
      <c r="B613" s="6" t="s">
        <v>44</v>
      </c>
      <c r="C613" s="64" t="s">
        <v>45</v>
      </c>
      <c r="D613" s="64"/>
      <c r="E613" s="64"/>
      <c r="F613" s="64"/>
      <c r="G613" s="64"/>
      <c r="H613" s="64"/>
      <c r="I613" s="64"/>
      <c r="J613" s="64"/>
      <c r="K613" s="64"/>
      <c r="L613" s="64"/>
      <c r="M613" s="64"/>
    </row>
    <row r="614" spans="1:13" ht="15" customHeight="1" x14ac:dyDescent="0.15">
      <c r="A614" s="6"/>
      <c r="B614" s="6" t="s">
        <v>46</v>
      </c>
      <c r="C614" s="64" t="s">
        <v>47</v>
      </c>
      <c r="D614" s="64"/>
      <c r="E614" s="64"/>
      <c r="F614" s="64"/>
      <c r="G614" s="64"/>
      <c r="H614" s="64"/>
      <c r="I614" s="64"/>
      <c r="J614" s="64"/>
      <c r="K614" s="64"/>
      <c r="L614" s="64"/>
      <c r="M614" s="64"/>
    </row>
    <row r="615" spans="1:13" ht="15" customHeight="1" x14ac:dyDescent="0.15">
      <c r="A615" s="6"/>
      <c r="B615" s="6" t="s">
        <v>50</v>
      </c>
      <c r="C615" s="64" t="s">
        <v>48</v>
      </c>
      <c r="D615" s="64"/>
      <c r="E615" s="64"/>
      <c r="F615" s="64"/>
      <c r="G615" s="64"/>
      <c r="H615" s="64"/>
      <c r="I615" s="64"/>
      <c r="J615" s="64"/>
      <c r="K615" s="64"/>
      <c r="L615" s="64"/>
      <c r="M615" s="64"/>
    </row>
    <row r="616" spans="1:13" ht="15" customHeight="1" x14ac:dyDescent="0.15">
      <c r="A616" s="6"/>
      <c r="B616" s="6" t="s">
        <v>51</v>
      </c>
      <c r="C616" s="64" t="s">
        <v>49</v>
      </c>
      <c r="D616" s="64"/>
      <c r="E616" s="64"/>
      <c r="F616" s="64"/>
      <c r="G616" s="64"/>
      <c r="H616" s="64"/>
      <c r="I616" s="64"/>
      <c r="J616" s="64"/>
      <c r="K616" s="64"/>
      <c r="L616" s="64"/>
      <c r="M616" s="64"/>
    </row>
    <row r="617" spans="1:13" ht="15" customHeight="1" x14ac:dyDescent="0.15">
      <c r="A617" s="6"/>
      <c r="B617" s="6" t="s">
        <v>52</v>
      </c>
      <c r="C617" s="64" t="s">
        <v>154</v>
      </c>
      <c r="D617" s="64"/>
      <c r="E617" s="64"/>
      <c r="F617" s="64"/>
      <c r="G617" s="64"/>
      <c r="H617" s="64"/>
      <c r="I617" s="64"/>
      <c r="J617" s="64"/>
      <c r="K617" s="64"/>
      <c r="L617" s="64"/>
      <c r="M617" s="64"/>
    </row>
    <row r="618" spans="1:13" ht="15" customHeight="1" x14ac:dyDescent="0.15">
      <c r="A618" s="6"/>
      <c r="B618" s="6" t="s">
        <v>53</v>
      </c>
      <c r="C618" s="65" t="s">
        <v>54</v>
      </c>
      <c r="D618" s="65"/>
      <c r="E618" s="65"/>
      <c r="F618" s="65"/>
      <c r="G618" s="65"/>
      <c r="H618" s="65"/>
      <c r="I618" s="65"/>
      <c r="J618" s="65"/>
      <c r="K618" s="65"/>
      <c r="L618" s="65"/>
      <c r="M618" s="65"/>
    </row>
    <row r="619" spans="1:13" ht="15" customHeight="1" x14ac:dyDescent="0.15">
      <c r="A619" s="6"/>
      <c r="B619" s="6"/>
      <c r="C619" s="65"/>
      <c r="D619" s="65"/>
      <c r="E619" s="65"/>
      <c r="F619" s="65"/>
      <c r="G619" s="65"/>
      <c r="H619" s="65"/>
      <c r="I619" s="65"/>
      <c r="J619" s="65"/>
      <c r="K619" s="65"/>
      <c r="L619" s="65"/>
      <c r="M619" s="65"/>
    </row>
    <row r="620" spans="1:13" ht="15" customHeight="1" x14ac:dyDescent="0.15">
      <c r="A620" s="6"/>
      <c r="B620" s="6"/>
      <c r="C620" s="6"/>
      <c r="D620" s="6"/>
      <c r="E620" s="6"/>
      <c r="F620" s="6"/>
      <c r="G620" s="6"/>
      <c r="H620" s="6"/>
      <c r="I620" s="6"/>
      <c r="J620" s="6"/>
      <c r="K620" s="6"/>
      <c r="L620" s="6"/>
      <c r="M620" s="6"/>
    </row>
    <row r="621" spans="1:13" ht="15" customHeight="1" x14ac:dyDescent="0.15">
      <c r="A621" s="6"/>
      <c r="B621" s="6"/>
      <c r="C621" s="6"/>
      <c r="D621" s="6"/>
      <c r="E621" s="6"/>
      <c r="F621" s="6"/>
      <c r="G621" s="6"/>
      <c r="H621" s="6"/>
      <c r="I621" s="6"/>
      <c r="J621" s="6"/>
      <c r="K621" s="6"/>
      <c r="L621" s="6"/>
      <c r="M621" s="13" t="str">
        <f>[94]Base_01!$C$4&amp;", …..  …........................  2026"</f>
        <v>Sorong, …..  …........................  2026</v>
      </c>
    </row>
    <row r="622" spans="1:13" ht="15" customHeight="1" x14ac:dyDescent="0.15">
      <c r="A622" s="6"/>
      <c r="B622" s="6"/>
      <c r="C622" s="6"/>
      <c r="D622" s="6"/>
      <c r="E622" s="6"/>
      <c r="F622" s="6"/>
      <c r="G622" s="6"/>
      <c r="H622" s="6"/>
      <c r="I622" s="6"/>
      <c r="J622" s="6"/>
      <c r="K622" s="6"/>
      <c r="L622" s="6"/>
      <c r="M622" s="6"/>
    </row>
    <row r="623" spans="1:13" ht="15" customHeight="1" x14ac:dyDescent="0.15">
      <c r="A623" s="6"/>
      <c r="B623" s="63" t="s">
        <v>57</v>
      </c>
      <c r="C623" s="63"/>
      <c r="D623" s="63"/>
      <c r="E623" s="63"/>
      <c r="F623" s="63" t="s">
        <v>56</v>
      </c>
      <c r="G623" s="63"/>
      <c r="H623" s="63"/>
      <c r="I623" s="63"/>
      <c r="J623" s="6"/>
      <c r="K623" s="6"/>
      <c r="L623" s="6"/>
      <c r="M623" s="6"/>
    </row>
    <row r="624" spans="1:13" ht="15" customHeight="1" x14ac:dyDescent="0.15">
      <c r="A624" s="6"/>
      <c r="B624" s="63" t="s">
        <v>60</v>
      </c>
      <c r="C624" s="63"/>
      <c r="D624" s="63"/>
      <c r="E624" s="63"/>
      <c r="F624" s="63" t="s">
        <v>58</v>
      </c>
      <c r="G624" s="63"/>
      <c r="H624" s="63"/>
      <c r="I624" s="63"/>
      <c r="J624" s="63" t="s">
        <v>55</v>
      </c>
      <c r="K624" s="63"/>
      <c r="L624" s="63"/>
      <c r="M624" s="63"/>
    </row>
    <row r="625" spans="1:14" ht="15" customHeight="1" x14ac:dyDescent="0.15">
      <c r="A625" s="6"/>
      <c r="B625" s="63" t="str">
        <f>[94]Base_01!$B$4&amp;" "&amp;[94]Base_01!$C$4</f>
        <v>Kota Sorong</v>
      </c>
      <c r="C625" s="63"/>
      <c r="D625" s="63"/>
      <c r="E625" s="63"/>
      <c r="F625" s="63" t="s">
        <v>59</v>
      </c>
      <c r="G625" s="63"/>
      <c r="H625" s="63"/>
      <c r="I625" s="63"/>
      <c r="J625" s="6"/>
      <c r="K625" s="6"/>
      <c r="L625" s="6"/>
      <c r="M625" s="6"/>
    </row>
    <row r="626" spans="1:14" ht="15" customHeight="1" x14ac:dyDescent="0.15">
      <c r="A626" s="6"/>
      <c r="B626" s="14"/>
      <c r="C626" s="14"/>
      <c r="D626" s="14"/>
      <c r="E626" s="14"/>
      <c r="F626" s="14"/>
      <c r="G626" s="14"/>
      <c r="H626" s="14"/>
      <c r="I626" s="6"/>
      <c r="J626" s="6"/>
      <c r="K626" s="6"/>
      <c r="L626" s="6"/>
      <c r="M626" s="6"/>
    </row>
    <row r="627" spans="1:14" ht="15" customHeight="1" x14ac:dyDescent="0.15">
      <c r="A627" s="6"/>
      <c r="B627" s="14"/>
      <c r="C627" s="14"/>
      <c r="D627" s="14"/>
      <c r="E627" s="14"/>
      <c r="F627" s="14"/>
      <c r="G627" s="14"/>
      <c r="H627" s="14"/>
      <c r="I627" s="6"/>
      <c r="J627" s="6"/>
      <c r="K627" s="6"/>
      <c r="L627" s="6"/>
      <c r="M627" s="6"/>
    </row>
    <row r="628" spans="1:14" ht="15" customHeight="1" x14ac:dyDescent="0.15">
      <c r="A628" s="6"/>
      <c r="B628" s="6"/>
      <c r="C628" s="6"/>
      <c r="D628" s="6"/>
      <c r="E628" s="6"/>
      <c r="F628" s="6"/>
      <c r="G628" s="6"/>
      <c r="H628" s="6"/>
      <c r="I628" s="6"/>
      <c r="J628" s="6"/>
      <c r="K628" s="6"/>
      <c r="L628" s="6"/>
      <c r="M628" s="6"/>
    </row>
    <row r="629" spans="1:14" ht="15" customHeight="1" x14ac:dyDescent="0.15">
      <c r="A629" s="6"/>
      <c r="B629" s="6"/>
      <c r="C629" s="6"/>
      <c r="D629" s="6"/>
      <c r="E629" s="6"/>
      <c r="F629" s="6"/>
      <c r="G629" s="6"/>
      <c r="H629" s="6"/>
      <c r="I629" s="6"/>
      <c r="J629" s="6"/>
      <c r="K629" s="6"/>
      <c r="L629" s="6"/>
      <c r="M629" s="6"/>
    </row>
    <row r="630" spans="1:14" ht="15" customHeight="1" x14ac:dyDescent="0.15">
      <c r="A630" s="6"/>
      <c r="B630" s="63" t="str">
        <f>[94]Base_01!$C$17</f>
        <v>AfrIandi Yudhistira, S.T.</v>
      </c>
      <c r="C630" s="63"/>
      <c r="D630" s="63"/>
      <c r="E630" s="63"/>
      <c r="F630" s="63" t="str">
        <f>[94]Base_01!$C$20</f>
        <v>…...............         …...............</v>
      </c>
      <c r="G630" s="63"/>
      <c r="H630" s="63"/>
      <c r="I630" s="63"/>
      <c r="J630" s="63" t="str">
        <f>G572</f>
        <v>Nama PB 10</v>
      </c>
      <c r="K630" s="63"/>
      <c r="L630" s="63"/>
      <c r="M630" s="63"/>
    </row>
    <row r="631" spans="1:14" ht="16" customHeight="1" x14ac:dyDescent="0.15">
      <c r="A631" s="67" t="s">
        <v>14</v>
      </c>
      <c r="B631" s="67"/>
      <c r="C631" s="67"/>
      <c r="D631" s="67"/>
      <c r="E631" s="67"/>
      <c r="F631" s="67"/>
      <c r="G631" s="67"/>
      <c r="H631" s="67"/>
      <c r="I631" s="67"/>
      <c r="J631" s="67"/>
      <c r="K631" s="67"/>
      <c r="L631" s="67"/>
      <c r="M631" s="67"/>
      <c r="N631" s="5">
        <f>N568+1</f>
        <v>11</v>
      </c>
    </row>
    <row r="632" spans="1:14" ht="16" customHeight="1" x14ac:dyDescent="0.15">
      <c r="A632" s="67" t="str">
        <f>"NOMOR "&amp;VLOOKUP($N631,[94]Base_02!$A$5:$AD$24,2,0)</f>
        <v>NOMOR 000011</v>
      </c>
      <c r="B632" s="67"/>
      <c r="C632" s="67"/>
      <c r="D632" s="67"/>
      <c r="E632" s="67"/>
      <c r="F632" s="67"/>
      <c r="G632" s="67"/>
      <c r="H632" s="67"/>
      <c r="I632" s="67"/>
      <c r="J632" s="67"/>
      <c r="K632" s="67"/>
      <c r="L632" s="67"/>
      <c r="M632" s="67"/>
    </row>
    <row r="633" spans="1:14" x14ac:dyDescent="0.15">
      <c r="A633" s="6"/>
      <c r="B633" s="7"/>
      <c r="C633" s="7"/>
      <c r="D633" s="7"/>
      <c r="E633" s="7"/>
      <c r="F633" s="7"/>
      <c r="G633" s="7"/>
      <c r="H633" s="7"/>
      <c r="I633" s="7"/>
      <c r="J633" s="7"/>
      <c r="K633" s="6"/>
      <c r="L633" s="6"/>
      <c r="M633" s="6"/>
    </row>
    <row r="634" spans="1:14" ht="15" customHeight="1" x14ac:dyDescent="0.15">
      <c r="A634" s="8" t="s">
        <v>13</v>
      </c>
      <c r="B634" s="9" t="s">
        <v>15</v>
      </c>
      <c r="C634" s="6"/>
      <c r="D634" s="6"/>
      <c r="E634" s="6"/>
      <c r="F634" s="6"/>
      <c r="G634" s="6"/>
      <c r="H634" s="6"/>
      <c r="I634" s="6"/>
      <c r="J634" s="6"/>
      <c r="K634" s="6"/>
      <c r="L634" s="6"/>
      <c r="M634" s="6"/>
    </row>
    <row r="635" spans="1:14" ht="15" customHeight="1" x14ac:dyDescent="0.15">
      <c r="A635" s="6"/>
      <c r="B635" s="57" t="s">
        <v>16</v>
      </c>
      <c r="C635" s="57"/>
      <c r="D635" s="57"/>
      <c r="E635" s="57"/>
      <c r="F635" s="57"/>
      <c r="G635" s="6" t="str">
        <f>VLOOKUP($N631,[94]Base_02!$A$5:$AD$24,3,0)</f>
        <v>Nama PB 11</v>
      </c>
      <c r="H635" s="6"/>
      <c r="I635" s="6"/>
      <c r="J635" s="6"/>
      <c r="K635" s="6"/>
      <c r="L635" s="6"/>
      <c r="M635" s="6"/>
    </row>
    <row r="636" spans="1:14" ht="15" customHeight="1" x14ac:dyDescent="0.15">
      <c r="A636" s="6"/>
      <c r="B636" s="57" t="s">
        <v>17</v>
      </c>
      <c r="C636" s="57"/>
      <c r="D636" s="57"/>
      <c r="E636" s="57"/>
      <c r="F636" s="57"/>
      <c r="G636" s="6">
        <f>VLOOKUP($N631,[94]Base_02!$A$5:$AD$24,14,0)</f>
        <v>0</v>
      </c>
      <c r="H636" s="6"/>
      <c r="I636" s="6"/>
      <c r="J636" s="6"/>
      <c r="K636" s="6"/>
      <c r="L636" s="6"/>
      <c r="M636" s="6"/>
    </row>
    <row r="637" spans="1:14" ht="15" customHeight="1" x14ac:dyDescent="0.15">
      <c r="A637" s="6"/>
      <c r="B637" s="57" t="s">
        <v>18</v>
      </c>
      <c r="C637" s="57"/>
      <c r="D637" s="57"/>
      <c r="E637" s="57"/>
      <c r="F637" s="57"/>
      <c r="G637" s="6" t="str">
        <f>VLOOKUP(N631,[94]Base_02!$A$5:$Z$24,11,FALSE)&amp;", RT "&amp;VLOOKUP(N631,[94]Base_02!$A$5:$Z$24,12,FALSE)&amp;", RW "&amp;VLOOKUP(N631,[94]Base_02!$A$5:$Z$24,13,FALSE)</f>
        <v>Jalan Kanal Victory, RT 2, RW 1</v>
      </c>
      <c r="H637" s="6"/>
      <c r="I637" s="6"/>
      <c r="J637" s="6"/>
      <c r="K637" s="6"/>
      <c r="L637" s="6"/>
      <c r="M637" s="6"/>
    </row>
    <row r="638" spans="1:14" ht="15" customHeight="1" x14ac:dyDescent="0.15">
      <c r="A638" s="6"/>
      <c r="B638" s="57" t="str">
        <f>[94]Base_01!$B$2</f>
        <v>Kelurahan</v>
      </c>
      <c r="C638" s="57"/>
      <c r="D638" s="57"/>
      <c r="E638" s="57"/>
      <c r="F638" s="57"/>
      <c r="G638" s="10" t="str">
        <f>[94]Base_01!$C$2</f>
        <v>Klasabi</v>
      </c>
      <c r="H638" s="6"/>
      <c r="I638" s="6"/>
      <c r="J638" s="6"/>
      <c r="K638" s="6"/>
      <c r="L638" s="6"/>
      <c r="M638" s="6"/>
    </row>
    <row r="639" spans="1:14" ht="15" customHeight="1" x14ac:dyDescent="0.15">
      <c r="A639" s="6"/>
      <c r="B639" s="57" t="s">
        <v>19</v>
      </c>
      <c r="C639" s="57"/>
      <c r="D639" s="57"/>
      <c r="E639" s="57"/>
      <c r="F639" s="57"/>
      <c r="G639" s="10" t="str">
        <f>[94]Base_01!$C$3</f>
        <v>Sorong Manoi</v>
      </c>
      <c r="H639" s="6"/>
      <c r="I639" s="6"/>
      <c r="J639" s="6"/>
      <c r="K639" s="6"/>
      <c r="L639" s="6"/>
      <c r="M639" s="6"/>
    </row>
    <row r="640" spans="1:14" ht="15" customHeight="1" x14ac:dyDescent="0.15">
      <c r="A640" s="6"/>
      <c r="B640" s="57" t="str">
        <f>[94]Base_01!$B$4</f>
        <v>Kota</v>
      </c>
      <c r="C640" s="57"/>
      <c r="D640" s="57"/>
      <c r="E640" s="57"/>
      <c r="F640" s="57"/>
      <c r="G640" s="10" t="str">
        <f>[94]Base_01!$C$4</f>
        <v>Sorong</v>
      </c>
      <c r="H640" s="6"/>
      <c r="I640" s="6"/>
      <c r="J640" s="6"/>
      <c r="K640" s="6"/>
      <c r="L640" s="6"/>
      <c r="M640" s="6"/>
    </row>
    <row r="641" spans="1:17" ht="15" customHeight="1" x14ac:dyDescent="0.15">
      <c r="A641" s="6"/>
      <c r="B641" s="57" t="s">
        <v>20</v>
      </c>
      <c r="C641" s="57"/>
      <c r="D641" s="57"/>
      <c r="E641" s="57"/>
      <c r="F641" s="57"/>
      <c r="G641" s="11" t="str">
        <f>[94]Base_01!$C$5</f>
        <v>Papua Barat Daya</v>
      </c>
      <c r="H641" s="6"/>
      <c r="I641" s="6"/>
      <c r="J641" s="6"/>
      <c r="K641" s="6"/>
      <c r="L641" s="6"/>
      <c r="M641" s="6"/>
    </row>
    <row r="642" spans="1:17" ht="15" customHeight="1" x14ac:dyDescent="0.15">
      <c r="A642" s="6"/>
      <c r="B642" s="57" t="s">
        <v>21</v>
      </c>
      <c r="C642" s="57"/>
      <c r="D642" s="57"/>
      <c r="E642" s="57"/>
      <c r="F642" s="57"/>
      <c r="G642" s="6" t="str">
        <f>VLOOKUP($N631,[94]Base_02!$A$5:$AG$24,32,0)&amp;" - "&amp;VLOOKUP($N631,[94]Base_02!$A$5:$AG$24,31,0)</f>
        <v>1600006544288 - Bank Mandiri</v>
      </c>
      <c r="H642" s="6"/>
      <c r="I642" s="6"/>
      <c r="J642" s="6"/>
      <c r="K642" s="6"/>
      <c r="L642" s="6"/>
      <c r="M642" s="6"/>
    </row>
    <row r="643" spans="1:17" ht="15" customHeight="1" x14ac:dyDescent="0.15">
      <c r="A643" s="6"/>
      <c r="B643" s="6"/>
      <c r="C643" s="6"/>
      <c r="D643" s="6"/>
      <c r="E643" s="6"/>
      <c r="F643" s="6"/>
      <c r="G643" s="6"/>
      <c r="H643" s="6"/>
      <c r="I643" s="6"/>
      <c r="J643" s="6"/>
      <c r="K643" s="6"/>
      <c r="L643" s="6"/>
      <c r="M643" s="6"/>
    </row>
    <row r="644" spans="1:17" ht="15" customHeight="1" x14ac:dyDescent="0.15">
      <c r="A644" s="8" t="s">
        <v>22</v>
      </c>
      <c r="B644" s="9" t="s">
        <v>23</v>
      </c>
      <c r="C644" s="6"/>
      <c r="D644" s="6"/>
      <c r="E644" s="6"/>
      <c r="F644" s="6"/>
      <c r="G644" s="6"/>
      <c r="H644" s="6"/>
      <c r="I644" s="6"/>
      <c r="J644" s="6"/>
      <c r="K644" s="6"/>
      <c r="L644" s="6"/>
      <c r="M644" s="6"/>
    </row>
    <row r="645" spans="1:17" ht="15" customHeight="1" x14ac:dyDescent="0.15">
      <c r="A645" s="6"/>
      <c r="B645" s="66" t="s">
        <v>30</v>
      </c>
      <c r="C645" s="66"/>
      <c r="D645" s="66"/>
      <c r="E645" s="66"/>
      <c r="F645" s="66" t="s">
        <v>31</v>
      </c>
      <c r="G645" s="66"/>
      <c r="H645" s="66"/>
      <c r="I645" s="66"/>
      <c r="J645" s="66" t="s">
        <v>32</v>
      </c>
      <c r="K645" s="66"/>
      <c r="L645" s="66"/>
      <c r="M645" s="66"/>
      <c r="O645" s="15" t="s">
        <v>61</v>
      </c>
    </row>
    <row r="646" spans="1:17" ht="15" customHeight="1" x14ac:dyDescent="0.15">
      <c r="A646" s="6"/>
      <c r="B646" s="66"/>
      <c r="C646" s="66"/>
      <c r="D646" s="66"/>
      <c r="E646" s="66"/>
      <c r="F646" s="66"/>
      <c r="G646" s="66"/>
      <c r="H646" s="66"/>
      <c r="I646" s="66"/>
      <c r="J646" s="66"/>
      <c r="K646" s="66"/>
      <c r="L646" s="66"/>
      <c r="M646" s="66"/>
      <c r="Q646" s="5" t="s">
        <v>62</v>
      </c>
    </row>
    <row r="647" spans="1:17" ht="15" customHeight="1" x14ac:dyDescent="0.15">
      <c r="A647" s="6"/>
      <c r="B647" s="66"/>
      <c r="C647" s="66"/>
      <c r="D647" s="66"/>
      <c r="E647" s="66"/>
      <c r="F647" s="66"/>
      <c r="G647" s="66"/>
      <c r="H647" s="66"/>
      <c r="I647" s="66"/>
      <c r="J647" s="66"/>
      <c r="K647" s="66"/>
      <c r="L647" s="66"/>
      <c r="M647" s="66"/>
    </row>
    <row r="648" spans="1:17" ht="15" customHeight="1" x14ac:dyDescent="0.15">
      <c r="A648" s="6"/>
      <c r="B648" s="66"/>
      <c r="C648" s="66"/>
      <c r="D648" s="66"/>
      <c r="E648" s="66"/>
      <c r="F648" s="66"/>
      <c r="G648" s="66"/>
      <c r="H648" s="66"/>
      <c r="I648" s="66"/>
      <c r="J648" s="66"/>
      <c r="K648" s="66"/>
      <c r="L648" s="66"/>
      <c r="M648" s="66"/>
    </row>
    <row r="649" spans="1:17" ht="15" customHeight="1" x14ac:dyDescent="0.15">
      <c r="A649" s="6"/>
      <c r="B649" s="66"/>
      <c r="C649" s="66"/>
      <c r="D649" s="66"/>
      <c r="E649" s="66"/>
      <c r="F649" s="66"/>
      <c r="G649" s="66"/>
      <c r="H649" s="66"/>
      <c r="I649" s="66"/>
      <c r="J649" s="66"/>
      <c r="K649" s="66"/>
      <c r="L649" s="66"/>
      <c r="M649" s="66"/>
    </row>
    <row r="650" spans="1:17" ht="15" customHeight="1" x14ac:dyDescent="0.15">
      <c r="A650" s="6"/>
      <c r="B650" s="66"/>
      <c r="C650" s="66"/>
      <c r="D650" s="66"/>
      <c r="E650" s="66"/>
      <c r="F650" s="66"/>
      <c r="G650" s="66"/>
      <c r="H650" s="66"/>
      <c r="I650" s="66"/>
      <c r="J650" s="66"/>
      <c r="K650" s="66"/>
      <c r="L650" s="66"/>
      <c r="M650" s="66"/>
    </row>
    <row r="651" spans="1:17" ht="15" customHeight="1" x14ac:dyDescent="0.15">
      <c r="A651" s="6"/>
      <c r="B651" s="6"/>
      <c r="C651" s="6"/>
      <c r="D651" s="6"/>
      <c r="E651" s="6"/>
      <c r="F651" s="6"/>
      <c r="G651" s="6"/>
      <c r="H651" s="6"/>
      <c r="I651" s="6"/>
      <c r="J651" s="6"/>
      <c r="K651" s="6"/>
      <c r="L651" s="6"/>
      <c r="M651" s="6"/>
    </row>
    <row r="652" spans="1:17" ht="15" customHeight="1" x14ac:dyDescent="0.15">
      <c r="A652" s="8" t="s">
        <v>24</v>
      </c>
      <c r="B652" s="9" t="s">
        <v>25</v>
      </c>
      <c r="C652" s="6"/>
      <c r="D652" s="6"/>
      <c r="E652" s="6"/>
      <c r="F652" s="6"/>
      <c r="G652" s="6"/>
      <c r="H652" s="6"/>
      <c r="I652" s="6"/>
      <c r="J652" s="6"/>
      <c r="K652" s="6"/>
      <c r="L652" s="6"/>
      <c r="M652" s="6"/>
    </row>
    <row r="653" spans="1:17" ht="15" customHeight="1" x14ac:dyDescent="0.15">
      <c r="A653" s="12"/>
      <c r="B653" s="66" t="s">
        <v>35</v>
      </c>
      <c r="C653" s="66"/>
      <c r="D653" s="66"/>
      <c r="E653" s="66"/>
      <c r="F653" s="66"/>
      <c r="G653" s="66"/>
      <c r="H653" s="66" t="s">
        <v>36</v>
      </c>
      <c r="I653" s="66"/>
      <c r="J653" s="66"/>
      <c r="K653" s="66"/>
      <c r="L653" s="66"/>
      <c r="M653" s="66"/>
    </row>
    <row r="654" spans="1:17" ht="15" customHeight="1" x14ac:dyDescent="0.15">
      <c r="A654" s="6"/>
      <c r="B654" s="66"/>
      <c r="C654" s="66"/>
      <c r="D654" s="66"/>
      <c r="E654" s="66"/>
      <c r="F654" s="66"/>
      <c r="G654" s="66"/>
      <c r="H654" s="66"/>
      <c r="I654" s="66"/>
      <c r="J654" s="66"/>
      <c r="K654" s="66"/>
      <c r="L654" s="66"/>
      <c r="M654" s="66"/>
    </row>
    <row r="655" spans="1:17" ht="15" customHeight="1" x14ac:dyDescent="0.15">
      <c r="A655" s="6"/>
      <c r="B655" s="66"/>
      <c r="C655" s="66"/>
      <c r="D655" s="66"/>
      <c r="E655" s="66"/>
      <c r="F655" s="66"/>
      <c r="G655" s="66"/>
      <c r="H655" s="66"/>
      <c r="I655" s="66"/>
      <c r="J655" s="66"/>
      <c r="K655" s="66"/>
      <c r="L655" s="66"/>
      <c r="M655" s="66"/>
    </row>
    <row r="656" spans="1:17" ht="15" customHeight="1" x14ac:dyDescent="0.15">
      <c r="A656" s="6"/>
      <c r="B656" s="66"/>
      <c r="C656" s="66"/>
      <c r="D656" s="66"/>
      <c r="E656" s="66"/>
      <c r="F656" s="66"/>
      <c r="G656" s="66"/>
      <c r="H656" s="66"/>
      <c r="I656" s="66"/>
      <c r="J656" s="66"/>
      <c r="K656" s="66"/>
      <c r="L656" s="66"/>
      <c r="M656" s="66"/>
    </row>
    <row r="657" spans="1:13" ht="15" customHeight="1" x14ac:dyDescent="0.15">
      <c r="A657" s="6"/>
      <c r="B657" s="66"/>
      <c r="C657" s="66"/>
      <c r="D657" s="66"/>
      <c r="E657" s="66"/>
      <c r="F657" s="66"/>
      <c r="G657" s="66"/>
      <c r="H657" s="66"/>
      <c r="I657" s="66"/>
      <c r="J657" s="66"/>
      <c r="K657" s="66"/>
      <c r="L657" s="66"/>
      <c r="M657" s="66"/>
    </row>
    <row r="658" spans="1:13" ht="15" customHeight="1" x14ac:dyDescent="0.15">
      <c r="A658" s="6"/>
      <c r="B658" s="66"/>
      <c r="C658" s="66"/>
      <c r="D658" s="66"/>
      <c r="E658" s="66"/>
      <c r="F658" s="66"/>
      <c r="G658" s="66"/>
      <c r="H658" s="66"/>
      <c r="I658" s="66"/>
      <c r="J658" s="66"/>
      <c r="K658" s="66"/>
      <c r="L658" s="66"/>
      <c r="M658" s="66"/>
    </row>
    <row r="659" spans="1:13" ht="15" customHeight="1" x14ac:dyDescent="0.15">
      <c r="A659" s="6"/>
      <c r="B659" s="66"/>
      <c r="C659" s="66"/>
      <c r="D659" s="66"/>
      <c r="E659" s="66"/>
      <c r="F659" s="66"/>
      <c r="G659" s="66"/>
      <c r="H659" s="66"/>
      <c r="I659" s="66"/>
      <c r="J659" s="66"/>
      <c r="K659" s="66"/>
      <c r="L659" s="66"/>
      <c r="M659" s="66"/>
    </row>
    <row r="660" spans="1:13" ht="15" customHeight="1" x14ac:dyDescent="0.15">
      <c r="A660" s="6"/>
      <c r="B660" s="66"/>
      <c r="C660" s="66"/>
      <c r="D660" s="66"/>
      <c r="E660" s="66"/>
      <c r="F660" s="66"/>
      <c r="G660" s="66"/>
      <c r="H660" s="66"/>
      <c r="I660" s="66"/>
      <c r="J660" s="66"/>
      <c r="K660" s="66"/>
      <c r="L660" s="66"/>
      <c r="M660" s="66"/>
    </row>
    <row r="661" spans="1:13" ht="15" customHeight="1" x14ac:dyDescent="0.15">
      <c r="A661" s="6"/>
      <c r="B661" s="6"/>
      <c r="C661" s="6"/>
      <c r="D661" s="6"/>
      <c r="E661" s="6"/>
      <c r="F661" s="6"/>
      <c r="G661" s="6"/>
      <c r="H661" s="6"/>
      <c r="I661" s="6"/>
      <c r="J661" s="6"/>
      <c r="K661" s="6"/>
      <c r="L661" s="6"/>
      <c r="M661" s="6"/>
    </row>
    <row r="662" spans="1:13" ht="15" customHeight="1" x14ac:dyDescent="0.15">
      <c r="A662" s="8" t="s">
        <v>26</v>
      </c>
      <c r="B662" s="9" t="s">
        <v>27</v>
      </c>
      <c r="C662" s="6"/>
      <c r="D662" s="6"/>
      <c r="E662" s="6"/>
      <c r="F662" s="6"/>
      <c r="G662" s="6"/>
      <c r="H662" s="6"/>
      <c r="I662" s="6"/>
      <c r="J662" s="6"/>
      <c r="K662" s="6"/>
      <c r="L662" s="6"/>
      <c r="M662" s="6"/>
    </row>
    <row r="663" spans="1:13" ht="15" customHeight="1" x14ac:dyDescent="0.15">
      <c r="A663" s="12"/>
      <c r="B663" s="66" t="s">
        <v>30</v>
      </c>
      <c r="C663" s="66"/>
      <c r="D663" s="66"/>
      <c r="E663" s="66"/>
      <c r="F663" s="66" t="s">
        <v>33</v>
      </c>
      <c r="G663" s="66"/>
      <c r="H663" s="66"/>
      <c r="I663" s="66"/>
      <c r="J663" s="66" t="s">
        <v>34</v>
      </c>
      <c r="K663" s="66"/>
      <c r="L663" s="66"/>
      <c r="M663" s="66"/>
    </row>
    <row r="664" spans="1:13" ht="15" customHeight="1" x14ac:dyDescent="0.15">
      <c r="A664" s="6"/>
      <c r="B664" s="66"/>
      <c r="C664" s="66"/>
      <c r="D664" s="66"/>
      <c r="E664" s="66"/>
      <c r="F664" s="66"/>
      <c r="G664" s="66"/>
      <c r="H664" s="66"/>
      <c r="I664" s="66"/>
      <c r="J664" s="66"/>
      <c r="K664" s="66"/>
      <c r="L664" s="66"/>
      <c r="M664" s="66"/>
    </row>
    <row r="665" spans="1:13" ht="15" customHeight="1" x14ac:dyDescent="0.15">
      <c r="A665" s="6"/>
      <c r="B665" s="66"/>
      <c r="C665" s="66"/>
      <c r="D665" s="66"/>
      <c r="E665" s="66"/>
      <c r="F665" s="66"/>
      <c r="G665" s="66"/>
      <c r="H665" s="66"/>
      <c r="I665" s="66"/>
      <c r="J665" s="66"/>
      <c r="K665" s="66"/>
      <c r="L665" s="66"/>
      <c r="M665" s="66"/>
    </row>
    <row r="666" spans="1:13" ht="15" customHeight="1" x14ac:dyDescent="0.15">
      <c r="A666" s="6"/>
      <c r="B666" s="66"/>
      <c r="C666" s="66"/>
      <c r="D666" s="66"/>
      <c r="E666" s="66"/>
      <c r="F666" s="66"/>
      <c r="G666" s="66"/>
      <c r="H666" s="66"/>
      <c r="I666" s="66"/>
      <c r="J666" s="66"/>
      <c r="K666" s="66"/>
      <c r="L666" s="66"/>
      <c r="M666" s="66"/>
    </row>
    <row r="667" spans="1:13" ht="15" customHeight="1" x14ac:dyDescent="0.15">
      <c r="A667" s="6"/>
      <c r="B667" s="66"/>
      <c r="C667" s="66"/>
      <c r="D667" s="66"/>
      <c r="E667" s="66"/>
      <c r="F667" s="66"/>
      <c r="G667" s="66"/>
      <c r="H667" s="66"/>
      <c r="I667" s="66"/>
      <c r="J667" s="66"/>
      <c r="K667" s="66"/>
      <c r="L667" s="66"/>
      <c r="M667" s="66"/>
    </row>
    <row r="668" spans="1:13" ht="15" customHeight="1" x14ac:dyDescent="0.15">
      <c r="A668" s="6"/>
      <c r="B668" s="66"/>
      <c r="C668" s="66"/>
      <c r="D668" s="66"/>
      <c r="E668" s="66"/>
      <c r="F668" s="66"/>
      <c r="G668" s="66"/>
      <c r="H668" s="66"/>
      <c r="I668" s="66"/>
      <c r="J668" s="66"/>
      <c r="K668" s="66"/>
      <c r="L668" s="66"/>
      <c r="M668" s="66"/>
    </row>
    <row r="669" spans="1:13" ht="15" customHeight="1" x14ac:dyDescent="0.15">
      <c r="A669" s="6"/>
      <c r="B669" s="6"/>
      <c r="C669" s="6"/>
      <c r="D669" s="6"/>
      <c r="E669" s="6"/>
      <c r="F669" s="6"/>
      <c r="G669" s="6"/>
      <c r="H669" s="6"/>
      <c r="I669" s="6"/>
      <c r="J669" s="6"/>
      <c r="K669" s="6"/>
      <c r="L669" s="6"/>
      <c r="M669" s="6"/>
    </row>
    <row r="670" spans="1:13" ht="15" customHeight="1" x14ac:dyDescent="0.15">
      <c r="A670" s="8" t="s">
        <v>28</v>
      </c>
      <c r="B670" s="9" t="s">
        <v>29</v>
      </c>
      <c r="C670" s="6"/>
      <c r="D670" s="6"/>
      <c r="E670" s="6"/>
      <c r="F670" s="6"/>
      <c r="G670" s="6"/>
      <c r="H670" s="6"/>
      <c r="I670" s="6"/>
      <c r="J670" s="6"/>
      <c r="K670" s="6"/>
      <c r="L670" s="6"/>
      <c r="M670" s="6"/>
    </row>
    <row r="671" spans="1:13" ht="15" customHeight="1" x14ac:dyDescent="0.15">
      <c r="A671" s="6"/>
      <c r="B671" s="6" t="s">
        <v>37</v>
      </c>
      <c r="C671" s="6"/>
      <c r="D671" s="6"/>
      <c r="E671" s="6"/>
      <c r="F671" s="6"/>
      <c r="G671" s="6"/>
      <c r="H671" s="6"/>
      <c r="I671" s="6"/>
      <c r="J671" s="6"/>
      <c r="K671" s="6"/>
      <c r="L671" s="6"/>
      <c r="M671" s="6"/>
    </row>
    <row r="672" spans="1:13" ht="15" customHeight="1" x14ac:dyDescent="0.15">
      <c r="A672" s="6"/>
      <c r="B672" s="6" t="s">
        <v>38</v>
      </c>
      <c r="C672" s="65" t="s">
        <v>41</v>
      </c>
      <c r="D672" s="65"/>
      <c r="E672" s="65"/>
      <c r="F672" s="65"/>
      <c r="G672" s="65"/>
      <c r="H672" s="65"/>
      <c r="I672" s="65"/>
      <c r="J672" s="65"/>
      <c r="K672" s="65"/>
      <c r="L672" s="65"/>
      <c r="M672" s="65"/>
    </row>
    <row r="673" spans="1:13" ht="15" customHeight="1" x14ac:dyDescent="0.15">
      <c r="A673" s="6"/>
      <c r="B673" s="6"/>
      <c r="C673" s="65"/>
      <c r="D673" s="65"/>
      <c r="E673" s="65"/>
      <c r="F673" s="65"/>
      <c r="G673" s="65"/>
      <c r="H673" s="65"/>
      <c r="I673" s="65"/>
      <c r="J673" s="65"/>
      <c r="K673" s="65"/>
      <c r="L673" s="65"/>
      <c r="M673" s="65"/>
    </row>
    <row r="674" spans="1:13" ht="15" customHeight="1" x14ac:dyDescent="0.15">
      <c r="A674" s="6"/>
      <c r="B674" s="6" t="s">
        <v>39</v>
      </c>
      <c r="C674" s="64" t="s">
        <v>40</v>
      </c>
      <c r="D674" s="64"/>
      <c r="E674" s="64"/>
      <c r="F674" s="64"/>
      <c r="G674" s="64"/>
      <c r="H674" s="64"/>
      <c r="I674" s="64"/>
      <c r="J674" s="64"/>
      <c r="K674" s="64"/>
      <c r="L674" s="64"/>
      <c r="M674" s="64"/>
    </row>
    <row r="675" spans="1:13" ht="15" customHeight="1" x14ac:dyDescent="0.15">
      <c r="A675" s="6"/>
      <c r="B675" s="6" t="s">
        <v>42</v>
      </c>
      <c r="C675" s="64" t="s">
        <v>43</v>
      </c>
      <c r="D675" s="64"/>
      <c r="E675" s="64"/>
      <c r="F675" s="64"/>
      <c r="G675" s="64"/>
      <c r="H675" s="64"/>
      <c r="I675" s="64"/>
      <c r="J675" s="64"/>
      <c r="K675" s="64"/>
      <c r="L675" s="64"/>
      <c r="M675" s="64"/>
    </row>
    <row r="676" spans="1:13" ht="15" customHeight="1" x14ac:dyDescent="0.15">
      <c r="A676" s="6"/>
      <c r="B676" s="6" t="s">
        <v>44</v>
      </c>
      <c r="C676" s="64" t="s">
        <v>45</v>
      </c>
      <c r="D676" s="64"/>
      <c r="E676" s="64"/>
      <c r="F676" s="64"/>
      <c r="G676" s="64"/>
      <c r="H676" s="64"/>
      <c r="I676" s="64"/>
      <c r="J676" s="64"/>
      <c r="K676" s="64"/>
      <c r="L676" s="64"/>
      <c r="M676" s="64"/>
    </row>
    <row r="677" spans="1:13" ht="15" customHeight="1" x14ac:dyDescent="0.15">
      <c r="A677" s="6"/>
      <c r="B677" s="6" t="s">
        <v>46</v>
      </c>
      <c r="C677" s="64" t="s">
        <v>47</v>
      </c>
      <c r="D677" s="64"/>
      <c r="E677" s="64"/>
      <c r="F677" s="64"/>
      <c r="G677" s="64"/>
      <c r="H677" s="64"/>
      <c r="I677" s="64"/>
      <c r="J677" s="64"/>
      <c r="K677" s="64"/>
      <c r="L677" s="64"/>
      <c r="M677" s="64"/>
    </row>
    <row r="678" spans="1:13" ht="15" customHeight="1" x14ac:dyDescent="0.15">
      <c r="A678" s="6"/>
      <c r="B678" s="6" t="s">
        <v>50</v>
      </c>
      <c r="C678" s="64" t="s">
        <v>48</v>
      </c>
      <c r="D678" s="64"/>
      <c r="E678" s="64"/>
      <c r="F678" s="64"/>
      <c r="G678" s="64"/>
      <c r="H678" s="64"/>
      <c r="I678" s="64"/>
      <c r="J678" s="64"/>
      <c r="K678" s="64"/>
      <c r="L678" s="64"/>
      <c r="M678" s="64"/>
    </row>
    <row r="679" spans="1:13" ht="15" customHeight="1" x14ac:dyDescent="0.15">
      <c r="A679" s="6"/>
      <c r="B679" s="6" t="s">
        <v>51</v>
      </c>
      <c r="C679" s="64" t="s">
        <v>49</v>
      </c>
      <c r="D679" s="64"/>
      <c r="E679" s="64"/>
      <c r="F679" s="64"/>
      <c r="G679" s="64"/>
      <c r="H679" s="64"/>
      <c r="I679" s="64"/>
      <c r="J679" s="64"/>
      <c r="K679" s="64"/>
      <c r="L679" s="64"/>
      <c r="M679" s="64"/>
    </row>
    <row r="680" spans="1:13" ht="15" customHeight="1" x14ac:dyDescent="0.15">
      <c r="A680" s="6"/>
      <c r="B680" s="6" t="s">
        <v>52</v>
      </c>
      <c r="C680" s="64" t="s">
        <v>154</v>
      </c>
      <c r="D680" s="64"/>
      <c r="E680" s="64"/>
      <c r="F680" s="64"/>
      <c r="G680" s="64"/>
      <c r="H680" s="64"/>
      <c r="I680" s="64"/>
      <c r="J680" s="64"/>
      <c r="K680" s="64"/>
      <c r="L680" s="64"/>
      <c r="M680" s="64"/>
    </row>
    <row r="681" spans="1:13" ht="15" customHeight="1" x14ac:dyDescent="0.15">
      <c r="A681" s="6"/>
      <c r="B681" s="6" t="s">
        <v>53</v>
      </c>
      <c r="C681" s="65" t="s">
        <v>54</v>
      </c>
      <c r="D681" s="65"/>
      <c r="E681" s="65"/>
      <c r="F681" s="65"/>
      <c r="G681" s="65"/>
      <c r="H681" s="65"/>
      <c r="I681" s="65"/>
      <c r="J681" s="65"/>
      <c r="K681" s="65"/>
      <c r="L681" s="65"/>
      <c r="M681" s="65"/>
    </row>
    <row r="682" spans="1:13" ht="15" customHeight="1" x14ac:dyDescent="0.15">
      <c r="A682" s="6"/>
      <c r="B682" s="6"/>
      <c r="C682" s="65"/>
      <c r="D682" s="65"/>
      <c r="E682" s="65"/>
      <c r="F682" s="65"/>
      <c r="G682" s="65"/>
      <c r="H682" s="65"/>
      <c r="I682" s="65"/>
      <c r="J682" s="65"/>
      <c r="K682" s="65"/>
      <c r="L682" s="65"/>
      <c r="M682" s="65"/>
    </row>
    <row r="683" spans="1:13" ht="15" customHeight="1" x14ac:dyDescent="0.15">
      <c r="A683" s="6"/>
      <c r="B683" s="6"/>
      <c r="C683" s="6"/>
      <c r="D683" s="6"/>
      <c r="E683" s="6"/>
      <c r="F683" s="6"/>
      <c r="G683" s="6"/>
      <c r="H683" s="6"/>
      <c r="I683" s="6"/>
      <c r="J683" s="6"/>
      <c r="K683" s="6"/>
      <c r="L683" s="6"/>
      <c r="M683" s="6"/>
    </row>
    <row r="684" spans="1:13" ht="15" customHeight="1" x14ac:dyDescent="0.15">
      <c r="A684" s="6"/>
      <c r="B684" s="6"/>
      <c r="C684" s="6"/>
      <c r="D684" s="6"/>
      <c r="E684" s="6"/>
      <c r="F684" s="6"/>
      <c r="G684" s="6"/>
      <c r="H684" s="6"/>
      <c r="I684" s="6"/>
      <c r="J684" s="6"/>
      <c r="K684" s="6"/>
      <c r="L684" s="6"/>
      <c r="M684" s="13" t="str">
        <f>[94]Base_01!$C$4&amp;", …..  …........................  2026"</f>
        <v>Sorong, …..  …........................  2026</v>
      </c>
    </row>
    <row r="685" spans="1:13" ht="15" customHeight="1" x14ac:dyDescent="0.15">
      <c r="A685" s="6"/>
      <c r="B685" s="6"/>
      <c r="C685" s="6"/>
      <c r="D685" s="6"/>
      <c r="E685" s="6"/>
      <c r="F685" s="6"/>
      <c r="G685" s="6"/>
      <c r="H685" s="6"/>
      <c r="I685" s="6"/>
      <c r="J685" s="6"/>
      <c r="K685" s="6"/>
      <c r="L685" s="6"/>
      <c r="M685" s="6"/>
    </row>
    <row r="686" spans="1:13" ht="15" customHeight="1" x14ac:dyDescent="0.15">
      <c r="A686" s="6"/>
      <c r="B686" s="63" t="s">
        <v>57</v>
      </c>
      <c r="C686" s="63"/>
      <c r="D686" s="63"/>
      <c r="E686" s="63"/>
      <c r="F686" s="63" t="s">
        <v>56</v>
      </c>
      <c r="G686" s="63"/>
      <c r="H686" s="63"/>
      <c r="I686" s="63"/>
      <c r="J686" s="6"/>
      <c r="K686" s="6"/>
      <c r="L686" s="6"/>
      <c r="M686" s="6"/>
    </row>
    <row r="687" spans="1:13" ht="15" customHeight="1" x14ac:dyDescent="0.15">
      <c r="A687" s="6"/>
      <c r="B687" s="63" t="s">
        <v>60</v>
      </c>
      <c r="C687" s="63"/>
      <c r="D687" s="63"/>
      <c r="E687" s="63"/>
      <c r="F687" s="63" t="s">
        <v>58</v>
      </c>
      <c r="G687" s="63"/>
      <c r="H687" s="63"/>
      <c r="I687" s="63"/>
      <c r="J687" s="63" t="s">
        <v>55</v>
      </c>
      <c r="K687" s="63"/>
      <c r="L687" s="63"/>
      <c r="M687" s="63"/>
    </row>
    <row r="688" spans="1:13" ht="15" customHeight="1" x14ac:dyDescent="0.15">
      <c r="A688" s="6"/>
      <c r="B688" s="63" t="str">
        <f>[94]Base_01!$B$4&amp;" "&amp;[94]Base_01!$C$4</f>
        <v>Kota Sorong</v>
      </c>
      <c r="C688" s="63"/>
      <c r="D688" s="63"/>
      <c r="E688" s="63"/>
      <c r="F688" s="63" t="s">
        <v>59</v>
      </c>
      <c r="G688" s="63"/>
      <c r="H688" s="63"/>
      <c r="I688" s="63"/>
      <c r="J688" s="6"/>
      <c r="K688" s="6"/>
      <c r="L688" s="6"/>
      <c r="M688" s="6"/>
    </row>
    <row r="689" spans="1:14" ht="15" customHeight="1" x14ac:dyDescent="0.15">
      <c r="A689" s="6"/>
      <c r="B689" s="14"/>
      <c r="C689" s="14"/>
      <c r="D689" s="14"/>
      <c r="E689" s="14"/>
      <c r="F689" s="14"/>
      <c r="G689" s="14"/>
      <c r="H689" s="14"/>
      <c r="I689" s="6"/>
      <c r="J689" s="6"/>
      <c r="K689" s="6"/>
      <c r="L689" s="6"/>
      <c r="M689" s="6"/>
    </row>
    <row r="690" spans="1:14" ht="15" customHeight="1" x14ac:dyDescent="0.15">
      <c r="A690" s="6"/>
      <c r="B690" s="14"/>
      <c r="C690" s="14"/>
      <c r="D690" s="14"/>
      <c r="E690" s="14"/>
      <c r="F690" s="14"/>
      <c r="G690" s="14"/>
      <c r="H690" s="14"/>
      <c r="I690" s="6"/>
      <c r="J690" s="6"/>
      <c r="K690" s="6"/>
      <c r="L690" s="6"/>
      <c r="M690" s="6"/>
    </row>
    <row r="691" spans="1:14" ht="15" customHeight="1" x14ac:dyDescent="0.15">
      <c r="A691" s="6"/>
      <c r="B691" s="6"/>
      <c r="C691" s="6"/>
      <c r="D691" s="6"/>
      <c r="E691" s="6"/>
      <c r="F691" s="6"/>
      <c r="G691" s="6"/>
      <c r="H691" s="6"/>
      <c r="I691" s="6"/>
      <c r="J691" s="6"/>
      <c r="K691" s="6"/>
      <c r="L691" s="6"/>
      <c r="M691" s="6"/>
    </row>
    <row r="692" spans="1:14" ht="15" customHeight="1" x14ac:dyDescent="0.15">
      <c r="A692" s="6"/>
      <c r="B692" s="6"/>
      <c r="C692" s="6"/>
      <c r="D692" s="6"/>
      <c r="E692" s="6"/>
      <c r="F692" s="6"/>
      <c r="G692" s="6"/>
      <c r="H692" s="6"/>
      <c r="I692" s="6"/>
      <c r="J692" s="6"/>
      <c r="K692" s="6"/>
      <c r="L692" s="6"/>
      <c r="M692" s="6"/>
    </row>
    <row r="693" spans="1:14" ht="15" customHeight="1" x14ac:dyDescent="0.15">
      <c r="A693" s="6"/>
      <c r="B693" s="63" t="str">
        <f>[94]Base_01!$C$17</f>
        <v>AfrIandi Yudhistira, S.T.</v>
      </c>
      <c r="C693" s="63"/>
      <c r="D693" s="63"/>
      <c r="E693" s="63"/>
      <c r="F693" s="63" t="str">
        <f>[94]Base_01!$C$20</f>
        <v>…...............         …...............</v>
      </c>
      <c r="G693" s="63"/>
      <c r="H693" s="63"/>
      <c r="I693" s="63"/>
      <c r="J693" s="63" t="str">
        <f>G635</f>
        <v>Nama PB 11</v>
      </c>
      <c r="K693" s="63"/>
      <c r="L693" s="63"/>
      <c r="M693" s="63"/>
    </row>
    <row r="694" spans="1:14" ht="16" customHeight="1" x14ac:dyDescent="0.15">
      <c r="A694" s="67" t="s">
        <v>14</v>
      </c>
      <c r="B694" s="67"/>
      <c r="C694" s="67"/>
      <c r="D694" s="67"/>
      <c r="E694" s="67"/>
      <c r="F694" s="67"/>
      <c r="G694" s="67"/>
      <c r="H694" s="67"/>
      <c r="I694" s="67"/>
      <c r="J694" s="67"/>
      <c r="K694" s="67"/>
      <c r="L694" s="67"/>
      <c r="M694" s="67"/>
      <c r="N694" s="5">
        <f>N631+1</f>
        <v>12</v>
      </c>
    </row>
    <row r="695" spans="1:14" ht="16" customHeight="1" x14ac:dyDescent="0.15">
      <c r="A695" s="67" t="str">
        <f>"NOMOR "&amp;VLOOKUP($N694,[94]Base_02!$A$5:$AD$24,2,0)</f>
        <v>NOMOR 000012</v>
      </c>
      <c r="B695" s="67"/>
      <c r="C695" s="67"/>
      <c r="D695" s="67"/>
      <c r="E695" s="67"/>
      <c r="F695" s="67"/>
      <c r="G695" s="67"/>
      <c r="H695" s="67"/>
      <c r="I695" s="67"/>
      <c r="J695" s="67"/>
      <c r="K695" s="67"/>
      <c r="L695" s="67"/>
      <c r="M695" s="67"/>
    </row>
    <row r="696" spans="1:14" x14ac:dyDescent="0.15">
      <c r="A696" s="6"/>
      <c r="B696" s="7"/>
      <c r="C696" s="7"/>
      <c r="D696" s="7"/>
      <c r="E696" s="7"/>
      <c r="F696" s="7"/>
      <c r="G696" s="7"/>
      <c r="H696" s="7"/>
      <c r="I696" s="7"/>
      <c r="J696" s="7"/>
      <c r="K696" s="6"/>
      <c r="L696" s="6"/>
      <c r="M696" s="6"/>
    </row>
    <row r="697" spans="1:14" ht="15" customHeight="1" x14ac:dyDescent="0.15">
      <c r="A697" s="8" t="s">
        <v>13</v>
      </c>
      <c r="B697" s="9" t="s">
        <v>15</v>
      </c>
      <c r="C697" s="6"/>
      <c r="D697" s="6"/>
      <c r="E697" s="6"/>
      <c r="F697" s="6"/>
      <c r="G697" s="6"/>
      <c r="H697" s="6"/>
      <c r="I697" s="6"/>
      <c r="J697" s="6"/>
      <c r="K697" s="6"/>
      <c r="L697" s="6"/>
      <c r="M697" s="6"/>
    </row>
    <row r="698" spans="1:14" ht="15" customHeight="1" x14ac:dyDescent="0.15">
      <c r="A698" s="6"/>
      <c r="B698" s="57" t="s">
        <v>16</v>
      </c>
      <c r="C698" s="57"/>
      <c r="D698" s="57"/>
      <c r="E698" s="57"/>
      <c r="F698" s="57"/>
      <c r="G698" s="6" t="str">
        <f>VLOOKUP($N694,[94]Base_02!$A$5:$AD$24,3,0)</f>
        <v>Nama PB 12</v>
      </c>
      <c r="H698" s="6"/>
      <c r="I698" s="6"/>
      <c r="J698" s="6"/>
      <c r="K698" s="6"/>
      <c r="L698" s="6"/>
      <c r="M698" s="6"/>
    </row>
    <row r="699" spans="1:14" ht="15" customHeight="1" x14ac:dyDescent="0.15">
      <c r="A699" s="6"/>
      <c r="B699" s="57" t="s">
        <v>17</v>
      </c>
      <c r="C699" s="57"/>
      <c r="D699" s="57"/>
      <c r="E699" s="57"/>
      <c r="F699" s="57"/>
      <c r="G699" s="6">
        <f>VLOOKUP($N694,[94]Base_02!$A$5:$AD$24,14,0)</f>
        <v>0</v>
      </c>
      <c r="H699" s="6"/>
      <c r="I699" s="6"/>
      <c r="J699" s="6"/>
      <c r="K699" s="6"/>
      <c r="L699" s="6"/>
      <c r="M699" s="6"/>
    </row>
    <row r="700" spans="1:14" ht="15" customHeight="1" x14ac:dyDescent="0.15">
      <c r="A700" s="6"/>
      <c r="B700" s="57" t="s">
        <v>18</v>
      </c>
      <c r="C700" s="57"/>
      <c r="D700" s="57"/>
      <c r="E700" s="57"/>
      <c r="F700" s="57"/>
      <c r="G700" s="6" t="str">
        <f>VLOOKUP(N694,[94]Base_02!$A$5:$Z$24,11,FALSE)&amp;", RT "&amp;VLOOKUP(N694,[94]Base_02!$A$5:$Z$24,12,FALSE)&amp;", RW "&amp;VLOOKUP(N694,[94]Base_02!$A$5:$Z$24,13,FALSE)</f>
        <v>Jalan Kanal Victory, RT 2, RW 1</v>
      </c>
      <c r="H700" s="6"/>
      <c r="I700" s="6"/>
      <c r="J700" s="6"/>
      <c r="K700" s="6"/>
      <c r="L700" s="6"/>
      <c r="M700" s="6"/>
    </row>
    <row r="701" spans="1:14" ht="15" customHeight="1" x14ac:dyDescent="0.15">
      <c r="A701" s="6"/>
      <c r="B701" s="57" t="str">
        <f>[94]Base_01!$B$2</f>
        <v>Kelurahan</v>
      </c>
      <c r="C701" s="57"/>
      <c r="D701" s="57"/>
      <c r="E701" s="57"/>
      <c r="F701" s="57"/>
      <c r="G701" s="10" t="str">
        <f>[94]Base_01!$C$2</f>
        <v>Klasabi</v>
      </c>
      <c r="H701" s="6"/>
      <c r="I701" s="6"/>
      <c r="J701" s="6"/>
      <c r="K701" s="6"/>
      <c r="L701" s="6"/>
      <c r="M701" s="6"/>
    </row>
    <row r="702" spans="1:14" ht="15" customHeight="1" x14ac:dyDescent="0.15">
      <c r="A702" s="6"/>
      <c r="B702" s="57" t="s">
        <v>19</v>
      </c>
      <c r="C702" s="57"/>
      <c r="D702" s="57"/>
      <c r="E702" s="57"/>
      <c r="F702" s="57"/>
      <c r="G702" s="10" t="str">
        <f>[94]Base_01!$C$3</f>
        <v>Sorong Manoi</v>
      </c>
      <c r="H702" s="6"/>
      <c r="I702" s="6"/>
      <c r="J702" s="6"/>
      <c r="K702" s="6"/>
      <c r="L702" s="6"/>
      <c r="M702" s="6"/>
    </row>
    <row r="703" spans="1:14" ht="15" customHeight="1" x14ac:dyDescent="0.15">
      <c r="A703" s="6"/>
      <c r="B703" s="57" t="str">
        <f>[94]Base_01!$B$4</f>
        <v>Kota</v>
      </c>
      <c r="C703" s="57"/>
      <c r="D703" s="57"/>
      <c r="E703" s="57"/>
      <c r="F703" s="57"/>
      <c r="G703" s="10" t="str">
        <f>[94]Base_01!$C$4</f>
        <v>Sorong</v>
      </c>
      <c r="H703" s="6"/>
      <c r="I703" s="6"/>
      <c r="J703" s="6"/>
      <c r="K703" s="6"/>
      <c r="L703" s="6"/>
      <c r="M703" s="6"/>
    </row>
    <row r="704" spans="1:14" ht="15" customHeight="1" x14ac:dyDescent="0.15">
      <c r="A704" s="6"/>
      <c r="B704" s="57" t="s">
        <v>20</v>
      </c>
      <c r="C704" s="57"/>
      <c r="D704" s="57"/>
      <c r="E704" s="57"/>
      <c r="F704" s="57"/>
      <c r="G704" s="11" t="str">
        <f>[94]Base_01!$C$5</f>
        <v>Papua Barat Daya</v>
      </c>
      <c r="H704" s="6"/>
      <c r="I704" s="6"/>
      <c r="J704" s="6"/>
      <c r="K704" s="6"/>
      <c r="L704" s="6"/>
      <c r="M704" s="6"/>
    </row>
    <row r="705" spans="1:17" ht="15" customHeight="1" x14ac:dyDescent="0.15">
      <c r="A705" s="6"/>
      <c r="B705" s="57" t="s">
        <v>21</v>
      </c>
      <c r="C705" s="57"/>
      <c r="D705" s="57"/>
      <c r="E705" s="57"/>
      <c r="F705" s="57"/>
      <c r="G705" s="6" t="str">
        <f>VLOOKUP($N694,[94]Base_02!$A$5:$AG$24,32,0)&amp;" - "&amp;VLOOKUP($N694,[94]Base_02!$A$5:$AG$24,31,0)</f>
        <v>1600006544296 - Bank Mandiri</v>
      </c>
      <c r="H705" s="6"/>
      <c r="I705" s="6"/>
      <c r="J705" s="6"/>
      <c r="K705" s="6"/>
      <c r="L705" s="6"/>
      <c r="M705" s="6"/>
    </row>
    <row r="706" spans="1:17" ht="15" customHeight="1" x14ac:dyDescent="0.15">
      <c r="A706" s="6"/>
      <c r="B706" s="6"/>
      <c r="C706" s="6"/>
      <c r="D706" s="6"/>
      <c r="E706" s="6"/>
      <c r="F706" s="6"/>
      <c r="G706" s="6"/>
      <c r="H706" s="6"/>
      <c r="I706" s="6"/>
      <c r="J706" s="6"/>
      <c r="K706" s="6"/>
      <c r="L706" s="6"/>
      <c r="M706" s="6"/>
    </row>
    <row r="707" spans="1:17" ht="15" customHeight="1" x14ac:dyDescent="0.15">
      <c r="A707" s="8" t="s">
        <v>22</v>
      </c>
      <c r="B707" s="9" t="s">
        <v>23</v>
      </c>
      <c r="C707" s="6"/>
      <c r="D707" s="6"/>
      <c r="E707" s="6"/>
      <c r="F707" s="6"/>
      <c r="G707" s="6"/>
      <c r="H707" s="6"/>
      <c r="I707" s="6"/>
      <c r="J707" s="6"/>
      <c r="K707" s="6"/>
      <c r="L707" s="6"/>
      <c r="M707" s="6"/>
    </row>
    <row r="708" spans="1:17" ht="15" customHeight="1" x14ac:dyDescent="0.15">
      <c r="A708" s="6"/>
      <c r="B708" s="66" t="s">
        <v>30</v>
      </c>
      <c r="C708" s="66"/>
      <c r="D708" s="66"/>
      <c r="E708" s="66"/>
      <c r="F708" s="66" t="s">
        <v>31</v>
      </c>
      <c r="G708" s="66"/>
      <c r="H708" s="66"/>
      <c r="I708" s="66"/>
      <c r="J708" s="66" t="s">
        <v>32</v>
      </c>
      <c r="K708" s="66"/>
      <c r="L708" s="66"/>
      <c r="M708" s="66"/>
      <c r="O708" s="15" t="s">
        <v>61</v>
      </c>
    </row>
    <row r="709" spans="1:17" ht="15" customHeight="1" x14ac:dyDescent="0.15">
      <c r="A709" s="6"/>
      <c r="B709" s="66"/>
      <c r="C709" s="66"/>
      <c r="D709" s="66"/>
      <c r="E709" s="66"/>
      <c r="F709" s="66"/>
      <c r="G709" s="66"/>
      <c r="H709" s="66"/>
      <c r="I709" s="66"/>
      <c r="J709" s="66"/>
      <c r="K709" s="66"/>
      <c r="L709" s="66"/>
      <c r="M709" s="66"/>
      <c r="Q709" s="5" t="s">
        <v>62</v>
      </c>
    </row>
    <row r="710" spans="1:17" ht="15" customHeight="1" x14ac:dyDescent="0.15">
      <c r="A710" s="6"/>
      <c r="B710" s="66"/>
      <c r="C710" s="66"/>
      <c r="D710" s="66"/>
      <c r="E710" s="66"/>
      <c r="F710" s="66"/>
      <c r="G710" s="66"/>
      <c r="H710" s="66"/>
      <c r="I710" s="66"/>
      <c r="J710" s="66"/>
      <c r="K710" s="66"/>
      <c r="L710" s="66"/>
      <c r="M710" s="66"/>
    </row>
    <row r="711" spans="1:17" ht="15" customHeight="1" x14ac:dyDescent="0.15">
      <c r="A711" s="6"/>
      <c r="B711" s="66"/>
      <c r="C711" s="66"/>
      <c r="D711" s="66"/>
      <c r="E711" s="66"/>
      <c r="F711" s="66"/>
      <c r="G711" s="66"/>
      <c r="H711" s="66"/>
      <c r="I711" s="66"/>
      <c r="J711" s="66"/>
      <c r="K711" s="66"/>
      <c r="L711" s="66"/>
      <c r="M711" s="66"/>
    </row>
    <row r="712" spans="1:17" ht="15" customHeight="1" x14ac:dyDescent="0.15">
      <c r="A712" s="6"/>
      <c r="B712" s="66"/>
      <c r="C712" s="66"/>
      <c r="D712" s="66"/>
      <c r="E712" s="66"/>
      <c r="F712" s="66"/>
      <c r="G712" s="66"/>
      <c r="H712" s="66"/>
      <c r="I712" s="66"/>
      <c r="J712" s="66"/>
      <c r="K712" s="66"/>
      <c r="L712" s="66"/>
      <c r="M712" s="66"/>
    </row>
    <row r="713" spans="1:17" ht="15" customHeight="1" x14ac:dyDescent="0.15">
      <c r="A713" s="6"/>
      <c r="B713" s="66"/>
      <c r="C713" s="66"/>
      <c r="D713" s="66"/>
      <c r="E713" s="66"/>
      <c r="F713" s="66"/>
      <c r="G713" s="66"/>
      <c r="H713" s="66"/>
      <c r="I713" s="66"/>
      <c r="J713" s="66"/>
      <c r="K713" s="66"/>
      <c r="L713" s="66"/>
      <c r="M713" s="66"/>
    </row>
    <row r="714" spans="1:17" ht="15" customHeight="1" x14ac:dyDescent="0.15">
      <c r="A714" s="6"/>
      <c r="B714" s="6"/>
      <c r="C714" s="6"/>
      <c r="D714" s="6"/>
      <c r="E714" s="6"/>
      <c r="F714" s="6"/>
      <c r="G714" s="6"/>
      <c r="H714" s="6"/>
      <c r="I714" s="6"/>
      <c r="J714" s="6"/>
      <c r="K714" s="6"/>
      <c r="L714" s="6"/>
      <c r="M714" s="6"/>
    </row>
    <row r="715" spans="1:17" ht="15" customHeight="1" x14ac:dyDescent="0.15">
      <c r="A715" s="8" t="s">
        <v>24</v>
      </c>
      <c r="B715" s="9" t="s">
        <v>25</v>
      </c>
      <c r="C715" s="6"/>
      <c r="D715" s="6"/>
      <c r="E715" s="6"/>
      <c r="F715" s="6"/>
      <c r="G715" s="6"/>
      <c r="H715" s="6"/>
      <c r="I715" s="6"/>
      <c r="J715" s="6"/>
      <c r="K715" s="6"/>
      <c r="L715" s="6"/>
      <c r="M715" s="6"/>
    </row>
    <row r="716" spans="1:17" ht="15" customHeight="1" x14ac:dyDescent="0.15">
      <c r="A716" s="12"/>
      <c r="B716" s="66" t="s">
        <v>35</v>
      </c>
      <c r="C716" s="66"/>
      <c r="D716" s="66"/>
      <c r="E716" s="66"/>
      <c r="F716" s="66"/>
      <c r="G716" s="66"/>
      <c r="H716" s="66" t="s">
        <v>36</v>
      </c>
      <c r="I716" s="66"/>
      <c r="J716" s="66"/>
      <c r="K716" s="66"/>
      <c r="L716" s="66"/>
      <c r="M716" s="66"/>
    </row>
    <row r="717" spans="1:17" ht="15" customHeight="1" x14ac:dyDescent="0.15">
      <c r="A717" s="6"/>
      <c r="B717" s="66"/>
      <c r="C717" s="66"/>
      <c r="D717" s="66"/>
      <c r="E717" s="66"/>
      <c r="F717" s="66"/>
      <c r="G717" s="66"/>
      <c r="H717" s="66"/>
      <c r="I717" s="66"/>
      <c r="J717" s="66"/>
      <c r="K717" s="66"/>
      <c r="L717" s="66"/>
      <c r="M717" s="66"/>
    </row>
    <row r="718" spans="1:17" ht="15" customHeight="1" x14ac:dyDescent="0.15">
      <c r="A718" s="6"/>
      <c r="B718" s="66"/>
      <c r="C718" s="66"/>
      <c r="D718" s="66"/>
      <c r="E718" s="66"/>
      <c r="F718" s="66"/>
      <c r="G718" s="66"/>
      <c r="H718" s="66"/>
      <c r="I718" s="66"/>
      <c r="J718" s="66"/>
      <c r="K718" s="66"/>
      <c r="L718" s="66"/>
      <c r="M718" s="66"/>
    </row>
    <row r="719" spans="1:17" ht="15" customHeight="1" x14ac:dyDescent="0.15">
      <c r="A719" s="6"/>
      <c r="B719" s="66"/>
      <c r="C719" s="66"/>
      <c r="D719" s="66"/>
      <c r="E719" s="66"/>
      <c r="F719" s="66"/>
      <c r="G719" s="66"/>
      <c r="H719" s="66"/>
      <c r="I719" s="66"/>
      <c r="J719" s="66"/>
      <c r="K719" s="66"/>
      <c r="L719" s="66"/>
      <c r="M719" s="66"/>
    </row>
    <row r="720" spans="1:17" ht="15" customHeight="1" x14ac:dyDescent="0.15">
      <c r="A720" s="6"/>
      <c r="B720" s="66"/>
      <c r="C720" s="66"/>
      <c r="D720" s="66"/>
      <c r="E720" s="66"/>
      <c r="F720" s="66"/>
      <c r="G720" s="66"/>
      <c r="H720" s="66"/>
      <c r="I720" s="66"/>
      <c r="J720" s="66"/>
      <c r="K720" s="66"/>
      <c r="L720" s="66"/>
      <c r="M720" s="66"/>
    </row>
    <row r="721" spans="1:13" ht="15" customHeight="1" x14ac:dyDescent="0.15">
      <c r="A721" s="6"/>
      <c r="B721" s="66"/>
      <c r="C721" s="66"/>
      <c r="D721" s="66"/>
      <c r="E721" s="66"/>
      <c r="F721" s="66"/>
      <c r="G721" s="66"/>
      <c r="H721" s="66"/>
      <c r="I721" s="66"/>
      <c r="J721" s="66"/>
      <c r="K721" s="66"/>
      <c r="L721" s="66"/>
      <c r="M721" s="66"/>
    </row>
    <row r="722" spans="1:13" ht="15" customHeight="1" x14ac:dyDescent="0.15">
      <c r="A722" s="6"/>
      <c r="B722" s="66"/>
      <c r="C722" s="66"/>
      <c r="D722" s="66"/>
      <c r="E722" s="66"/>
      <c r="F722" s="66"/>
      <c r="G722" s="66"/>
      <c r="H722" s="66"/>
      <c r="I722" s="66"/>
      <c r="J722" s="66"/>
      <c r="K722" s="66"/>
      <c r="L722" s="66"/>
      <c r="M722" s="66"/>
    </row>
    <row r="723" spans="1:13" ht="15" customHeight="1" x14ac:dyDescent="0.15">
      <c r="A723" s="6"/>
      <c r="B723" s="66"/>
      <c r="C723" s="66"/>
      <c r="D723" s="66"/>
      <c r="E723" s="66"/>
      <c r="F723" s="66"/>
      <c r="G723" s="66"/>
      <c r="H723" s="66"/>
      <c r="I723" s="66"/>
      <c r="J723" s="66"/>
      <c r="K723" s="66"/>
      <c r="L723" s="66"/>
      <c r="M723" s="66"/>
    </row>
    <row r="724" spans="1:13" ht="15" customHeight="1" x14ac:dyDescent="0.15">
      <c r="A724" s="6"/>
      <c r="B724" s="6"/>
      <c r="C724" s="6"/>
      <c r="D724" s="6"/>
      <c r="E724" s="6"/>
      <c r="F724" s="6"/>
      <c r="G724" s="6"/>
      <c r="H724" s="6"/>
      <c r="I724" s="6"/>
      <c r="J724" s="6"/>
      <c r="K724" s="6"/>
      <c r="L724" s="6"/>
      <c r="M724" s="6"/>
    </row>
    <row r="725" spans="1:13" ht="15" customHeight="1" x14ac:dyDescent="0.15">
      <c r="A725" s="8" t="s">
        <v>26</v>
      </c>
      <c r="B725" s="9" t="s">
        <v>27</v>
      </c>
      <c r="C725" s="6"/>
      <c r="D725" s="6"/>
      <c r="E725" s="6"/>
      <c r="F725" s="6"/>
      <c r="G725" s="6"/>
      <c r="H725" s="6"/>
      <c r="I725" s="6"/>
      <c r="J725" s="6"/>
      <c r="K725" s="6"/>
      <c r="L725" s="6"/>
      <c r="M725" s="6"/>
    </row>
    <row r="726" spans="1:13" ht="15" customHeight="1" x14ac:dyDescent="0.15">
      <c r="A726" s="12"/>
      <c r="B726" s="66" t="s">
        <v>30</v>
      </c>
      <c r="C726" s="66"/>
      <c r="D726" s="66"/>
      <c r="E726" s="66"/>
      <c r="F726" s="66" t="s">
        <v>33</v>
      </c>
      <c r="G726" s="66"/>
      <c r="H726" s="66"/>
      <c r="I726" s="66"/>
      <c r="J726" s="66" t="s">
        <v>34</v>
      </c>
      <c r="K726" s="66"/>
      <c r="L726" s="66"/>
      <c r="M726" s="66"/>
    </row>
    <row r="727" spans="1:13" ht="15" customHeight="1" x14ac:dyDescent="0.15">
      <c r="A727" s="6"/>
      <c r="B727" s="66"/>
      <c r="C727" s="66"/>
      <c r="D727" s="66"/>
      <c r="E727" s="66"/>
      <c r="F727" s="66"/>
      <c r="G727" s="66"/>
      <c r="H727" s="66"/>
      <c r="I727" s="66"/>
      <c r="J727" s="66"/>
      <c r="K727" s="66"/>
      <c r="L727" s="66"/>
      <c r="M727" s="66"/>
    </row>
    <row r="728" spans="1:13" ht="15" customHeight="1" x14ac:dyDescent="0.15">
      <c r="A728" s="6"/>
      <c r="B728" s="66"/>
      <c r="C728" s="66"/>
      <c r="D728" s="66"/>
      <c r="E728" s="66"/>
      <c r="F728" s="66"/>
      <c r="G728" s="66"/>
      <c r="H728" s="66"/>
      <c r="I728" s="66"/>
      <c r="J728" s="66"/>
      <c r="K728" s="66"/>
      <c r="L728" s="66"/>
      <c r="M728" s="66"/>
    </row>
    <row r="729" spans="1:13" ht="15" customHeight="1" x14ac:dyDescent="0.15">
      <c r="A729" s="6"/>
      <c r="B729" s="66"/>
      <c r="C729" s="66"/>
      <c r="D729" s="66"/>
      <c r="E729" s="66"/>
      <c r="F729" s="66"/>
      <c r="G729" s="66"/>
      <c r="H729" s="66"/>
      <c r="I729" s="66"/>
      <c r="J729" s="66"/>
      <c r="K729" s="66"/>
      <c r="L729" s="66"/>
      <c r="M729" s="66"/>
    </row>
    <row r="730" spans="1:13" ht="15" customHeight="1" x14ac:dyDescent="0.15">
      <c r="A730" s="6"/>
      <c r="B730" s="66"/>
      <c r="C730" s="66"/>
      <c r="D730" s="66"/>
      <c r="E730" s="66"/>
      <c r="F730" s="66"/>
      <c r="G730" s="66"/>
      <c r="H730" s="66"/>
      <c r="I730" s="66"/>
      <c r="J730" s="66"/>
      <c r="K730" s="66"/>
      <c r="L730" s="66"/>
      <c r="M730" s="66"/>
    </row>
    <row r="731" spans="1:13" ht="15" customHeight="1" x14ac:dyDescent="0.15">
      <c r="A731" s="6"/>
      <c r="B731" s="66"/>
      <c r="C731" s="66"/>
      <c r="D731" s="66"/>
      <c r="E731" s="66"/>
      <c r="F731" s="66"/>
      <c r="G731" s="66"/>
      <c r="H731" s="66"/>
      <c r="I731" s="66"/>
      <c r="J731" s="66"/>
      <c r="K731" s="66"/>
      <c r="L731" s="66"/>
      <c r="M731" s="66"/>
    </row>
    <row r="732" spans="1:13" ht="15" customHeight="1" x14ac:dyDescent="0.15">
      <c r="A732" s="6"/>
      <c r="B732" s="6"/>
      <c r="C732" s="6"/>
      <c r="D732" s="6"/>
      <c r="E732" s="6"/>
      <c r="F732" s="6"/>
      <c r="G732" s="6"/>
      <c r="H732" s="6"/>
      <c r="I732" s="6"/>
      <c r="J732" s="6"/>
      <c r="K732" s="6"/>
      <c r="L732" s="6"/>
      <c r="M732" s="6"/>
    </row>
    <row r="733" spans="1:13" ht="15" customHeight="1" x14ac:dyDescent="0.15">
      <c r="A733" s="8" t="s">
        <v>28</v>
      </c>
      <c r="B733" s="9" t="s">
        <v>29</v>
      </c>
      <c r="C733" s="6"/>
      <c r="D733" s="6"/>
      <c r="E733" s="6"/>
      <c r="F733" s="6"/>
      <c r="G733" s="6"/>
      <c r="H733" s="6"/>
      <c r="I733" s="6"/>
      <c r="J733" s="6"/>
      <c r="K733" s="6"/>
      <c r="L733" s="6"/>
      <c r="M733" s="6"/>
    </row>
    <row r="734" spans="1:13" ht="15" customHeight="1" x14ac:dyDescent="0.15">
      <c r="A734" s="6"/>
      <c r="B734" s="6" t="s">
        <v>37</v>
      </c>
      <c r="C734" s="6"/>
      <c r="D734" s="6"/>
      <c r="E734" s="6"/>
      <c r="F734" s="6"/>
      <c r="G734" s="6"/>
      <c r="H734" s="6"/>
      <c r="I734" s="6"/>
      <c r="J734" s="6"/>
      <c r="K734" s="6"/>
      <c r="L734" s="6"/>
      <c r="M734" s="6"/>
    </row>
    <row r="735" spans="1:13" ht="15" customHeight="1" x14ac:dyDescent="0.15">
      <c r="A735" s="6"/>
      <c r="B735" s="6" t="s">
        <v>38</v>
      </c>
      <c r="C735" s="65" t="s">
        <v>41</v>
      </c>
      <c r="D735" s="65"/>
      <c r="E735" s="65"/>
      <c r="F735" s="65"/>
      <c r="G735" s="65"/>
      <c r="H735" s="65"/>
      <c r="I735" s="65"/>
      <c r="J735" s="65"/>
      <c r="K735" s="65"/>
      <c r="L735" s="65"/>
      <c r="M735" s="65"/>
    </row>
    <row r="736" spans="1:13" ht="15" customHeight="1" x14ac:dyDescent="0.15">
      <c r="A736" s="6"/>
      <c r="B736" s="6"/>
      <c r="C736" s="65"/>
      <c r="D736" s="65"/>
      <c r="E736" s="65"/>
      <c r="F736" s="65"/>
      <c r="G736" s="65"/>
      <c r="H736" s="65"/>
      <c r="I736" s="65"/>
      <c r="J736" s="65"/>
      <c r="K736" s="65"/>
      <c r="L736" s="65"/>
      <c r="M736" s="65"/>
    </row>
    <row r="737" spans="1:13" ht="15" customHeight="1" x14ac:dyDescent="0.15">
      <c r="A737" s="6"/>
      <c r="B737" s="6" t="s">
        <v>39</v>
      </c>
      <c r="C737" s="64" t="s">
        <v>40</v>
      </c>
      <c r="D737" s="64"/>
      <c r="E737" s="64"/>
      <c r="F737" s="64"/>
      <c r="G737" s="64"/>
      <c r="H737" s="64"/>
      <c r="I737" s="64"/>
      <c r="J737" s="64"/>
      <c r="K737" s="64"/>
      <c r="L737" s="64"/>
      <c r="M737" s="64"/>
    </row>
    <row r="738" spans="1:13" ht="15" customHeight="1" x14ac:dyDescent="0.15">
      <c r="A738" s="6"/>
      <c r="B738" s="6" t="s">
        <v>42</v>
      </c>
      <c r="C738" s="64" t="s">
        <v>43</v>
      </c>
      <c r="D738" s="64"/>
      <c r="E738" s="64"/>
      <c r="F738" s="64"/>
      <c r="G738" s="64"/>
      <c r="H738" s="64"/>
      <c r="I738" s="64"/>
      <c r="J738" s="64"/>
      <c r="K738" s="64"/>
      <c r="L738" s="64"/>
      <c r="M738" s="64"/>
    </row>
    <row r="739" spans="1:13" ht="15" customHeight="1" x14ac:dyDescent="0.15">
      <c r="A739" s="6"/>
      <c r="B739" s="6" t="s">
        <v>44</v>
      </c>
      <c r="C739" s="64" t="s">
        <v>45</v>
      </c>
      <c r="D739" s="64"/>
      <c r="E739" s="64"/>
      <c r="F739" s="64"/>
      <c r="G739" s="64"/>
      <c r="H739" s="64"/>
      <c r="I739" s="64"/>
      <c r="J739" s="64"/>
      <c r="K739" s="64"/>
      <c r="L739" s="64"/>
      <c r="M739" s="64"/>
    </row>
    <row r="740" spans="1:13" ht="15" customHeight="1" x14ac:dyDescent="0.15">
      <c r="A740" s="6"/>
      <c r="B740" s="6" t="s">
        <v>46</v>
      </c>
      <c r="C740" s="64" t="s">
        <v>47</v>
      </c>
      <c r="D740" s="64"/>
      <c r="E740" s="64"/>
      <c r="F740" s="64"/>
      <c r="G740" s="64"/>
      <c r="H740" s="64"/>
      <c r="I740" s="64"/>
      <c r="J740" s="64"/>
      <c r="K740" s="64"/>
      <c r="L740" s="64"/>
      <c r="M740" s="64"/>
    </row>
    <row r="741" spans="1:13" ht="15" customHeight="1" x14ac:dyDescent="0.15">
      <c r="A741" s="6"/>
      <c r="B741" s="6" t="s">
        <v>50</v>
      </c>
      <c r="C741" s="64" t="s">
        <v>48</v>
      </c>
      <c r="D741" s="64"/>
      <c r="E741" s="64"/>
      <c r="F741" s="64"/>
      <c r="G741" s="64"/>
      <c r="H741" s="64"/>
      <c r="I741" s="64"/>
      <c r="J741" s="64"/>
      <c r="K741" s="64"/>
      <c r="L741" s="64"/>
      <c r="M741" s="64"/>
    </row>
    <row r="742" spans="1:13" ht="15" customHeight="1" x14ac:dyDescent="0.15">
      <c r="A742" s="6"/>
      <c r="B742" s="6" t="s">
        <v>51</v>
      </c>
      <c r="C742" s="64" t="s">
        <v>49</v>
      </c>
      <c r="D742" s="64"/>
      <c r="E742" s="64"/>
      <c r="F742" s="64"/>
      <c r="G742" s="64"/>
      <c r="H742" s="64"/>
      <c r="I742" s="64"/>
      <c r="J742" s="64"/>
      <c r="K742" s="64"/>
      <c r="L742" s="64"/>
      <c r="M742" s="64"/>
    </row>
    <row r="743" spans="1:13" ht="15" customHeight="1" x14ac:dyDescent="0.15">
      <c r="A743" s="6"/>
      <c r="B743" s="6" t="s">
        <v>52</v>
      </c>
      <c r="C743" s="64" t="s">
        <v>154</v>
      </c>
      <c r="D743" s="64"/>
      <c r="E743" s="64"/>
      <c r="F743" s="64"/>
      <c r="G743" s="64"/>
      <c r="H743" s="64"/>
      <c r="I743" s="64"/>
      <c r="J743" s="64"/>
      <c r="K743" s="64"/>
      <c r="L743" s="64"/>
      <c r="M743" s="64"/>
    </row>
    <row r="744" spans="1:13" ht="15" customHeight="1" x14ac:dyDescent="0.15">
      <c r="A744" s="6"/>
      <c r="B744" s="6" t="s">
        <v>53</v>
      </c>
      <c r="C744" s="65" t="s">
        <v>54</v>
      </c>
      <c r="D744" s="65"/>
      <c r="E744" s="65"/>
      <c r="F744" s="65"/>
      <c r="G744" s="65"/>
      <c r="H744" s="65"/>
      <c r="I744" s="65"/>
      <c r="J744" s="65"/>
      <c r="K744" s="65"/>
      <c r="L744" s="65"/>
      <c r="M744" s="65"/>
    </row>
    <row r="745" spans="1:13" ht="15" customHeight="1" x14ac:dyDescent="0.15">
      <c r="A745" s="6"/>
      <c r="B745" s="6"/>
      <c r="C745" s="65"/>
      <c r="D745" s="65"/>
      <c r="E745" s="65"/>
      <c r="F745" s="65"/>
      <c r="G745" s="65"/>
      <c r="H745" s="65"/>
      <c r="I745" s="65"/>
      <c r="J745" s="65"/>
      <c r="K745" s="65"/>
      <c r="L745" s="65"/>
      <c r="M745" s="65"/>
    </row>
    <row r="746" spans="1:13" ht="15" customHeight="1" x14ac:dyDescent="0.15">
      <c r="A746" s="6"/>
      <c r="B746" s="6"/>
      <c r="C746" s="6"/>
      <c r="D746" s="6"/>
      <c r="E746" s="6"/>
      <c r="F746" s="6"/>
      <c r="G746" s="6"/>
      <c r="H746" s="6"/>
      <c r="I746" s="6"/>
      <c r="J746" s="6"/>
      <c r="K746" s="6"/>
      <c r="L746" s="6"/>
      <c r="M746" s="6"/>
    </row>
    <row r="747" spans="1:13" ht="15" customHeight="1" x14ac:dyDescent="0.15">
      <c r="A747" s="6"/>
      <c r="B747" s="6"/>
      <c r="C747" s="6"/>
      <c r="D747" s="6"/>
      <c r="E747" s="6"/>
      <c r="F747" s="6"/>
      <c r="G747" s="6"/>
      <c r="H747" s="6"/>
      <c r="I747" s="6"/>
      <c r="J747" s="6"/>
      <c r="K747" s="6"/>
      <c r="L747" s="6"/>
      <c r="M747" s="13" t="str">
        <f>[94]Base_01!$C$4&amp;", …..  …........................  2026"</f>
        <v>Sorong, …..  …........................  2026</v>
      </c>
    </row>
    <row r="748" spans="1:13" ht="15" customHeight="1" x14ac:dyDescent="0.15">
      <c r="A748" s="6"/>
      <c r="B748" s="6"/>
      <c r="C748" s="6"/>
      <c r="D748" s="6"/>
      <c r="E748" s="6"/>
      <c r="F748" s="6"/>
      <c r="G748" s="6"/>
      <c r="H748" s="6"/>
      <c r="I748" s="6"/>
      <c r="J748" s="6"/>
      <c r="K748" s="6"/>
      <c r="L748" s="6"/>
      <c r="M748" s="6"/>
    </row>
    <row r="749" spans="1:13" ht="15" customHeight="1" x14ac:dyDescent="0.15">
      <c r="A749" s="6"/>
      <c r="B749" s="63" t="s">
        <v>57</v>
      </c>
      <c r="C749" s="63"/>
      <c r="D749" s="63"/>
      <c r="E749" s="63"/>
      <c r="F749" s="63" t="s">
        <v>56</v>
      </c>
      <c r="G749" s="63"/>
      <c r="H749" s="63"/>
      <c r="I749" s="63"/>
      <c r="J749" s="6"/>
      <c r="K749" s="6"/>
      <c r="L749" s="6"/>
      <c r="M749" s="6"/>
    </row>
    <row r="750" spans="1:13" ht="15" customHeight="1" x14ac:dyDescent="0.15">
      <c r="A750" s="6"/>
      <c r="B750" s="63" t="s">
        <v>60</v>
      </c>
      <c r="C750" s="63"/>
      <c r="D750" s="63"/>
      <c r="E750" s="63"/>
      <c r="F750" s="63" t="s">
        <v>58</v>
      </c>
      <c r="G750" s="63"/>
      <c r="H750" s="63"/>
      <c r="I750" s="63"/>
      <c r="J750" s="63" t="s">
        <v>55</v>
      </c>
      <c r="K750" s="63"/>
      <c r="L750" s="63"/>
      <c r="M750" s="63"/>
    </row>
    <row r="751" spans="1:13" ht="15" customHeight="1" x14ac:dyDescent="0.15">
      <c r="A751" s="6"/>
      <c r="B751" s="63" t="str">
        <f>[94]Base_01!$B$4&amp;" "&amp;[94]Base_01!$C$4</f>
        <v>Kota Sorong</v>
      </c>
      <c r="C751" s="63"/>
      <c r="D751" s="63"/>
      <c r="E751" s="63"/>
      <c r="F751" s="63" t="s">
        <v>59</v>
      </c>
      <c r="G751" s="63"/>
      <c r="H751" s="63"/>
      <c r="I751" s="63"/>
      <c r="J751" s="6"/>
      <c r="K751" s="6"/>
      <c r="L751" s="6"/>
      <c r="M751" s="6"/>
    </row>
    <row r="752" spans="1:13" ht="15" customHeight="1" x14ac:dyDescent="0.15">
      <c r="A752" s="6"/>
      <c r="B752" s="14"/>
      <c r="C752" s="14"/>
      <c r="D752" s="14"/>
      <c r="E752" s="14"/>
      <c r="F752" s="14"/>
      <c r="G752" s="14"/>
      <c r="H752" s="14"/>
      <c r="I752" s="6"/>
      <c r="J752" s="6"/>
      <c r="K752" s="6"/>
      <c r="L752" s="6"/>
      <c r="M752" s="6"/>
    </row>
    <row r="753" spans="1:14" ht="15" customHeight="1" x14ac:dyDescent="0.15">
      <c r="A753" s="6"/>
      <c r="B753" s="14"/>
      <c r="C753" s="14"/>
      <c r="D753" s="14"/>
      <c r="E753" s="14"/>
      <c r="F753" s="14"/>
      <c r="G753" s="14"/>
      <c r="H753" s="14"/>
      <c r="I753" s="6"/>
      <c r="J753" s="6"/>
      <c r="K753" s="6"/>
      <c r="L753" s="6"/>
      <c r="M753" s="6"/>
    </row>
    <row r="754" spans="1:14" ht="15" customHeight="1" x14ac:dyDescent="0.15">
      <c r="A754" s="6"/>
      <c r="B754" s="6"/>
      <c r="C754" s="6"/>
      <c r="D754" s="6"/>
      <c r="E754" s="6"/>
      <c r="F754" s="6"/>
      <c r="G754" s="6"/>
      <c r="H754" s="6"/>
      <c r="I754" s="6"/>
      <c r="J754" s="6"/>
      <c r="K754" s="6"/>
      <c r="L754" s="6"/>
      <c r="M754" s="6"/>
    </row>
    <row r="755" spans="1:14" ht="15" customHeight="1" x14ac:dyDescent="0.15">
      <c r="A755" s="6"/>
      <c r="B755" s="6"/>
      <c r="C755" s="6"/>
      <c r="D755" s="6"/>
      <c r="E755" s="6"/>
      <c r="F755" s="6"/>
      <c r="G755" s="6"/>
      <c r="H755" s="6"/>
      <c r="I755" s="6"/>
      <c r="J755" s="6"/>
      <c r="K755" s="6"/>
      <c r="L755" s="6"/>
      <c r="M755" s="6"/>
    </row>
    <row r="756" spans="1:14" ht="15" customHeight="1" x14ac:dyDescent="0.15">
      <c r="A756" s="6"/>
      <c r="B756" s="63" t="str">
        <f>[94]Base_01!$C$17</f>
        <v>AfrIandi Yudhistira, S.T.</v>
      </c>
      <c r="C756" s="63"/>
      <c r="D756" s="63"/>
      <c r="E756" s="63"/>
      <c r="F756" s="63" t="str">
        <f>[94]Base_01!$C$20</f>
        <v>…...............         …...............</v>
      </c>
      <c r="G756" s="63"/>
      <c r="H756" s="63"/>
      <c r="I756" s="63"/>
      <c r="J756" s="63" t="str">
        <f>G698</f>
        <v>Nama PB 12</v>
      </c>
      <c r="K756" s="63"/>
      <c r="L756" s="63"/>
      <c r="M756" s="63"/>
    </row>
    <row r="757" spans="1:14" ht="16" customHeight="1" x14ac:dyDescent="0.15">
      <c r="A757" s="67" t="s">
        <v>14</v>
      </c>
      <c r="B757" s="67"/>
      <c r="C757" s="67"/>
      <c r="D757" s="67"/>
      <c r="E757" s="67"/>
      <c r="F757" s="67"/>
      <c r="G757" s="67"/>
      <c r="H757" s="67"/>
      <c r="I757" s="67"/>
      <c r="J757" s="67"/>
      <c r="K757" s="67"/>
      <c r="L757" s="67"/>
      <c r="M757" s="67"/>
      <c r="N757" s="5">
        <f>N694+1</f>
        <v>13</v>
      </c>
    </row>
    <row r="758" spans="1:14" ht="16" customHeight="1" x14ac:dyDescent="0.15">
      <c r="A758" s="67" t="str">
        <f>"NOMOR "&amp;VLOOKUP($N757,[94]Base_02!$A$5:$AD$24,2,0)</f>
        <v>NOMOR 000013</v>
      </c>
      <c r="B758" s="67"/>
      <c r="C758" s="67"/>
      <c r="D758" s="67"/>
      <c r="E758" s="67"/>
      <c r="F758" s="67"/>
      <c r="G758" s="67"/>
      <c r="H758" s="67"/>
      <c r="I758" s="67"/>
      <c r="J758" s="67"/>
      <c r="K758" s="67"/>
      <c r="L758" s="67"/>
      <c r="M758" s="67"/>
    </row>
    <row r="759" spans="1:14" x14ac:dyDescent="0.15">
      <c r="A759" s="6"/>
      <c r="B759" s="7"/>
      <c r="C759" s="7"/>
      <c r="D759" s="7"/>
      <c r="E759" s="7"/>
      <c r="F759" s="7"/>
      <c r="G759" s="7"/>
      <c r="H759" s="7"/>
      <c r="I759" s="7"/>
      <c r="J759" s="7"/>
      <c r="K759" s="6"/>
      <c r="L759" s="6"/>
      <c r="M759" s="6"/>
    </row>
    <row r="760" spans="1:14" ht="15" customHeight="1" x14ac:dyDescent="0.15">
      <c r="A760" s="8" t="s">
        <v>13</v>
      </c>
      <c r="B760" s="9" t="s">
        <v>15</v>
      </c>
      <c r="C760" s="6"/>
      <c r="D760" s="6"/>
      <c r="E760" s="6"/>
      <c r="F760" s="6"/>
      <c r="G760" s="6"/>
      <c r="H760" s="6"/>
      <c r="I760" s="6"/>
      <c r="J760" s="6"/>
      <c r="K760" s="6"/>
      <c r="L760" s="6"/>
      <c r="M760" s="6"/>
    </row>
    <row r="761" spans="1:14" ht="15" customHeight="1" x14ac:dyDescent="0.15">
      <c r="A761" s="6"/>
      <c r="B761" s="57" t="s">
        <v>16</v>
      </c>
      <c r="C761" s="57"/>
      <c r="D761" s="57"/>
      <c r="E761" s="57"/>
      <c r="F761" s="57"/>
      <c r="G761" s="6" t="str">
        <f>VLOOKUP($N757,[94]Base_02!$A$5:$AD$24,3,0)</f>
        <v>Nama PB 13</v>
      </c>
      <c r="H761" s="6"/>
      <c r="I761" s="6"/>
      <c r="J761" s="6"/>
      <c r="K761" s="6"/>
      <c r="L761" s="6"/>
      <c r="M761" s="6"/>
    </row>
    <row r="762" spans="1:14" ht="15" customHeight="1" x14ac:dyDescent="0.15">
      <c r="A762" s="6"/>
      <c r="B762" s="57" t="s">
        <v>17</v>
      </c>
      <c r="C762" s="57"/>
      <c r="D762" s="57"/>
      <c r="E762" s="57"/>
      <c r="F762" s="57"/>
      <c r="G762" s="6">
        <f>VLOOKUP($N757,[94]Base_02!$A$5:$AD$24,14,0)</f>
        <v>0</v>
      </c>
      <c r="H762" s="6"/>
      <c r="I762" s="6"/>
      <c r="J762" s="6"/>
      <c r="K762" s="6"/>
      <c r="L762" s="6"/>
      <c r="M762" s="6"/>
    </row>
    <row r="763" spans="1:14" ht="15" customHeight="1" x14ac:dyDescent="0.15">
      <c r="A763" s="6"/>
      <c r="B763" s="57" t="s">
        <v>18</v>
      </c>
      <c r="C763" s="57"/>
      <c r="D763" s="57"/>
      <c r="E763" s="57"/>
      <c r="F763" s="57"/>
      <c r="G763" s="6" t="str">
        <f>VLOOKUP(N757,[94]Base_02!$A$5:$Z$24,11,FALSE)&amp;", RT "&amp;VLOOKUP(N757,[94]Base_02!$A$5:$Z$24,12,FALSE)&amp;", RW "&amp;VLOOKUP(N757,[94]Base_02!$A$5:$Z$24,13,FALSE)</f>
        <v>Jalan Kanal Victory, RT 2, RW 1</v>
      </c>
      <c r="H763" s="6"/>
      <c r="I763" s="6"/>
      <c r="J763" s="6"/>
      <c r="K763" s="6"/>
      <c r="L763" s="6"/>
      <c r="M763" s="6"/>
    </row>
    <row r="764" spans="1:14" ht="15" customHeight="1" x14ac:dyDescent="0.15">
      <c r="A764" s="6"/>
      <c r="B764" s="57" t="str">
        <f>[94]Base_01!$B$2</f>
        <v>Kelurahan</v>
      </c>
      <c r="C764" s="57"/>
      <c r="D764" s="57"/>
      <c r="E764" s="57"/>
      <c r="F764" s="57"/>
      <c r="G764" s="10" t="str">
        <f>[94]Base_01!$C$2</f>
        <v>Klasabi</v>
      </c>
      <c r="H764" s="6"/>
      <c r="I764" s="6"/>
      <c r="J764" s="6"/>
      <c r="K764" s="6"/>
      <c r="L764" s="6"/>
      <c r="M764" s="6"/>
    </row>
    <row r="765" spans="1:14" ht="15" customHeight="1" x14ac:dyDescent="0.15">
      <c r="A765" s="6"/>
      <c r="B765" s="57" t="s">
        <v>19</v>
      </c>
      <c r="C765" s="57"/>
      <c r="D765" s="57"/>
      <c r="E765" s="57"/>
      <c r="F765" s="57"/>
      <c r="G765" s="10" t="str">
        <f>[94]Base_01!$C$3</f>
        <v>Sorong Manoi</v>
      </c>
      <c r="H765" s="6"/>
      <c r="I765" s="6"/>
      <c r="J765" s="6"/>
      <c r="K765" s="6"/>
      <c r="L765" s="6"/>
      <c r="M765" s="6"/>
    </row>
    <row r="766" spans="1:14" ht="15" customHeight="1" x14ac:dyDescent="0.15">
      <c r="A766" s="6"/>
      <c r="B766" s="57" t="str">
        <f>[94]Base_01!$B$4</f>
        <v>Kota</v>
      </c>
      <c r="C766" s="57"/>
      <c r="D766" s="57"/>
      <c r="E766" s="57"/>
      <c r="F766" s="57"/>
      <c r="G766" s="10" t="str">
        <f>[94]Base_01!$C$4</f>
        <v>Sorong</v>
      </c>
      <c r="H766" s="6"/>
      <c r="I766" s="6"/>
      <c r="J766" s="6"/>
      <c r="K766" s="6"/>
      <c r="L766" s="6"/>
      <c r="M766" s="6"/>
    </row>
    <row r="767" spans="1:14" ht="15" customHeight="1" x14ac:dyDescent="0.15">
      <c r="A767" s="6"/>
      <c r="B767" s="57" t="s">
        <v>20</v>
      </c>
      <c r="C767" s="57"/>
      <c r="D767" s="57"/>
      <c r="E767" s="57"/>
      <c r="F767" s="57"/>
      <c r="G767" s="11" t="str">
        <f>[94]Base_01!$C$5</f>
        <v>Papua Barat Daya</v>
      </c>
      <c r="H767" s="6"/>
      <c r="I767" s="6"/>
      <c r="J767" s="6"/>
      <c r="K767" s="6"/>
      <c r="L767" s="6"/>
      <c r="M767" s="6"/>
    </row>
    <row r="768" spans="1:14" ht="15" customHeight="1" x14ac:dyDescent="0.15">
      <c r="A768" s="6"/>
      <c r="B768" s="57" t="s">
        <v>21</v>
      </c>
      <c r="C768" s="57"/>
      <c r="D768" s="57"/>
      <c r="E768" s="57"/>
      <c r="F768" s="57"/>
      <c r="G768" s="6" t="str">
        <f>VLOOKUP($N757,[94]Base_02!$A$5:$AG$24,32,0)&amp;" - "&amp;VLOOKUP($N757,[94]Base_02!$A$5:$AG$24,31,0)</f>
        <v>1600006544304 - Bank Mandiri</v>
      </c>
      <c r="H768" s="6"/>
      <c r="I768" s="6"/>
      <c r="J768" s="6"/>
      <c r="K768" s="6"/>
      <c r="L768" s="6"/>
      <c r="M768" s="6"/>
    </row>
    <row r="769" spans="1:17" ht="15" customHeight="1" x14ac:dyDescent="0.15">
      <c r="A769" s="6"/>
      <c r="B769" s="6"/>
      <c r="C769" s="6"/>
      <c r="D769" s="6"/>
      <c r="E769" s="6"/>
      <c r="F769" s="6"/>
      <c r="G769" s="6"/>
      <c r="H769" s="6"/>
      <c r="I769" s="6"/>
      <c r="J769" s="6"/>
      <c r="K769" s="6"/>
      <c r="L769" s="6"/>
      <c r="M769" s="6"/>
    </row>
    <row r="770" spans="1:17" ht="15" customHeight="1" x14ac:dyDescent="0.15">
      <c r="A770" s="8" t="s">
        <v>22</v>
      </c>
      <c r="B770" s="9" t="s">
        <v>23</v>
      </c>
      <c r="C770" s="6"/>
      <c r="D770" s="6"/>
      <c r="E770" s="6"/>
      <c r="F770" s="6"/>
      <c r="G770" s="6"/>
      <c r="H770" s="6"/>
      <c r="I770" s="6"/>
      <c r="J770" s="6"/>
      <c r="K770" s="6"/>
      <c r="L770" s="6"/>
      <c r="M770" s="6"/>
    </row>
    <row r="771" spans="1:17" ht="15" customHeight="1" x14ac:dyDescent="0.15">
      <c r="A771" s="6"/>
      <c r="B771" s="66" t="s">
        <v>30</v>
      </c>
      <c r="C771" s="66"/>
      <c r="D771" s="66"/>
      <c r="E771" s="66"/>
      <c r="F771" s="66" t="s">
        <v>31</v>
      </c>
      <c r="G771" s="66"/>
      <c r="H771" s="66"/>
      <c r="I771" s="66"/>
      <c r="J771" s="66" t="s">
        <v>32</v>
      </c>
      <c r="K771" s="66"/>
      <c r="L771" s="66"/>
      <c r="M771" s="66"/>
      <c r="O771" s="15" t="s">
        <v>61</v>
      </c>
    </row>
    <row r="772" spans="1:17" ht="15" customHeight="1" x14ac:dyDescent="0.15">
      <c r="A772" s="6"/>
      <c r="B772" s="66"/>
      <c r="C772" s="66"/>
      <c r="D772" s="66"/>
      <c r="E772" s="66"/>
      <c r="F772" s="66"/>
      <c r="G772" s="66"/>
      <c r="H772" s="66"/>
      <c r="I772" s="66"/>
      <c r="J772" s="66"/>
      <c r="K772" s="66"/>
      <c r="L772" s="66"/>
      <c r="M772" s="66"/>
      <c r="Q772" s="5" t="s">
        <v>62</v>
      </c>
    </row>
    <row r="773" spans="1:17" ht="15" customHeight="1" x14ac:dyDescent="0.15">
      <c r="A773" s="6"/>
      <c r="B773" s="66"/>
      <c r="C773" s="66"/>
      <c r="D773" s="66"/>
      <c r="E773" s="66"/>
      <c r="F773" s="66"/>
      <c r="G773" s="66"/>
      <c r="H773" s="66"/>
      <c r="I773" s="66"/>
      <c r="J773" s="66"/>
      <c r="K773" s="66"/>
      <c r="L773" s="66"/>
      <c r="M773" s="66"/>
    </row>
    <row r="774" spans="1:17" ht="15" customHeight="1" x14ac:dyDescent="0.15">
      <c r="A774" s="6"/>
      <c r="B774" s="66"/>
      <c r="C774" s="66"/>
      <c r="D774" s="66"/>
      <c r="E774" s="66"/>
      <c r="F774" s="66"/>
      <c r="G774" s="66"/>
      <c r="H774" s="66"/>
      <c r="I774" s="66"/>
      <c r="J774" s="66"/>
      <c r="K774" s="66"/>
      <c r="L774" s="66"/>
      <c r="M774" s="66"/>
    </row>
    <row r="775" spans="1:17" ht="15" customHeight="1" x14ac:dyDescent="0.15">
      <c r="A775" s="6"/>
      <c r="B775" s="66"/>
      <c r="C775" s="66"/>
      <c r="D775" s="66"/>
      <c r="E775" s="66"/>
      <c r="F775" s="66"/>
      <c r="G775" s="66"/>
      <c r="H775" s="66"/>
      <c r="I775" s="66"/>
      <c r="J775" s="66"/>
      <c r="K775" s="66"/>
      <c r="L775" s="66"/>
      <c r="M775" s="66"/>
    </row>
    <row r="776" spans="1:17" ht="15" customHeight="1" x14ac:dyDescent="0.15">
      <c r="A776" s="6"/>
      <c r="B776" s="66"/>
      <c r="C776" s="66"/>
      <c r="D776" s="66"/>
      <c r="E776" s="66"/>
      <c r="F776" s="66"/>
      <c r="G776" s="66"/>
      <c r="H776" s="66"/>
      <c r="I776" s="66"/>
      <c r="J776" s="66"/>
      <c r="K776" s="66"/>
      <c r="L776" s="66"/>
      <c r="M776" s="66"/>
    </row>
    <row r="777" spans="1:17" ht="15" customHeight="1" x14ac:dyDescent="0.15">
      <c r="A777" s="6"/>
      <c r="B777" s="6"/>
      <c r="C777" s="6"/>
      <c r="D777" s="6"/>
      <c r="E777" s="6"/>
      <c r="F777" s="6"/>
      <c r="G777" s="6"/>
      <c r="H777" s="6"/>
      <c r="I777" s="6"/>
      <c r="J777" s="6"/>
      <c r="K777" s="6"/>
      <c r="L777" s="6"/>
      <c r="M777" s="6"/>
    </row>
    <row r="778" spans="1:17" ht="15" customHeight="1" x14ac:dyDescent="0.15">
      <c r="A778" s="8" t="s">
        <v>24</v>
      </c>
      <c r="B778" s="9" t="s">
        <v>25</v>
      </c>
      <c r="C778" s="6"/>
      <c r="D778" s="6"/>
      <c r="E778" s="6"/>
      <c r="F778" s="6"/>
      <c r="G778" s="6"/>
      <c r="H778" s="6"/>
      <c r="I778" s="6"/>
      <c r="J778" s="6"/>
      <c r="K778" s="6"/>
      <c r="L778" s="6"/>
      <c r="M778" s="6"/>
    </row>
    <row r="779" spans="1:17" ht="15" customHeight="1" x14ac:dyDescent="0.15">
      <c r="A779" s="12"/>
      <c r="B779" s="66" t="s">
        <v>35</v>
      </c>
      <c r="C779" s="66"/>
      <c r="D779" s="66"/>
      <c r="E779" s="66"/>
      <c r="F779" s="66"/>
      <c r="G779" s="66"/>
      <c r="H779" s="66" t="s">
        <v>36</v>
      </c>
      <c r="I779" s="66"/>
      <c r="J779" s="66"/>
      <c r="K779" s="66"/>
      <c r="L779" s="66"/>
      <c r="M779" s="66"/>
    </row>
    <row r="780" spans="1:17" ht="15" customHeight="1" x14ac:dyDescent="0.15">
      <c r="A780" s="6"/>
      <c r="B780" s="66"/>
      <c r="C780" s="66"/>
      <c r="D780" s="66"/>
      <c r="E780" s="66"/>
      <c r="F780" s="66"/>
      <c r="G780" s="66"/>
      <c r="H780" s="66"/>
      <c r="I780" s="66"/>
      <c r="J780" s="66"/>
      <c r="K780" s="66"/>
      <c r="L780" s="66"/>
      <c r="M780" s="66"/>
    </row>
    <row r="781" spans="1:17" ht="15" customHeight="1" x14ac:dyDescent="0.15">
      <c r="A781" s="6"/>
      <c r="B781" s="66"/>
      <c r="C781" s="66"/>
      <c r="D781" s="66"/>
      <c r="E781" s="66"/>
      <c r="F781" s="66"/>
      <c r="G781" s="66"/>
      <c r="H781" s="66"/>
      <c r="I781" s="66"/>
      <c r="J781" s="66"/>
      <c r="K781" s="66"/>
      <c r="L781" s="66"/>
      <c r="M781" s="66"/>
    </row>
    <row r="782" spans="1:17" ht="15" customHeight="1" x14ac:dyDescent="0.15">
      <c r="A782" s="6"/>
      <c r="B782" s="66"/>
      <c r="C782" s="66"/>
      <c r="D782" s="66"/>
      <c r="E782" s="66"/>
      <c r="F782" s="66"/>
      <c r="G782" s="66"/>
      <c r="H782" s="66"/>
      <c r="I782" s="66"/>
      <c r="J782" s="66"/>
      <c r="K782" s="66"/>
      <c r="L782" s="66"/>
      <c r="M782" s="66"/>
    </row>
    <row r="783" spans="1:17" ht="15" customHeight="1" x14ac:dyDescent="0.15">
      <c r="A783" s="6"/>
      <c r="B783" s="66"/>
      <c r="C783" s="66"/>
      <c r="D783" s="66"/>
      <c r="E783" s="66"/>
      <c r="F783" s="66"/>
      <c r="G783" s="66"/>
      <c r="H783" s="66"/>
      <c r="I783" s="66"/>
      <c r="J783" s="66"/>
      <c r="K783" s="66"/>
      <c r="L783" s="66"/>
      <c r="M783" s="66"/>
    </row>
    <row r="784" spans="1:17" ht="15" customHeight="1" x14ac:dyDescent="0.15">
      <c r="A784" s="6"/>
      <c r="B784" s="66"/>
      <c r="C784" s="66"/>
      <c r="D784" s="66"/>
      <c r="E784" s="66"/>
      <c r="F784" s="66"/>
      <c r="G784" s="66"/>
      <c r="H784" s="66"/>
      <c r="I784" s="66"/>
      <c r="J784" s="66"/>
      <c r="K784" s="66"/>
      <c r="L784" s="66"/>
      <c r="M784" s="66"/>
    </row>
    <row r="785" spans="1:13" ht="15" customHeight="1" x14ac:dyDescent="0.15">
      <c r="A785" s="6"/>
      <c r="B785" s="66"/>
      <c r="C785" s="66"/>
      <c r="D785" s="66"/>
      <c r="E785" s="66"/>
      <c r="F785" s="66"/>
      <c r="G785" s="66"/>
      <c r="H785" s="66"/>
      <c r="I785" s="66"/>
      <c r="J785" s="66"/>
      <c r="K785" s="66"/>
      <c r="L785" s="66"/>
      <c r="M785" s="66"/>
    </row>
    <row r="786" spans="1:13" ht="15" customHeight="1" x14ac:dyDescent="0.15">
      <c r="A786" s="6"/>
      <c r="B786" s="66"/>
      <c r="C786" s="66"/>
      <c r="D786" s="66"/>
      <c r="E786" s="66"/>
      <c r="F786" s="66"/>
      <c r="G786" s="66"/>
      <c r="H786" s="66"/>
      <c r="I786" s="66"/>
      <c r="J786" s="66"/>
      <c r="K786" s="66"/>
      <c r="L786" s="66"/>
      <c r="M786" s="66"/>
    </row>
    <row r="787" spans="1:13" ht="15" customHeight="1" x14ac:dyDescent="0.15">
      <c r="A787" s="6"/>
      <c r="B787" s="6"/>
      <c r="C787" s="6"/>
      <c r="D787" s="6"/>
      <c r="E787" s="6"/>
      <c r="F787" s="6"/>
      <c r="G787" s="6"/>
      <c r="H787" s="6"/>
      <c r="I787" s="6"/>
      <c r="J787" s="6"/>
      <c r="K787" s="6"/>
      <c r="L787" s="6"/>
      <c r="M787" s="6"/>
    </row>
    <row r="788" spans="1:13" ht="15" customHeight="1" x14ac:dyDescent="0.15">
      <c r="A788" s="8" t="s">
        <v>26</v>
      </c>
      <c r="B788" s="9" t="s">
        <v>27</v>
      </c>
      <c r="C788" s="6"/>
      <c r="D788" s="6"/>
      <c r="E788" s="6"/>
      <c r="F788" s="6"/>
      <c r="G788" s="6"/>
      <c r="H788" s="6"/>
      <c r="I788" s="6"/>
      <c r="J788" s="6"/>
      <c r="K788" s="6"/>
      <c r="L788" s="6"/>
      <c r="M788" s="6"/>
    </row>
    <row r="789" spans="1:13" ht="15" customHeight="1" x14ac:dyDescent="0.15">
      <c r="A789" s="12"/>
      <c r="B789" s="66" t="s">
        <v>30</v>
      </c>
      <c r="C789" s="66"/>
      <c r="D789" s="66"/>
      <c r="E789" s="66"/>
      <c r="F789" s="66" t="s">
        <v>33</v>
      </c>
      <c r="G789" s="66"/>
      <c r="H789" s="66"/>
      <c r="I789" s="66"/>
      <c r="J789" s="66" t="s">
        <v>34</v>
      </c>
      <c r="K789" s="66"/>
      <c r="L789" s="66"/>
      <c r="M789" s="66"/>
    </row>
    <row r="790" spans="1:13" ht="15" customHeight="1" x14ac:dyDescent="0.15">
      <c r="A790" s="6"/>
      <c r="B790" s="66"/>
      <c r="C790" s="66"/>
      <c r="D790" s="66"/>
      <c r="E790" s="66"/>
      <c r="F790" s="66"/>
      <c r="G790" s="66"/>
      <c r="H790" s="66"/>
      <c r="I790" s="66"/>
      <c r="J790" s="66"/>
      <c r="K790" s="66"/>
      <c r="L790" s="66"/>
      <c r="M790" s="66"/>
    </row>
    <row r="791" spans="1:13" ht="15" customHeight="1" x14ac:dyDescent="0.15">
      <c r="A791" s="6"/>
      <c r="B791" s="66"/>
      <c r="C791" s="66"/>
      <c r="D791" s="66"/>
      <c r="E791" s="66"/>
      <c r="F791" s="66"/>
      <c r="G791" s="66"/>
      <c r="H791" s="66"/>
      <c r="I791" s="66"/>
      <c r="J791" s="66"/>
      <c r="K791" s="66"/>
      <c r="L791" s="66"/>
      <c r="M791" s="66"/>
    </row>
    <row r="792" spans="1:13" ht="15" customHeight="1" x14ac:dyDescent="0.15">
      <c r="A792" s="6"/>
      <c r="B792" s="66"/>
      <c r="C792" s="66"/>
      <c r="D792" s="66"/>
      <c r="E792" s="66"/>
      <c r="F792" s="66"/>
      <c r="G792" s="66"/>
      <c r="H792" s="66"/>
      <c r="I792" s="66"/>
      <c r="J792" s="66"/>
      <c r="K792" s="66"/>
      <c r="L792" s="66"/>
      <c r="M792" s="66"/>
    </row>
    <row r="793" spans="1:13" ht="15" customHeight="1" x14ac:dyDescent="0.15">
      <c r="A793" s="6"/>
      <c r="B793" s="66"/>
      <c r="C793" s="66"/>
      <c r="D793" s="66"/>
      <c r="E793" s="66"/>
      <c r="F793" s="66"/>
      <c r="G793" s="66"/>
      <c r="H793" s="66"/>
      <c r="I793" s="66"/>
      <c r="J793" s="66"/>
      <c r="K793" s="66"/>
      <c r="L793" s="66"/>
      <c r="M793" s="66"/>
    </row>
    <row r="794" spans="1:13" ht="15" customHeight="1" x14ac:dyDescent="0.15">
      <c r="A794" s="6"/>
      <c r="B794" s="66"/>
      <c r="C794" s="66"/>
      <c r="D794" s="66"/>
      <c r="E794" s="66"/>
      <c r="F794" s="66"/>
      <c r="G794" s="66"/>
      <c r="H794" s="66"/>
      <c r="I794" s="66"/>
      <c r="J794" s="66"/>
      <c r="K794" s="66"/>
      <c r="L794" s="66"/>
      <c r="M794" s="66"/>
    </row>
    <row r="795" spans="1:13" ht="15" customHeight="1" x14ac:dyDescent="0.15">
      <c r="A795" s="6"/>
      <c r="B795" s="6"/>
      <c r="C795" s="6"/>
      <c r="D795" s="6"/>
      <c r="E795" s="6"/>
      <c r="F795" s="6"/>
      <c r="G795" s="6"/>
      <c r="H795" s="6"/>
      <c r="I795" s="6"/>
      <c r="J795" s="6"/>
      <c r="K795" s="6"/>
      <c r="L795" s="6"/>
      <c r="M795" s="6"/>
    </row>
    <row r="796" spans="1:13" ht="15" customHeight="1" x14ac:dyDescent="0.15">
      <c r="A796" s="8" t="s">
        <v>28</v>
      </c>
      <c r="B796" s="9" t="s">
        <v>29</v>
      </c>
      <c r="C796" s="6"/>
      <c r="D796" s="6"/>
      <c r="E796" s="6"/>
      <c r="F796" s="6"/>
      <c r="G796" s="6"/>
      <c r="H796" s="6"/>
      <c r="I796" s="6"/>
      <c r="J796" s="6"/>
      <c r="K796" s="6"/>
      <c r="L796" s="6"/>
      <c r="M796" s="6"/>
    </row>
    <row r="797" spans="1:13" ht="15" customHeight="1" x14ac:dyDescent="0.15">
      <c r="A797" s="6"/>
      <c r="B797" s="6" t="s">
        <v>37</v>
      </c>
      <c r="C797" s="6"/>
      <c r="D797" s="6"/>
      <c r="E797" s="6"/>
      <c r="F797" s="6"/>
      <c r="G797" s="6"/>
      <c r="H797" s="6"/>
      <c r="I797" s="6"/>
      <c r="J797" s="6"/>
      <c r="K797" s="6"/>
      <c r="L797" s="6"/>
      <c r="M797" s="6"/>
    </row>
    <row r="798" spans="1:13" ht="15" customHeight="1" x14ac:dyDescent="0.15">
      <c r="A798" s="6"/>
      <c r="B798" s="6" t="s">
        <v>38</v>
      </c>
      <c r="C798" s="65" t="s">
        <v>41</v>
      </c>
      <c r="D798" s="65"/>
      <c r="E798" s="65"/>
      <c r="F798" s="65"/>
      <c r="G798" s="65"/>
      <c r="H798" s="65"/>
      <c r="I798" s="65"/>
      <c r="J798" s="65"/>
      <c r="K798" s="65"/>
      <c r="L798" s="65"/>
      <c r="M798" s="65"/>
    </row>
    <row r="799" spans="1:13" ht="15" customHeight="1" x14ac:dyDescent="0.15">
      <c r="A799" s="6"/>
      <c r="B799" s="6"/>
      <c r="C799" s="65"/>
      <c r="D799" s="65"/>
      <c r="E799" s="65"/>
      <c r="F799" s="65"/>
      <c r="G799" s="65"/>
      <c r="H799" s="65"/>
      <c r="I799" s="65"/>
      <c r="J799" s="65"/>
      <c r="K799" s="65"/>
      <c r="L799" s="65"/>
      <c r="M799" s="65"/>
    </row>
    <row r="800" spans="1:13" ht="15" customHeight="1" x14ac:dyDescent="0.15">
      <c r="A800" s="6"/>
      <c r="B800" s="6" t="s">
        <v>39</v>
      </c>
      <c r="C800" s="64" t="s">
        <v>40</v>
      </c>
      <c r="D800" s="64"/>
      <c r="E800" s="64"/>
      <c r="F800" s="64"/>
      <c r="G800" s="64"/>
      <c r="H800" s="64"/>
      <c r="I800" s="64"/>
      <c r="J800" s="64"/>
      <c r="K800" s="64"/>
      <c r="L800" s="64"/>
      <c r="M800" s="64"/>
    </row>
    <row r="801" spans="1:13" ht="15" customHeight="1" x14ac:dyDescent="0.15">
      <c r="A801" s="6"/>
      <c r="B801" s="6" t="s">
        <v>42</v>
      </c>
      <c r="C801" s="64" t="s">
        <v>43</v>
      </c>
      <c r="D801" s="64"/>
      <c r="E801" s="64"/>
      <c r="F801" s="64"/>
      <c r="G801" s="64"/>
      <c r="H801" s="64"/>
      <c r="I801" s="64"/>
      <c r="J801" s="64"/>
      <c r="K801" s="64"/>
      <c r="L801" s="64"/>
      <c r="M801" s="64"/>
    </row>
    <row r="802" spans="1:13" ht="15" customHeight="1" x14ac:dyDescent="0.15">
      <c r="A802" s="6"/>
      <c r="B802" s="6" t="s">
        <v>44</v>
      </c>
      <c r="C802" s="64" t="s">
        <v>45</v>
      </c>
      <c r="D802" s="64"/>
      <c r="E802" s="64"/>
      <c r="F802" s="64"/>
      <c r="G802" s="64"/>
      <c r="H802" s="64"/>
      <c r="I802" s="64"/>
      <c r="J802" s="64"/>
      <c r="K802" s="64"/>
      <c r="L802" s="64"/>
      <c r="M802" s="64"/>
    </row>
    <row r="803" spans="1:13" ht="15" customHeight="1" x14ac:dyDescent="0.15">
      <c r="A803" s="6"/>
      <c r="B803" s="6" t="s">
        <v>46</v>
      </c>
      <c r="C803" s="64" t="s">
        <v>47</v>
      </c>
      <c r="D803" s="64"/>
      <c r="E803" s="64"/>
      <c r="F803" s="64"/>
      <c r="G803" s="64"/>
      <c r="H803" s="64"/>
      <c r="I803" s="64"/>
      <c r="J803" s="64"/>
      <c r="K803" s="64"/>
      <c r="L803" s="64"/>
      <c r="M803" s="64"/>
    </row>
    <row r="804" spans="1:13" ht="15" customHeight="1" x14ac:dyDescent="0.15">
      <c r="A804" s="6"/>
      <c r="B804" s="6" t="s">
        <v>50</v>
      </c>
      <c r="C804" s="64" t="s">
        <v>48</v>
      </c>
      <c r="D804" s="64"/>
      <c r="E804" s="64"/>
      <c r="F804" s="64"/>
      <c r="G804" s="64"/>
      <c r="H804" s="64"/>
      <c r="I804" s="64"/>
      <c r="J804" s="64"/>
      <c r="K804" s="64"/>
      <c r="L804" s="64"/>
      <c r="M804" s="64"/>
    </row>
    <row r="805" spans="1:13" ht="15" customHeight="1" x14ac:dyDescent="0.15">
      <c r="A805" s="6"/>
      <c r="B805" s="6" t="s">
        <v>51</v>
      </c>
      <c r="C805" s="64" t="s">
        <v>49</v>
      </c>
      <c r="D805" s="64"/>
      <c r="E805" s="64"/>
      <c r="F805" s="64"/>
      <c r="G805" s="64"/>
      <c r="H805" s="64"/>
      <c r="I805" s="64"/>
      <c r="J805" s="64"/>
      <c r="K805" s="64"/>
      <c r="L805" s="64"/>
      <c r="M805" s="64"/>
    </row>
    <row r="806" spans="1:13" ht="15" customHeight="1" x14ac:dyDescent="0.15">
      <c r="A806" s="6"/>
      <c r="B806" s="6" t="s">
        <v>52</v>
      </c>
      <c r="C806" s="64" t="s">
        <v>154</v>
      </c>
      <c r="D806" s="64"/>
      <c r="E806" s="64"/>
      <c r="F806" s="64"/>
      <c r="G806" s="64"/>
      <c r="H806" s="64"/>
      <c r="I806" s="64"/>
      <c r="J806" s="64"/>
      <c r="K806" s="64"/>
      <c r="L806" s="64"/>
      <c r="M806" s="64"/>
    </row>
    <row r="807" spans="1:13" ht="15" customHeight="1" x14ac:dyDescent="0.15">
      <c r="A807" s="6"/>
      <c r="B807" s="6" t="s">
        <v>53</v>
      </c>
      <c r="C807" s="65" t="s">
        <v>54</v>
      </c>
      <c r="D807" s="65"/>
      <c r="E807" s="65"/>
      <c r="F807" s="65"/>
      <c r="G807" s="65"/>
      <c r="H807" s="65"/>
      <c r="I807" s="65"/>
      <c r="J807" s="65"/>
      <c r="K807" s="65"/>
      <c r="L807" s="65"/>
      <c r="M807" s="65"/>
    </row>
    <row r="808" spans="1:13" ht="15" customHeight="1" x14ac:dyDescent="0.15">
      <c r="A808" s="6"/>
      <c r="B808" s="6"/>
      <c r="C808" s="65"/>
      <c r="D808" s="65"/>
      <c r="E808" s="65"/>
      <c r="F808" s="65"/>
      <c r="G808" s="65"/>
      <c r="H808" s="65"/>
      <c r="I808" s="65"/>
      <c r="J808" s="65"/>
      <c r="K808" s="65"/>
      <c r="L808" s="65"/>
      <c r="M808" s="65"/>
    </row>
    <row r="809" spans="1:13" ht="15" customHeight="1" x14ac:dyDescent="0.15">
      <c r="A809" s="6"/>
      <c r="B809" s="6"/>
      <c r="C809" s="6"/>
      <c r="D809" s="6"/>
      <c r="E809" s="6"/>
      <c r="F809" s="6"/>
      <c r="G809" s="6"/>
      <c r="H809" s="6"/>
      <c r="I809" s="6"/>
      <c r="J809" s="6"/>
      <c r="K809" s="6"/>
      <c r="L809" s="6"/>
      <c r="M809" s="6"/>
    </row>
    <row r="810" spans="1:13" ht="15" customHeight="1" x14ac:dyDescent="0.15">
      <c r="A810" s="6"/>
      <c r="B810" s="6"/>
      <c r="C810" s="6"/>
      <c r="D810" s="6"/>
      <c r="E810" s="6"/>
      <c r="F810" s="6"/>
      <c r="G810" s="6"/>
      <c r="H810" s="6"/>
      <c r="I810" s="6"/>
      <c r="J810" s="6"/>
      <c r="K810" s="6"/>
      <c r="L810" s="6"/>
      <c r="M810" s="13" t="str">
        <f>[94]Base_01!$C$4&amp;", …..  …........................  2026"</f>
        <v>Sorong, …..  …........................  2026</v>
      </c>
    </row>
    <row r="811" spans="1:13" ht="15" customHeight="1" x14ac:dyDescent="0.15">
      <c r="A811" s="6"/>
      <c r="B811" s="6"/>
      <c r="C811" s="6"/>
      <c r="D811" s="6"/>
      <c r="E811" s="6"/>
      <c r="F811" s="6"/>
      <c r="G811" s="6"/>
      <c r="H811" s="6"/>
      <c r="I811" s="6"/>
      <c r="J811" s="6"/>
      <c r="K811" s="6"/>
      <c r="L811" s="6"/>
      <c r="M811" s="6"/>
    </row>
    <row r="812" spans="1:13" ht="15" customHeight="1" x14ac:dyDescent="0.15">
      <c r="A812" s="6"/>
      <c r="B812" s="63" t="s">
        <v>57</v>
      </c>
      <c r="C812" s="63"/>
      <c r="D812" s="63"/>
      <c r="E812" s="63"/>
      <c r="F812" s="63" t="s">
        <v>56</v>
      </c>
      <c r="G812" s="63"/>
      <c r="H812" s="63"/>
      <c r="I812" s="63"/>
      <c r="J812" s="6"/>
      <c r="K812" s="6"/>
      <c r="L812" s="6"/>
      <c r="M812" s="6"/>
    </row>
    <row r="813" spans="1:13" ht="15" customHeight="1" x14ac:dyDescent="0.15">
      <c r="A813" s="6"/>
      <c r="B813" s="63" t="s">
        <v>60</v>
      </c>
      <c r="C813" s="63"/>
      <c r="D813" s="63"/>
      <c r="E813" s="63"/>
      <c r="F813" s="63" t="s">
        <v>58</v>
      </c>
      <c r="G813" s="63"/>
      <c r="H813" s="63"/>
      <c r="I813" s="63"/>
      <c r="J813" s="63" t="s">
        <v>55</v>
      </c>
      <c r="K813" s="63"/>
      <c r="L813" s="63"/>
      <c r="M813" s="63"/>
    </row>
    <row r="814" spans="1:13" ht="15" customHeight="1" x14ac:dyDescent="0.15">
      <c r="A814" s="6"/>
      <c r="B814" s="63" t="str">
        <f>[94]Base_01!$B$4&amp;" "&amp;[94]Base_01!$C$4</f>
        <v>Kota Sorong</v>
      </c>
      <c r="C814" s="63"/>
      <c r="D814" s="63"/>
      <c r="E814" s="63"/>
      <c r="F814" s="63" t="s">
        <v>59</v>
      </c>
      <c r="G814" s="63"/>
      <c r="H814" s="63"/>
      <c r="I814" s="63"/>
      <c r="J814" s="6"/>
      <c r="K814" s="6"/>
      <c r="L814" s="6"/>
      <c r="M814" s="6"/>
    </row>
    <row r="815" spans="1:13" ht="15" customHeight="1" x14ac:dyDescent="0.15">
      <c r="A815" s="6"/>
      <c r="B815" s="14"/>
      <c r="C815" s="14"/>
      <c r="D815" s="14"/>
      <c r="E815" s="14"/>
      <c r="F815" s="14"/>
      <c r="G815" s="14"/>
      <c r="H815" s="14"/>
      <c r="I815" s="6"/>
      <c r="J815" s="6"/>
      <c r="K815" s="6"/>
      <c r="L815" s="6"/>
      <c r="M815" s="6"/>
    </row>
    <row r="816" spans="1:13" ht="15" customHeight="1" x14ac:dyDescent="0.15">
      <c r="A816" s="6"/>
      <c r="B816" s="14"/>
      <c r="C816" s="14"/>
      <c r="D816" s="14"/>
      <c r="E816" s="14"/>
      <c r="F816" s="14"/>
      <c r="G816" s="14"/>
      <c r="H816" s="14"/>
      <c r="I816" s="6"/>
      <c r="J816" s="6"/>
      <c r="K816" s="6"/>
      <c r="L816" s="6"/>
      <c r="M816" s="6"/>
    </row>
    <row r="817" spans="1:14" ht="15" customHeight="1" x14ac:dyDescent="0.15">
      <c r="A817" s="6"/>
      <c r="B817" s="6"/>
      <c r="C817" s="6"/>
      <c r="D817" s="6"/>
      <c r="E817" s="6"/>
      <c r="F817" s="6"/>
      <c r="G817" s="6"/>
      <c r="H817" s="6"/>
      <c r="I817" s="6"/>
      <c r="J817" s="6"/>
      <c r="K817" s="6"/>
      <c r="L817" s="6"/>
      <c r="M817" s="6"/>
    </row>
    <row r="818" spans="1:14" ht="15" customHeight="1" x14ac:dyDescent="0.15">
      <c r="A818" s="6"/>
      <c r="B818" s="6"/>
      <c r="C818" s="6"/>
      <c r="D818" s="6"/>
      <c r="E818" s="6"/>
      <c r="F818" s="6"/>
      <c r="G818" s="6"/>
      <c r="H818" s="6"/>
      <c r="I818" s="6"/>
      <c r="J818" s="6"/>
      <c r="K818" s="6"/>
      <c r="L818" s="6"/>
      <c r="M818" s="6"/>
    </row>
    <row r="819" spans="1:14" ht="15" customHeight="1" x14ac:dyDescent="0.15">
      <c r="A819" s="6"/>
      <c r="B819" s="63" t="str">
        <f>[94]Base_01!$C$17</f>
        <v>AfrIandi Yudhistira, S.T.</v>
      </c>
      <c r="C819" s="63"/>
      <c r="D819" s="63"/>
      <c r="E819" s="63"/>
      <c r="F819" s="63" t="str">
        <f>[94]Base_01!$C$20</f>
        <v>…...............         …...............</v>
      </c>
      <c r="G819" s="63"/>
      <c r="H819" s="63"/>
      <c r="I819" s="63"/>
      <c r="J819" s="63" t="str">
        <f>G761</f>
        <v>Nama PB 13</v>
      </c>
      <c r="K819" s="63"/>
      <c r="L819" s="63"/>
      <c r="M819" s="63"/>
    </row>
    <row r="820" spans="1:14" ht="16" customHeight="1" x14ac:dyDescent="0.15">
      <c r="A820" s="67" t="s">
        <v>14</v>
      </c>
      <c r="B820" s="67"/>
      <c r="C820" s="67"/>
      <c r="D820" s="67"/>
      <c r="E820" s="67"/>
      <c r="F820" s="67"/>
      <c r="G820" s="67"/>
      <c r="H820" s="67"/>
      <c r="I820" s="67"/>
      <c r="J820" s="67"/>
      <c r="K820" s="67"/>
      <c r="L820" s="67"/>
      <c r="M820" s="67"/>
      <c r="N820" s="5">
        <f>N757+1</f>
        <v>14</v>
      </c>
    </row>
    <row r="821" spans="1:14" ht="16" customHeight="1" x14ac:dyDescent="0.15">
      <c r="A821" s="67" t="str">
        <f>"NOMOR "&amp;VLOOKUP($N820,[94]Base_02!$A$5:$AD$24,2,0)</f>
        <v>NOMOR 000014</v>
      </c>
      <c r="B821" s="67"/>
      <c r="C821" s="67"/>
      <c r="D821" s="67"/>
      <c r="E821" s="67"/>
      <c r="F821" s="67"/>
      <c r="G821" s="67"/>
      <c r="H821" s="67"/>
      <c r="I821" s="67"/>
      <c r="J821" s="67"/>
      <c r="K821" s="67"/>
      <c r="L821" s="67"/>
      <c r="M821" s="67"/>
    </row>
    <row r="822" spans="1:14" x14ac:dyDescent="0.15">
      <c r="A822" s="6"/>
      <c r="B822" s="7"/>
      <c r="C822" s="7"/>
      <c r="D822" s="7"/>
      <c r="E822" s="7"/>
      <c r="F822" s="7"/>
      <c r="G822" s="7"/>
      <c r="H822" s="7"/>
      <c r="I822" s="7"/>
      <c r="J822" s="7"/>
      <c r="K822" s="6"/>
      <c r="L822" s="6"/>
      <c r="M822" s="6"/>
    </row>
    <row r="823" spans="1:14" ht="15" customHeight="1" x14ac:dyDescent="0.15">
      <c r="A823" s="8" t="s">
        <v>13</v>
      </c>
      <c r="B823" s="9" t="s">
        <v>15</v>
      </c>
      <c r="C823" s="6"/>
      <c r="D823" s="6"/>
      <c r="E823" s="6"/>
      <c r="F823" s="6"/>
      <c r="G823" s="6"/>
      <c r="H823" s="6"/>
      <c r="I823" s="6"/>
      <c r="J823" s="6"/>
      <c r="K823" s="6"/>
      <c r="L823" s="6"/>
      <c r="M823" s="6"/>
    </row>
    <row r="824" spans="1:14" ht="15" customHeight="1" x14ac:dyDescent="0.15">
      <c r="A824" s="6"/>
      <c r="B824" s="57" t="s">
        <v>16</v>
      </c>
      <c r="C824" s="57"/>
      <c r="D824" s="57"/>
      <c r="E824" s="57"/>
      <c r="F824" s="57"/>
      <c r="G824" s="6" t="str">
        <f>VLOOKUP($N820,[94]Base_02!$A$5:$AD$24,3,0)</f>
        <v>Nama PB 14</v>
      </c>
      <c r="H824" s="6"/>
      <c r="I824" s="6"/>
      <c r="J824" s="6"/>
      <c r="K824" s="6"/>
      <c r="L824" s="6"/>
      <c r="M824" s="6"/>
    </row>
    <row r="825" spans="1:14" ht="15" customHeight="1" x14ac:dyDescent="0.15">
      <c r="A825" s="6"/>
      <c r="B825" s="57" t="s">
        <v>17</v>
      </c>
      <c r="C825" s="57"/>
      <c r="D825" s="57"/>
      <c r="E825" s="57"/>
      <c r="F825" s="57"/>
      <c r="G825" s="6">
        <f>VLOOKUP($N820,[94]Base_02!$A$5:$AD$24,14,0)</f>
        <v>0</v>
      </c>
      <c r="H825" s="6"/>
      <c r="I825" s="6"/>
      <c r="J825" s="6"/>
      <c r="K825" s="6"/>
      <c r="L825" s="6"/>
      <c r="M825" s="6"/>
    </row>
    <row r="826" spans="1:14" ht="15" customHeight="1" x14ac:dyDescent="0.15">
      <c r="A826" s="6"/>
      <c r="B826" s="57" t="s">
        <v>18</v>
      </c>
      <c r="C826" s="57"/>
      <c r="D826" s="57"/>
      <c r="E826" s="57"/>
      <c r="F826" s="57"/>
      <c r="G826" s="6" t="str">
        <f>VLOOKUP(N820,[94]Base_02!$A$5:$Z$24,11,FALSE)&amp;", RT "&amp;VLOOKUP(N820,[94]Base_02!$A$5:$Z$24,12,FALSE)&amp;", RW "&amp;VLOOKUP(N820,[94]Base_02!$A$5:$Z$24,13,FALSE)</f>
        <v>Jalan Kanal Victory, RT 2, RW 1</v>
      </c>
      <c r="H826" s="6"/>
      <c r="I826" s="6"/>
      <c r="J826" s="6"/>
      <c r="K826" s="6"/>
      <c r="L826" s="6"/>
      <c r="M826" s="6"/>
    </row>
    <row r="827" spans="1:14" ht="15" customHeight="1" x14ac:dyDescent="0.15">
      <c r="A827" s="6"/>
      <c r="B827" s="57" t="str">
        <f>[94]Base_01!$B$2</f>
        <v>Kelurahan</v>
      </c>
      <c r="C827" s="57"/>
      <c r="D827" s="57"/>
      <c r="E827" s="57"/>
      <c r="F827" s="57"/>
      <c r="G827" s="10" t="str">
        <f>[94]Base_01!$C$2</f>
        <v>Klasabi</v>
      </c>
      <c r="H827" s="6"/>
      <c r="I827" s="6"/>
      <c r="J827" s="6"/>
      <c r="K827" s="6"/>
      <c r="L827" s="6"/>
      <c r="M827" s="6"/>
    </row>
    <row r="828" spans="1:14" ht="15" customHeight="1" x14ac:dyDescent="0.15">
      <c r="A828" s="6"/>
      <c r="B828" s="57" t="s">
        <v>19</v>
      </c>
      <c r="C828" s="57"/>
      <c r="D828" s="57"/>
      <c r="E828" s="57"/>
      <c r="F828" s="57"/>
      <c r="G828" s="10" t="str">
        <f>[94]Base_01!$C$3</f>
        <v>Sorong Manoi</v>
      </c>
      <c r="H828" s="6"/>
      <c r="I828" s="6"/>
      <c r="J828" s="6"/>
      <c r="K828" s="6"/>
      <c r="L828" s="6"/>
      <c r="M828" s="6"/>
    </row>
    <row r="829" spans="1:14" ht="15" customHeight="1" x14ac:dyDescent="0.15">
      <c r="A829" s="6"/>
      <c r="B829" s="57" t="str">
        <f>[94]Base_01!$B$4</f>
        <v>Kota</v>
      </c>
      <c r="C829" s="57"/>
      <c r="D829" s="57"/>
      <c r="E829" s="57"/>
      <c r="F829" s="57"/>
      <c r="G829" s="10" t="str">
        <f>[94]Base_01!$C$4</f>
        <v>Sorong</v>
      </c>
      <c r="H829" s="6"/>
      <c r="I829" s="6"/>
      <c r="J829" s="6"/>
      <c r="K829" s="6"/>
      <c r="L829" s="6"/>
      <c r="M829" s="6"/>
    </row>
    <row r="830" spans="1:14" ht="15" customHeight="1" x14ac:dyDescent="0.15">
      <c r="A830" s="6"/>
      <c r="B830" s="57" t="s">
        <v>20</v>
      </c>
      <c r="C830" s="57"/>
      <c r="D830" s="57"/>
      <c r="E830" s="57"/>
      <c r="F830" s="57"/>
      <c r="G830" s="11" t="str">
        <f>[94]Base_01!$C$5</f>
        <v>Papua Barat Daya</v>
      </c>
      <c r="H830" s="6"/>
      <c r="I830" s="6"/>
      <c r="J830" s="6"/>
      <c r="K830" s="6"/>
      <c r="L830" s="6"/>
      <c r="M830" s="6"/>
    </row>
    <row r="831" spans="1:14" ht="15" customHeight="1" x14ac:dyDescent="0.15">
      <c r="A831" s="6"/>
      <c r="B831" s="57" t="s">
        <v>21</v>
      </c>
      <c r="C831" s="57"/>
      <c r="D831" s="57"/>
      <c r="E831" s="57"/>
      <c r="F831" s="57"/>
      <c r="G831" s="6" t="str">
        <f>VLOOKUP($N820,[94]Base_02!$A$5:$AG$24,32,0)&amp;" - "&amp;VLOOKUP($N820,[94]Base_02!$A$5:$AG$24,31,0)</f>
        <v>1600006544312 - Bank Mandiri</v>
      </c>
      <c r="H831" s="6"/>
      <c r="I831" s="6"/>
      <c r="J831" s="6"/>
      <c r="K831" s="6"/>
      <c r="L831" s="6"/>
      <c r="M831" s="6"/>
    </row>
    <row r="832" spans="1:14" ht="15" customHeight="1" x14ac:dyDescent="0.15">
      <c r="A832" s="6"/>
      <c r="B832" s="6"/>
      <c r="C832" s="6"/>
      <c r="D832" s="6"/>
      <c r="E832" s="6"/>
      <c r="F832" s="6"/>
      <c r="G832" s="6"/>
      <c r="H832" s="6"/>
      <c r="I832" s="6"/>
      <c r="J832" s="6"/>
      <c r="K832" s="6"/>
      <c r="L832" s="6"/>
      <c r="M832" s="6"/>
    </row>
    <row r="833" spans="1:17" ht="15" customHeight="1" x14ac:dyDescent="0.15">
      <c r="A833" s="8" t="s">
        <v>22</v>
      </c>
      <c r="B833" s="9" t="s">
        <v>23</v>
      </c>
      <c r="C833" s="6"/>
      <c r="D833" s="6"/>
      <c r="E833" s="6"/>
      <c r="F833" s="6"/>
      <c r="G833" s="6"/>
      <c r="H833" s="6"/>
      <c r="I833" s="6"/>
      <c r="J833" s="6"/>
      <c r="K833" s="6"/>
      <c r="L833" s="6"/>
      <c r="M833" s="6"/>
    </row>
    <row r="834" spans="1:17" ht="15" customHeight="1" x14ac:dyDescent="0.15">
      <c r="A834" s="6"/>
      <c r="B834" s="66" t="s">
        <v>30</v>
      </c>
      <c r="C834" s="66"/>
      <c r="D834" s="66"/>
      <c r="E834" s="66"/>
      <c r="F834" s="66" t="s">
        <v>31</v>
      </c>
      <c r="G834" s="66"/>
      <c r="H834" s="66"/>
      <c r="I834" s="66"/>
      <c r="J834" s="66" t="s">
        <v>32</v>
      </c>
      <c r="K834" s="66"/>
      <c r="L834" s="66"/>
      <c r="M834" s="66"/>
      <c r="O834" s="15" t="s">
        <v>61</v>
      </c>
    </row>
    <row r="835" spans="1:17" ht="15" customHeight="1" x14ac:dyDescent="0.15">
      <c r="A835" s="6"/>
      <c r="B835" s="66"/>
      <c r="C835" s="66"/>
      <c r="D835" s="66"/>
      <c r="E835" s="66"/>
      <c r="F835" s="66"/>
      <c r="G835" s="66"/>
      <c r="H835" s="66"/>
      <c r="I835" s="66"/>
      <c r="J835" s="66"/>
      <c r="K835" s="66"/>
      <c r="L835" s="66"/>
      <c r="M835" s="66"/>
      <c r="Q835" s="5" t="s">
        <v>62</v>
      </c>
    </row>
    <row r="836" spans="1:17" ht="15" customHeight="1" x14ac:dyDescent="0.15">
      <c r="A836" s="6"/>
      <c r="B836" s="66"/>
      <c r="C836" s="66"/>
      <c r="D836" s="66"/>
      <c r="E836" s="66"/>
      <c r="F836" s="66"/>
      <c r="G836" s="66"/>
      <c r="H836" s="66"/>
      <c r="I836" s="66"/>
      <c r="J836" s="66"/>
      <c r="K836" s="66"/>
      <c r="L836" s="66"/>
      <c r="M836" s="66"/>
    </row>
    <row r="837" spans="1:17" ht="15" customHeight="1" x14ac:dyDescent="0.15">
      <c r="A837" s="6"/>
      <c r="B837" s="66"/>
      <c r="C837" s="66"/>
      <c r="D837" s="66"/>
      <c r="E837" s="66"/>
      <c r="F837" s="66"/>
      <c r="G837" s="66"/>
      <c r="H837" s="66"/>
      <c r="I837" s="66"/>
      <c r="J837" s="66"/>
      <c r="K837" s="66"/>
      <c r="L837" s="66"/>
      <c r="M837" s="66"/>
    </row>
    <row r="838" spans="1:17" ht="15" customHeight="1" x14ac:dyDescent="0.15">
      <c r="A838" s="6"/>
      <c r="B838" s="66"/>
      <c r="C838" s="66"/>
      <c r="D838" s="66"/>
      <c r="E838" s="66"/>
      <c r="F838" s="66"/>
      <c r="G838" s="66"/>
      <c r="H838" s="66"/>
      <c r="I838" s="66"/>
      <c r="J838" s="66"/>
      <c r="K838" s="66"/>
      <c r="L838" s="66"/>
      <c r="M838" s="66"/>
    </row>
    <row r="839" spans="1:17" ht="15" customHeight="1" x14ac:dyDescent="0.15">
      <c r="A839" s="6"/>
      <c r="B839" s="66"/>
      <c r="C839" s="66"/>
      <c r="D839" s="66"/>
      <c r="E839" s="66"/>
      <c r="F839" s="66"/>
      <c r="G839" s="66"/>
      <c r="H839" s="66"/>
      <c r="I839" s="66"/>
      <c r="J839" s="66"/>
      <c r="K839" s="66"/>
      <c r="L839" s="66"/>
      <c r="M839" s="66"/>
    </row>
    <row r="840" spans="1:17" ht="15" customHeight="1" x14ac:dyDescent="0.15">
      <c r="A840" s="6"/>
      <c r="B840" s="6"/>
      <c r="C840" s="6"/>
      <c r="D840" s="6"/>
      <c r="E840" s="6"/>
      <c r="F840" s="6"/>
      <c r="G840" s="6"/>
      <c r="H840" s="6"/>
      <c r="I840" s="6"/>
      <c r="J840" s="6"/>
      <c r="K840" s="6"/>
      <c r="L840" s="6"/>
      <c r="M840" s="6"/>
    </row>
    <row r="841" spans="1:17" ht="15" customHeight="1" x14ac:dyDescent="0.15">
      <c r="A841" s="8" t="s">
        <v>24</v>
      </c>
      <c r="B841" s="9" t="s">
        <v>25</v>
      </c>
      <c r="C841" s="6"/>
      <c r="D841" s="6"/>
      <c r="E841" s="6"/>
      <c r="F841" s="6"/>
      <c r="G841" s="6"/>
      <c r="H841" s="6"/>
      <c r="I841" s="6"/>
      <c r="J841" s="6"/>
      <c r="K841" s="6"/>
      <c r="L841" s="6"/>
      <c r="M841" s="6"/>
    </row>
    <row r="842" spans="1:17" ht="15" customHeight="1" x14ac:dyDescent="0.15">
      <c r="A842" s="12"/>
      <c r="B842" s="66" t="s">
        <v>35</v>
      </c>
      <c r="C842" s="66"/>
      <c r="D842" s="66"/>
      <c r="E842" s="66"/>
      <c r="F842" s="66"/>
      <c r="G842" s="66"/>
      <c r="H842" s="66" t="s">
        <v>36</v>
      </c>
      <c r="I842" s="66"/>
      <c r="J842" s="66"/>
      <c r="K842" s="66"/>
      <c r="L842" s="66"/>
      <c r="M842" s="66"/>
    </row>
    <row r="843" spans="1:17" ht="15" customHeight="1" x14ac:dyDescent="0.15">
      <c r="A843" s="6"/>
      <c r="B843" s="66"/>
      <c r="C843" s="66"/>
      <c r="D843" s="66"/>
      <c r="E843" s="66"/>
      <c r="F843" s="66"/>
      <c r="G843" s="66"/>
      <c r="H843" s="66"/>
      <c r="I843" s="66"/>
      <c r="J843" s="66"/>
      <c r="K843" s="66"/>
      <c r="L843" s="66"/>
      <c r="M843" s="66"/>
    </row>
    <row r="844" spans="1:17" ht="15" customHeight="1" x14ac:dyDescent="0.15">
      <c r="A844" s="6"/>
      <c r="B844" s="66"/>
      <c r="C844" s="66"/>
      <c r="D844" s="66"/>
      <c r="E844" s="66"/>
      <c r="F844" s="66"/>
      <c r="G844" s="66"/>
      <c r="H844" s="66"/>
      <c r="I844" s="66"/>
      <c r="J844" s="66"/>
      <c r="K844" s="66"/>
      <c r="L844" s="66"/>
      <c r="M844" s="66"/>
    </row>
    <row r="845" spans="1:17" ht="15" customHeight="1" x14ac:dyDescent="0.15">
      <c r="A845" s="6"/>
      <c r="B845" s="66"/>
      <c r="C845" s="66"/>
      <c r="D845" s="66"/>
      <c r="E845" s="66"/>
      <c r="F845" s="66"/>
      <c r="G845" s="66"/>
      <c r="H845" s="66"/>
      <c r="I845" s="66"/>
      <c r="J845" s="66"/>
      <c r="K845" s="66"/>
      <c r="L845" s="66"/>
      <c r="M845" s="66"/>
    </row>
    <row r="846" spans="1:17" ht="15" customHeight="1" x14ac:dyDescent="0.15">
      <c r="A846" s="6"/>
      <c r="B846" s="66"/>
      <c r="C846" s="66"/>
      <c r="D846" s="66"/>
      <c r="E846" s="66"/>
      <c r="F846" s="66"/>
      <c r="G846" s="66"/>
      <c r="H846" s="66"/>
      <c r="I846" s="66"/>
      <c r="J846" s="66"/>
      <c r="K846" s="66"/>
      <c r="L846" s="66"/>
      <c r="M846" s="66"/>
    </row>
    <row r="847" spans="1:17" ht="15" customHeight="1" x14ac:dyDescent="0.15">
      <c r="A847" s="6"/>
      <c r="B847" s="66"/>
      <c r="C847" s="66"/>
      <c r="D847" s="66"/>
      <c r="E847" s="66"/>
      <c r="F847" s="66"/>
      <c r="G847" s="66"/>
      <c r="H847" s="66"/>
      <c r="I847" s="66"/>
      <c r="J847" s="66"/>
      <c r="K847" s="66"/>
      <c r="L847" s="66"/>
      <c r="M847" s="66"/>
    </row>
    <row r="848" spans="1:17" ht="15" customHeight="1" x14ac:dyDescent="0.15">
      <c r="A848" s="6"/>
      <c r="B848" s="66"/>
      <c r="C848" s="66"/>
      <c r="D848" s="66"/>
      <c r="E848" s="66"/>
      <c r="F848" s="66"/>
      <c r="G848" s="66"/>
      <c r="H848" s="66"/>
      <c r="I848" s="66"/>
      <c r="J848" s="66"/>
      <c r="K848" s="66"/>
      <c r="L848" s="66"/>
      <c r="M848" s="66"/>
    </row>
    <row r="849" spans="1:13" ht="15" customHeight="1" x14ac:dyDescent="0.15">
      <c r="A849" s="6"/>
      <c r="B849" s="66"/>
      <c r="C849" s="66"/>
      <c r="D849" s="66"/>
      <c r="E849" s="66"/>
      <c r="F849" s="66"/>
      <c r="G849" s="66"/>
      <c r="H849" s="66"/>
      <c r="I849" s="66"/>
      <c r="J849" s="66"/>
      <c r="K849" s="66"/>
      <c r="L849" s="66"/>
      <c r="M849" s="66"/>
    </row>
    <row r="850" spans="1:13" ht="15" customHeight="1" x14ac:dyDescent="0.15">
      <c r="A850" s="6"/>
      <c r="B850" s="6"/>
      <c r="C850" s="6"/>
      <c r="D850" s="6"/>
      <c r="E850" s="6"/>
      <c r="F850" s="6"/>
      <c r="G850" s="6"/>
      <c r="H850" s="6"/>
      <c r="I850" s="6"/>
      <c r="J850" s="6"/>
      <c r="K850" s="6"/>
      <c r="L850" s="6"/>
      <c r="M850" s="6"/>
    </row>
    <row r="851" spans="1:13" ht="15" customHeight="1" x14ac:dyDescent="0.15">
      <c r="A851" s="8" t="s">
        <v>26</v>
      </c>
      <c r="B851" s="9" t="s">
        <v>27</v>
      </c>
      <c r="C851" s="6"/>
      <c r="D851" s="6"/>
      <c r="E851" s="6"/>
      <c r="F851" s="6"/>
      <c r="G851" s="6"/>
      <c r="H851" s="6"/>
      <c r="I851" s="6"/>
      <c r="J851" s="6"/>
      <c r="K851" s="6"/>
      <c r="L851" s="6"/>
      <c r="M851" s="6"/>
    </row>
    <row r="852" spans="1:13" ht="15" customHeight="1" x14ac:dyDescent="0.15">
      <c r="A852" s="12"/>
      <c r="B852" s="66" t="s">
        <v>30</v>
      </c>
      <c r="C852" s="66"/>
      <c r="D852" s="66"/>
      <c r="E852" s="66"/>
      <c r="F852" s="66" t="s">
        <v>33</v>
      </c>
      <c r="G852" s="66"/>
      <c r="H852" s="66"/>
      <c r="I852" s="66"/>
      <c r="J852" s="66" t="s">
        <v>34</v>
      </c>
      <c r="K852" s="66"/>
      <c r="L852" s="66"/>
      <c r="M852" s="66"/>
    </row>
    <row r="853" spans="1:13" ht="15" customHeight="1" x14ac:dyDescent="0.15">
      <c r="A853" s="6"/>
      <c r="B853" s="66"/>
      <c r="C853" s="66"/>
      <c r="D853" s="66"/>
      <c r="E853" s="66"/>
      <c r="F853" s="66"/>
      <c r="G853" s="66"/>
      <c r="H853" s="66"/>
      <c r="I853" s="66"/>
      <c r="J853" s="66"/>
      <c r="K853" s="66"/>
      <c r="L853" s="66"/>
      <c r="M853" s="66"/>
    </row>
    <row r="854" spans="1:13" ht="15" customHeight="1" x14ac:dyDescent="0.15">
      <c r="A854" s="6"/>
      <c r="B854" s="66"/>
      <c r="C854" s="66"/>
      <c r="D854" s="66"/>
      <c r="E854" s="66"/>
      <c r="F854" s="66"/>
      <c r="G854" s="66"/>
      <c r="H854" s="66"/>
      <c r="I854" s="66"/>
      <c r="J854" s="66"/>
      <c r="K854" s="66"/>
      <c r="L854" s="66"/>
      <c r="M854" s="66"/>
    </row>
    <row r="855" spans="1:13" ht="15" customHeight="1" x14ac:dyDescent="0.15">
      <c r="A855" s="6"/>
      <c r="B855" s="66"/>
      <c r="C855" s="66"/>
      <c r="D855" s="66"/>
      <c r="E855" s="66"/>
      <c r="F855" s="66"/>
      <c r="G855" s="66"/>
      <c r="H855" s="66"/>
      <c r="I855" s="66"/>
      <c r="J855" s="66"/>
      <c r="K855" s="66"/>
      <c r="L855" s="66"/>
      <c r="M855" s="66"/>
    </row>
    <row r="856" spans="1:13" ht="15" customHeight="1" x14ac:dyDescent="0.15">
      <c r="A856" s="6"/>
      <c r="B856" s="66"/>
      <c r="C856" s="66"/>
      <c r="D856" s="66"/>
      <c r="E856" s="66"/>
      <c r="F856" s="66"/>
      <c r="G856" s="66"/>
      <c r="H856" s="66"/>
      <c r="I856" s="66"/>
      <c r="J856" s="66"/>
      <c r="K856" s="66"/>
      <c r="L856" s="66"/>
      <c r="M856" s="66"/>
    </row>
    <row r="857" spans="1:13" ht="15" customHeight="1" x14ac:dyDescent="0.15">
      <c r="A857" s="6"/>
      <c r="B857" s="66"/>
      <c r="C857" s="66"/>
      <c r="D857" s="66"/>
      <c r="E857" s="66"/>
      <c r="F857" s="66"/>
      <c r="G857" s="66"/>
      <c r="H857" s="66"/>
      <c r="I857" s="66"/>
      <c r="J857" s="66"/>
      <c r="K857" s="66"/>
      <c r="L857" s="66"/>
      <c r="M857" s="66"/>
    </row>
    <row r="858" spans="1:13" ht="15" customHeight="1" x14ac:dyDescent="0.15">
      <c r="A858" s="6"/>
      <c r="B858" s="6"/>
      <c r="C858" s="6"/>
      <c r="D858" s="6"/>
      <c r="E858" s="6"/>
      <c r="F858" s="6"/>
      <c r="G858" s="6"/>
      <c r="H858" s="6"/>
      <c r="I858" s="6"/>
      <c r="J858" s="6"/>
      <c r="K858" s="6"/>
      <c r="L858" s="6"/>
      <c r="M858" s="6"/>
    </row>
    <row r="859" spans="1:13" ht="15" customHeight="1" x14ac:dyDescent="0.15">
      <c r="A859" s="8" t="s">
        <v>28</v>
      </c>
      <c r="B859" s="9" t="s">
        <v>29</v>
      </c>
      <c r="C859" s="6"/>
      <c r="D859" s="6"/>
      <c r="E859" s="6"/>
      <c r="F859" s="6"/>
      <c r="G859" s="6"/>
      <c r="H859" s="6"/>
      <c r="I859" s="6"/>
      <c r="J859" s="6"/>
      <c r="K859" s="6"/>
      <c r="L859" s="6"/>
      <c r="M859" s="6"/>
    </row>
    <row r="860" spans="1:13" ht="15" customHeight="1" x14ac:dyDescent="0.15">
      <c r="A860" s="6"/>
      <c r="B860" s="6" t="s">
        <v>37</v>
      </c>
      <c r="C860" s="6"/>
      <c r="D860" s="6"/>
      <c r="E860" s="6"/>
      <c r="F860" s="6"/>
      <c r="G860" s="6"/>
      <c r="H860" s="6"/>
      <c r="I860" s="6"/>
      <c r="J860" s="6"/>
      <c r="K860" s="6"/>
      <c r="L860" s="6"/>
      <c r="M860" s="6"/>
    </row>
    <row r="861" spans="1:13" ht="15" customHeight="1" x14ac:dyDescent="0.15">
      <c r="A861" s="6"/>
      <c r="B861" s="6" t="s">
        <v>38</v>
      </c>
      <c r="C861" s="65" t="s">
        <v>41</v>
      </c>
      <c r="D861" s="65"/>
      <c r="E861" s="65"/>
      <c r="F861" s="65"/>
      <c r="G861" s="65"/>
      <c r="H861" s="65"/>
      <c r="I861" s="65"/>
      <c r="J861" s="65"/>
      <c r="K861" s="65"/>
      <c r="L861" s="65"/>
      <c r="M861" s="65"/>
    </row>
    <row r="862" spans="1:13" ht="15" customHeight="1" x14ac:dyDescent="0.15">
      <c r="A862" s="6"/>
      <c r="B862" s="6"/>
      <c r="C862" s="65"/>
      <c r="D862" s="65"/>
      <c r="E862" s="65"/>
      <c r="F862" s="65"/>
      <c r="G862" s="65"/>
      <c r="H862" s="65"/>
      <c r="I862" s="65"/>
      <c r="J862" s="65"/>
      <c r="K862" s="65"/>
      <c r="L862" s="65"/>
      <c r="M862" s="65"/>
    </row>
    <row r="863" spans="1:13" ht="15" customHeight="1" x14ac:dyDescent="0.15">
      <c r="A863" s="6"/>
      <c r="B863" s="6" t="s">
        <v>39</v>
      </c>
      <c r="C863" s="64" t="s">
        <v>40</v>
      </c>
      <c r="D863" s="64"/>
      <c r="E863" s="64"/>
      <c r="F863" s="64"/>
      <c r="G863" s="64"/>
      <c r="H863" s="64"/>
      <c r="I863" s="64"/>
      <c r="J863" s="64"/>
      <c r="K863" s="64"/>
      <c r="L863" s="64"/>
      <c r="M863" s="64"/>
    </row>
    <row r="864" spans="1:13" ht="15" customHeight="1" x14ac:dyDescent="0.15">
      <c r="A864" s="6"/>
      <c r="B864" s="6" t="s">
        <v>42</v>
      </c>
      <c r="C864" s="64" t="s">
        <v>43</v>
      </c>
      <c r="D864" s="64"/>
      <c r="E864" s="64"/>
      <c r="F864" s="64"/>
      <c r="G864" s="64"/>
      <c r="H864" s="64"/>
      <c r="I864" s="64"/>
      <c r="J864" s="64"/>
      <c r="K864" s="64"/>
      <c r="L864" s="64"/>
      <c r="M864" s="64"/>
    </row>
    <row r="865" spans="1:13" ht="15" customHeight="1" x14ac:dyDescent="0.15">
      <c r="A865" s="6"/>
      <c r="B865" s="6" t="s">
        <v>44</v>
      </c>
      <c r="C865" s="64" t="s">
        <v>45</v>
      </c>
      <c r="D865" s="64"/>
      <c r="E865" s="64"/>
      <c r="F865" s="64"/>
      <c r="G865" s="64"/>
      <c r="H865" s="64"/>
      <c r="I865" s="64"/>
      <c r="J865" s="64"/>
      <c r="K865" s="64"/>
      <c r="L865" s="64"/>
      <c r="M865" s="64"/>
    </row>
    <row r="866" spans="1:13" ht="15" customHeight="1" x14ac:dyDescent="0.15">
      <c r="A866" s="6"/>
      <c r="B866" s="6" t="s">
        <v>46</v>
      </c>
      <c r="C866" s="64" t="s">
        <v>47</v>
      </c>
      <c r="D866" s="64"/>
      <c r="E866" s="64"/>
      <c r="F866" s="64"/>
      <c r="G866" s="64"/>
      <c r="H866" s="64"/>
      <c r="I866" s="64"/>
      <c r="J866" s="64"/>
      <c r="K866" s="64"/>
      <c r="L866" s="64"/>
      <c r="M866" s="64"/>
    </row>
    <row r="867" spans="1:13" ht="15" customHeight="1" x14ac:dyDescent="0.15">
      <c r="A867" s="6"/>
      <c r="B867" s="6" t="s">
        <v>50</v>
      </c>
      <c r="C867" s="64" t="s">
        <v>48</v>
      </c>
      <c r="D867" s="64"/>
      <c r="E867" s="64"/>
      <c r="F867" s="64"/>
      <c r="G867" s="64"/>
      <c r="H867" s="64"/>
      <c r="I867" s="64"/>
      <c r="J867" s="64"/>
      <c r="K867" s="64"/>
      <c r="L867" s="64"/>
      <c r="M867" s="64"/>
    </row>
    <row r="868" spans="1:13" ht="15" customHeight="1" x14ac:dyDescent="0.15">
      <c r="A868" s="6"/>
      <c r="B868" s="6" t="s">
        <v>51</v>
      </c>
      <c r="C868" s="64" t="s">
        <v>49</v>
      </c>
      <c r="D868" s="64"/>
      <c r="E868" s="64"/>
      <c r="F868" s="64"/>
      <c r="G868" s="64"/>
      <c r="H868" s="64"/>
      <c r="I868" s="64"/>
      <c r="J868" s="64"/>
      <c r="K868" s="64"/>
      <c r="L868" s="64"/>
      <c r="M868" s="64"/>
    </row>
    <row r="869" spans="1:13" ht="15" customHeight="1" x14ac:dyDescent="0.15">
      <c r="A869" s="6"/>
      <c r="B869" s="6" t="s">
        <v>52</v>
      </c>
      <c r="C869" s="64" t="s">
        <v>154</v>
      </c>
      <c r="D869" s="64"/>
      <c r="E869" s="64"/>
      <c r="F869" s="64"/>
      <c r="G869" s="64"/>
      <c r="H869" s="64"/>
      <c r="I869" s="64"/>
      <c r="J869" s="64"/>
      <c r="K869" s="64"/>
      <c r="L869" s="64"/>
      <c r="M869" s="64"/>
    </row>
    <row r="870" spans="1:13" ht="15" customHeight="1" x14ac:dyDescent="0.15">
      <c r="A870" s="6"/>
      <c r="B870" s="6" t="s">
        <v>53</v>
      </c>
      <c r="C870" s="65" t="s">
        <v>54</v>
      </c>
      <c r="D870" s="65"/>
      <c r="E870" s="65"/>
      <c r="F870" s="65"/>
      <c r="G870" s="65"/>
      <c r="H870" s="65"/>
      <c r="I870" s="65"/>
      <c r="J870" s="65"/>
      <c r="K870" s="65"/>
      <c r="L870" s="65"/>
      <c r="M870" s="65"/>
    </row>
    <row r="871" spans="1:13" ht="15" customHeight="1" x14ac:dyDescent="0.15">
      <c r="A871" s="6"/>
      <c r="B871" s="6"/>
      <c r="C871" s="65"/>
      <c r="D871" s="65"/>
      <c r="E871" s="65"/>
      <c r="F871" s="65"/>
      <c r="G871" s="65"/>
      <c r="H871" s="65"/>
      <c r="I871" s="65"/>
      <c r="J871" s="65"/>
      <c r="K871" s="65"/>
      <c r="L871" s="65"/>
      <c r="M871" s="65"/>
    </row>
    <row r="872" spans="1:13" ht="15" customHeight="1" x14ac:dyDescent="0.15">
      <c r="A872" s="6"/>
      <c r="B872" s="6"/>
      <c r="C872" s="6"/>
      <c r="D872" s="6"/>
      <c r="E872" s="6"/>
      <c r="F872" s="6"/>
      <c r="G872" s="6"/>
      <c r="H872" s="6"/>
      <c r="I872" s="6"/>
      <c r="J872" s="6"/>
      <c r="K872" s="6"/>
      <c r="L872" s="6"/>
      <c r="M872" s="6"/>
    </row>
    <row r="873" spans="1:13" ht="15" customHeight="1" x14ac:dyDescent="0.15">
      <c r="A873" s="6"/>
      <c r="B873" s="6"/>
      <c r="C873" s="6"/>
      <c r="D873" s="6"/>
      <c r="E873" s="6"/>
      <c r="F873" s="6"/>
      <c r="G873" s="6"/>
      <c r="H873" s="6"/>
      <c r="I873" s="6"/>
      <c r="J873" s="6"/>
      <c r="K873" s="6"/>
      <c r="L873" s="6"/>
      <c r="M873" s="13" t="str">
        <f>[94]Base_01!$C$4&amp;", …..  …........................  2026"</f>
        <v>Sorong, …..  …........................  2026</v>
      </c>
    </row>
    <row r="874" spans="1:13" ht="15" customHeight="1" x14ac:dyDescent="0.15">
      <c r="A874" s="6"/>
      <c r="B874" s="6"/>
      <c r="C874" s="6"/>
      <c r="D874" s="6"/>
      <c r="E874" s="6"/>
      <c r="F874" s="6"/>
      <c r="G874" s="6"/>
      <c r="H874" s="6"/>
      <c r="I874" s="6"/>
      <c r="J874" s="6"/>
      <c r="K874" s="6"/>
      <c r="L874" s="6"/>
      <c r="M874" s="6"/>
    </row>
    <row r="875" spans="1:13" ht="15" customHeight="1" x14ac:dyDescent="0.15">
      <c r="A875" s="6"/>
      <c r="B875" s="63" t="s">
        <v>57</v>
      </c>
      <c r="C875" s="63"/>
      <c r="D875" s="63"/>
      <c r="E875" s="63"/>
      <c r="F875" s="63" t="s">
        <v>56</v>
      </c>
      <c r="G875" s="63"/>
      <c r="H875" s="63"/>
      <c r="I875" s="63"/>
      <c r="J875" s="6"/>
      <c r="K875" s="6"/>
      <c r="L875" s="6"/>
      <c r="M875" s="6"/>
    </row>
    <row r="876" spans="1:13" ht="15" customHeight="1" x14ac:dyDescent="0.15">
      <c r="A876" s="6"/>
      <c r="B876" s="63" t="s">
        <v>60</v>
      </c>
      <c r="C876" s="63"/>
      <c r="D876" s="63"/>
      <c r="E876" s="63"/>
      <c r="F876" s="63" t="s">
        <v>58</v>
      </c>
      <c r="G876" s="63"/>
      <c r="H876" s="63"/>
      <c r="I876" s="63"/>
      <c r="J876" s="63" t="s">
        <v>55</v>
      </c>
      <c r="K876" s="63"/>
      <c r="L876" s="63"/>
      <c r="M876" s="63"/>
    </row>
    <row r="877" spans="1:13" ht="15" customHeight="1" x14ac:dyDescent="0.15">
      <c r="A877" s="6"/>
      <c r="B877" s="63" t="str">
        <f>[94]Base_01!$B$4&amp;" "&amp;[94]Base_01!$C$4</f>
        <v>Kota Sorong</v>
      </c>
      <c r="C877" s="63"/>
      <c r="D877" s="63"/>
      <c r="E877" s="63"/>
      <c r="F877" s="63" t="s">
        <v>59</v>
      </c>
      <c r="G877" s="63"/>
      <c r="H877" s="63"/>
      <c r="I877" s="63"/>
      <c r="J877" s="6"/>
      <c r="K877" s="6"/>
      <c r="L877" s="6"/>
      <c r="M877" s="6"/>
    </row>
    <row r="878" spans="1:13" ht="15" customHeight="1" x14ac:dyDescent="0.15">
      <c r="A878" s="6"/>
      <c r="B878" s="14"/>
      <c r="C878" s="14"/>
      <c r="D878" s="14"/>
      <c r="E878" s="14"/>
      <c r="F878" s="14"/>
      <c r="G878" s="14"/>
      <c r="H878" s="14"/>
      <c r="I878" s="6"/>
      <c r="J878" s="6"/>
      <c r="K878" s="6"/>
      <c r="L878" s="6"/>
      <c r="M878" s="6"/>
    </row>
    <row r="879" spans="1:13" ht="15" customHeight="1" x14ac:dyDescent="0.15">
      <c r="A879" s="6"/>
      <c r="B879" s="14"/>
      <c r="C879" s="14"/>
      <c r="D879" s="14"/>
      <c r="E879" s="14"/>
      <c r="F879" s="14"/>
      <c r="G879" s="14"/>
      <c r="H879" s="14"/>
      <c r="I879" s="6"/>
      <c r="J879" s="6"/>
      <c r="K879" s="6"/>
      <c r="L879" s="6"/>
      <c r="M879" s="6"/>
    </row>
    <row r="880" spans="1:13" ht="15" customHeight="1" x14ac:dyDescent="0.15">
      <c r="A880" s="6"/>
      <c r="B880" s="6"/>
      <c r="C880" s="6"/>
      <c r="D880" s="6"/>
      <c r="E880" s="6"/>
      <c r="F880" s="6"/>
      <c r="G880" s="6"/>
      <c r="H880" s="6"/>
      <c r="I880" s="6"/>
      <c r="J880" s="6"/>
      <c r="K880" s="6"/>
      <c r="L880" s="6"/>
      <c r="M880" s="6"/>
    </row>
    <row r="881" spans="1:14" ht="15" customHeight="1" x14ac:dyDescent="0.15">
      <c r="A881" s="6"/>
      <c r="B881" s="6"/>
      <c r="C881" s="6"/>
      <c r="D881" s="6"/>
      <c r="E881" s="6"/>
      <c r="F881" s="6"/>
      <c r="G881" s="6"/>
      <c r="H881" s="6"/>
      <c r="I881" s="6"/>
      <c r="J881" s="6"/>
      <c r="K881" s="6"/>
      <c r="L881" s="6"/>
      <c r="M881" s="6"/>
    </row>
    <row r="882" spans="1:14" ht="15" customHeight="1" x14ac:dyDescent="0.15">
      <c r="A882" s="6"/>
      <c r="B882" s="63" t="str">
        <f>[94]Base_01!$C$17</f>
        <v>AfrIandi Yudhistira, S.T.</v>
      </c>
      <c r="C882" s="63"/>
      <c r="D882" s="63"/>
      <c r="E882" s="63"/>
      <c r="F882" s="63" t="str">
        <f>[94]Base_01!$C$20</f>
        <v>…...............         …...............</v>
      </c>
      <c r="G882" s="63"/>
      <c r="H882" s="63"/>
      <c r="I882" s="63"/>
      <c r="J882" s="63" t="str">
        <f>G824</f>
        <v>Nama PB 14</v>
      </c>
      <c r="K882" s="63"/>
      <c r="L882" s="63"/>
      <c r="M882" s="63"/>
    </row>
    <row r="883" spans="1:14" ht="16" customHeight="1" x14ac:dyDescent="0.15">
      <c r="A883" s="67" t="s">
        <v>14</v>
      </c>
      <c r="B883" s="67"/>
      <c r="C883" s="67"/>
      <c r="D883" s="67"/>
      <c r="E883" s="67"/>
      <c r="F883" s="67"/>
      <c r="G883" s="67"/>
      <c r="H883" s="67"/>
      <c r="I883" s="67"/>
      <c r="J883" s="67"/>
      <c r="K883" s="67"/>
      <c r="L883" s="67"/>
      <c r="M883" s="67"/>
      <c r="N883" s="5">
        <f>N820+1</f>
        <v>15</v>
      </c>
    </row>
    <row r="884" spans="1:14" ht="16" customHeight="1" x14ac:dyDescent="0.15">
      <c r="A884" s="67" t="str">
        <f>"NOMOR "&amp;VLOOKUP($N883,[94]Base_02!$A$5:$AD$24,2,0)</f>
        <v>NOMOR 000015</v>
      </c>
      <c r="B884" s="67"/>
      <c r="C884" s="67"/>
      <c r="D884" s="67"/>
      <c r="E884" s="67"/>
      <c r="F884" s="67"/>
      <c r="G884" s="67"/>
      <c r="H884" s="67"/>
      <c r="I884" s="67"/>
      <c r="J884" s="67"/>
      <c r="K884" s="67"/>
      <c r="L884" s="67"/>
      <c r="M884" s="67"/>
    </row>
    <row r="885" spans="1:14" x14ac:dyDescent="0.15">
      <c r="A885" s="6"/>
      <c r="B885" s="7"/>
      <c r="C885" s="7"/>
      <c r="D885" s="7"/>
      <c r="E885" s="7"/>
      <c r="F885" s="7"/>
      <c r="G885" s="7"/>
      <c r="H885" s="7"/>
      <c r="I885" s="7"/>
      <c r="J885" s="7"/>
      <c r="K885" s="6"/>
      <c r="L885" s="6"/>
      <c r="M885" s="6"/>
    </row>
    <row r="886" spans="1:14" ht="15" customHeight="1" x14ac:dyDescent="0.15">
      <c r="A886" s="8" t="s">
        <v>13</v>
      </c>
      <c r="B886" s="9" t="s">
        <v>15</v>
      </c>
      <c r="C886" s="6"/>
      <c r="D886" s="6"/>
      <c r="E886" s="6"/>
      <c r="F886" s="6"/>
      <c r="G886" s="6"/>
      <c r="H886" s="6"/>
      <c r="I886" s="6"/>
      <c r="J886" s="6"/>
      <c r="K886" s="6"/>
      <c r="L886" s="6"/>
      <c r="M886" s="6"/>
    </row>
    <row r="887" spans="1:14" ht="15" customHeight="1" x14ac:dyDescent="0.15">
      <c r="A887" s="6"/>
      <c r="B887" s="57" t="s">
        <v>16</v>
      </c>
      <c r="C887" s="57"/>
      <c r="D887" s="57"/>
      <c r="E887" s="57"/>
      <c r="F887" s="57"/>
      <c r="G887" s="6" t="str">
        <f>VLOOKUP($N883,[94]Base_02!$A$5:$AD$24,3,0)</f>
        <v>Nama PB 15</v>
      </c>
      <c r="H887" s="6"/>
      <c r="I887" s="6"/>
      <c r="J887" s="6"/>
      <c r="K887" s="6"/>
      <c r="L887" s="6"/>
      <c r="M887" s="6"/>
    </row>
    <row r="888" spans="1:14" ht="15" customHeight="1" x14ac:dyDescent="0.15">
      <c r="A888" s="6"/>
      <c r="B888" s="57" t="s">
        <v>17</v>
      </c>
      <c r="C888" s="57"/>
      <c r="D888" s="57"/>
      <c r="E888" s="57"/>
      <c r="F888" s="57"/>
      <c r="G888" s="6">
        <f>VLOOKUP($N883,[94]Base_02!$A$5:$AD$24,14,0)</f>
        <v>0</v>
      </c>
      <c r="H888" s="6"/>
      <c r="I888" s="6"/>
      <c r="J888" s="6"/>
      <c r="K888" s="6"/>
      <c r="L888" s="6"/>
      <c r="M888" s="6"/>
    </row>
    <row r="889" spans="1:14" ht="15" customHeight="1" x14ac:dyDescent="0.15">
      <c r="A889" s="6"/>
      <c r="B889" s="57" t="s">
        <v>18</v>
      </c>
      <c r="C889" s="57"/>
      <c r="D889" s="57"/>
      <c r="E889" s="57"/>
      <c r="F889" s="57"/>
      <c r="G889" s="6" t="str">
        <f>VLOOKUP(N883,[94]Base_02!$A$5:$Z$24,11,FALSE)&amp;", RT "&amp;VLOOKUP(N883,[94]Base_02!$A$5:$Z$24,12,FALSE)&amp;", RW "&amp;VLOOKUP(N883,[94]Base_02!$A$5:$Z$24,13,FALSE)</f>
        <v>Jalan Kanal Victory, RT 2, RW 1</v>
      </c>
      <c r="H889" s="6"/>
      <c r="I889" s="6"/>
      <c r="J889" s="6"/>
      <c r="K889" s="6"/>
      <c r="L889" s="6"/>
      <c r="M889" s="6"/>
    </row>
    <row r="890" spans="1:14" ht="15" customHeight="1" x14ac:dyDescent="0.15">
      <c r="A890" s="6"/>
      <c r="B890" s="57" t="str">
        <f>[94]Base_01!$B$2</f>
        <v>Kelurahan</v>
      </c>
      <c r="C890" s="57"/>
      <c r="D890" s="57"/>
      <c r="E890" s="57"/>
      <c r="F890" s="57"/>
      <c r="G890" s="10" t="str">
        <f>[94]Base_01!$C$2</f>
        <v>Klasabi</v>
      </c>
      <c r="H890" s="6"/>
      <c r="I890" s="6"/>
      <c r="J890" s="6"/>
      <c r="K890" s="6"/>
      <c r="L890" s="6"/>
      <c r="M890" s="6"/>
    </row>
    <row r="891" spans="1:14" ht="15" customHeight="1" x14ac:dyDescent="0.15">
      <c r="A891" s="6"/>
      <c r="B891" s="57" t="s">
        <v>19</v>
      </c>
      <c r="C891" s="57"/>
      <c r="D891" s="57"/>
      <c r="E891" s="57"/>
      <c r="F891" s="57"/>
      <c r="G891" s="10" t="str">
        <f>[94]Base_01!$C$3</f>
        <v>Sorong Manoi</v>
      </c>
      <c r="H891" s="6"/>
      <c r="I891" s="6"/>
      <c r="J891" s="6"/>
      <c r="K891" s="6"/>
      <c r="L891" s="6"/>
      <c r="M891" s="6"/>
    </row>
    <row r="892" spans="1:14" ht="15" customHeight="1" x14ac:dyDescent="0.15">
      <c r="A892" s="6"/>
      <c r="B892" s="57" t="str">
        <f>[94]Base_01!$B$4</f>
        <v>Kota</v>
      </c>
      <c r="C892" s="57"/>
      <c r="D892" s="57"/>
      <c r="E892" s="57"/>
      <c r="F892" s="57"/>
      <c r="G892" s="10" t="str">
        <f>[94]Base_01!$C$4</f>
        <v>Sorong</v>
      </c>
      <c r="H892" s="6"/>
      <c r="I892" s="6"/>
      <c r="J892" s="6"/>
      <c r="K892" s="6"/>
      <c r="L892" s="6"/>
      <c r="M892" s="6"/>
    </row>
    <row r="893" spans="1:14" ht="15" customHeight="1" x14ac:dyDescent="0.15">
      <c r="A893" s="6"/>
      <c r="B893" s="57" t="s">
        <v>20</v>
      </c>
      <c r="C893" s="57"/>
      <c r="D893" s="57"/>
      <c r="E893" s="57"/>
      <c r="F893" s="57"/>
      <c r="G893" s="11" t="str">
        <f>[94]Base_01!$C$5</f>
        <v>Papua Barat Daya</v>
      </c>
      <c r="H893" s="6"/>
      <c r="I893" s="6"/>
      <c r="J893" s="6"/>
      <c r="K893" s="6"/>
      <c r="L893" s="6"/>
      <c r="M893" s="6"/>
    </row>
    <row r="894" spans="1:14" ht="15" customHeight="1" x14ac:dyDescent="0.15">
      <c r="A894" s="6"/>
      <c r="B894" s="57" t="s">
        <v>21</v>
      </c>
      <c r="C894" s="57"/>
      <c r="D894" s="57"/>
      <c r="E894" s="57"/>
      <c r="F894" s="57"/>
      <c r="G894" s="6" t="str">
        <f>VLOOKUP($N883,[94]Base_02!$A$5:$AG$24,32,0)&amp;" - "&amp;VLOOKUP($N883,[94]Base_02!$A$5:$AG$24,31,0)</f>
        <v>1600006551267 - Bank Mandiri</v>
      </c>
      <c r="H894" s="6"/>
      <c r="I894" s="6"/>
      <c r="J894" s="6"/>
      <c r="K894" s="6"/>
      <c r="L894" s="6"/>
      <c r="M894" s="6"/>
    </row>
    <row r="895" spans="1:14" ht="15" customHeight="1" x14ac:dyDescent="0.15">
      <c r="A895" s="6"/>
      <c r="B895" s="6"/>
      <c r="C895" s="6"/>
      <c r="D895" s="6"/>
      <c r="E895" s="6"/>
      <c r="F895" s="6"/>
      <c r="G895" s="6"/>
      <c r="H895" s="6"/>
      <c r="I895" s="6"/>
      <c r="J895" s="6"/>
      <c r="K895" s="6"/>
      <c r="L895" s="6"/>
      <c r="M895" s="6"/>
    </row>
    <row r="896" spans="1:14" ht="15" customHeight="1" x14ac:dyDescent="0.15">
      <c r="A896" s="8" t="s">
        <v>22</v>
      </c>
      <c r="B896" s="9" t="s">
        <v>23</v>
      </c>
      <c r="C896" s="6"/>
      <c r="D896" s="6"/>
      <c r="E896" s="6"/>
      <c r="F896" s="6"/>
      <c r="G896" s="6"/>
      <c r="H896" s="6"/>
      <c r="I896" s="6"/>
      <c r="J896" s="6"/>
      <c r="K896" s="6"/>
      <c r="L896" s="6"/>
      <c r="M896" s="6"/>
    </row>
    <row r="897" spans="1:17" ht="15" customHeight="1" x14ac:dyDescent="0.15">
      <c r="A897" s="6"/>
      <c r="B897" s="66" t="s">
        <v>30</v>
      </c>
      <c r="C897" s="66"/>
      <c r="D897" s="66"/>
      <c r="E897" s="66"/>
      <c r="F897" s="66" t="s">
        <v>31</v>
      </c>
      <c r="G897" s="66"/>
      <c r="H897" s="66"/>
      <c r="I897" s="66"/>
      <c r="J897" s="66" t="s">
        <v>32</v>
      </c>
      <c r="K897" s="66"/>
      <c r="L897" s="66"/>
      <c r="M897" s="66"/>
      <c r="O897" s="15" t="s">
        <v>61</v>
      </c>
    </row>
    <row r="898" spans="1:17" ht="15" customHeight="1" x14ac:dyDescent="0.15">
      <c r="A898" s="6"/>
      <c r="B898" s="66"/>
      <c r="C898" s="66"/>
      <c r="D898" s="66"/>
      <c r="E898" s="66"/>
      <c r="F898" s="66"/>
      <c r="G898" s="66"/>
      <c r="H898" s="66"/>
      <c r="I898" s="66"/>
      <c r="J898" s="66"/>
      <c r="K898" s="66"/>
      <c r="L898" s="66"/>
      <c r="M898" s="66"/>
      <c r="Q898" s="5" t="s">
        <v>62</v>
      </c>
    </row>
    <row r="899" spans="1:17" ht="15" customHeight="1" x14ac:dyDescent="0.15">
      <c r="A899" s="6"/>
      <c r="B899" s="66"/>
      <c r="C899" s="66"/>
      <c r="D899" s="66"/>
      <c r="E899" s="66"/>
      <c r="F899" s="66"/>
      <c r="G899" s="66"/>
      <c r="H899" s="66"/>
      <c r="I899" s="66"/>
      <c r="J899" s="66"/>
      <c r="K899" s="66"/>
      <c r="L899" s="66"/>
      <c r="M899" s="66"/>
    </row>
    <row r="900" spans="1:17" ht="15" customHeight="1" x14ac:dyDescent="0.15">
      <c r="A900" s="6"/>
      <c r="B900" s="66"/>
      <c r="C900" s="66"/>
      <c r="D900" s="66"/>
      <c r="E900" s="66"/>
      <c r="F900" s="66"/>
      <c r="G900" s="66"/>
      <c r="H900" s="66"/>
      <c r="I900" s="66"/>
      <c r="J900" s="66"/>
      <c r="K900" s="66"/>
      <c r="L900" s="66"/>
      <c r="M900" s="66"/>
    </row>
    <row r="901" spans="1:17" ht="15" customHeight="1" x14ac:dyDescent="0.15">
      <c r="A901" s="6"/>
      <c r="B901" s="66"/>
      <c r="C901" s="66"/>
      <c r="D901" s="66"/>
      <c r="E901" s="66"/>
      <c r="F901" s="66"/>
      <c r="G901" s="66"/>
      <c r="H901" s="66"/>
      <c r="I901" s="66"/>
      <c r="J901" s="66"/>
      <c r="K901" s="66"/>
      <c r="L901" s="66"/>
      <c r="M901" s="66"/>
    </row>
    <row r="902" spans="1:17" ht="15" customHeight="1" x14ac:dyDescent="0.15">
      <c r="A902" s="6"/>
      <c r="B902" s="66"/>
      <c r="C902" s="66"/>
      <c r="D902" s="66"/>
      <c r="E902" s="66"/>
      <c r="F902" s="66"/>
      <c r="G902" s="66"/>
      <c r="H902" s="66"/>
      <c r="I902" s="66"/>
      <c r="J902" s="66"/>
      <c r="K902" s="66"/>
      <c r="L902" s="66"/>
      <c r="M902" s="66"/>
    </row>
    <row r="903" spans="1:17" ht="15" customHeight="1" x14ac:dyDescent="0.15">
      <c r="A903" s="6"/>
      <c r="B903" s="6"/>
      <c r="C903" s="6"/>
      <c r="D903" s="6"/>
      <c r="E903" s="6"/>
      <c r="F903" s="6"/>
      <c r="G903" s="6"/>
      <c r="H903" s="6"/>
      <c r="I903" s="6"/>
      <c r="J903" s="6"/>
      <c r="K903" s="6"/>
      <c r="L903" s="6"/>
      <c r="M903" s="6"/>
    </row>
    <row r="904" spans="1:17" ht="15" customHeight="1" x14ac:dyDescent="0.15">
      <c r="A904" s="8" t="s">
        <v>24</v>
      </c>
      <c r="B904" s="9" t="s">
        <v>25</v>
      </c>
      <c r="C904" s="6"/>
      <c r="D904" s="6"/>
      <c r="E904" s="6"/>
      <c r="F904" s="6"/>
      <c r="G904" s="6"/>
      <c r="H904" s="6"/>
      <c r="I904" s="6"/>
      <c r="J904" s="6"/>
      <c r="K904" s="6"/>
      <c r="L904" s="6"/>
      <c r="M904" s="6"/>
    </row>
    <row r="905" spans="1:17" ht="15" customHeight="1" x14ac:dyDescent="0.15">
      <c r="A905" s="12"/>
      <c r="B905" s="66" t="s">
        <v>35</v>
      </c>
      <c r="C905" s="66"/>
      <c r="D905" s="66"/>
      <c r="E905" s="66"/>
      <c r="F905" s="66"/>
      <c r="G905" s="66"/>
      <c r="H905" s="66" t="s">
        <v>36</v>
      </c>
      <c r="I905" s="66"/>
      <c r="J905" s="66"/>
      <c r="K905" s="66"/>
      <c r="L905" s="66"/>
      <c r="M905" s="66"/>
    </row>
    <row r="906" spans="1:17" ht="15" customHeight="1" x14ac:dyDescent="0.15">
      <c r="A906" s="6"/>
      <c r="B906" s="66"/>
      <c r="C906" s="66"/>
      <c r="D906" s="66"/>
      <c r="E906" s="66"/>
      <c r="F906" s="66"/>
      <c r="G906" s="66"/>
      <c r="H906" s="66"/>
      <c r="I906" s="66"/>
      <c r="J906" s="66"/>
      <c r="K906" s="66"/>
      <c r="L906" s="66"/>
      <c r="M906" s="66"/>
    </row>
    <row r="907" spans="1:17" ht="15" customHeight="1" x14ac:dyDescent="0.15">
      <c r="A907" s="6"/>
      <c r="B907" s="66"/>
      <c r="C907" s="66"/>
      <c r="D907" s="66"/>
      <c r="E907" s="66"/>
      <c r="F907" s="66"/>
      <c r="G907" s="66"/>
      <c r="H907" s="66"/>
      <c r="I907" s="66"/>
      <c r="J907" s="66"/>
      <c r="K907" s="66"/>
      <c r="L907" s="66"/>
      <c r="M907" s="66"/>
    </row>
    <row r="908" spans="1:17" ht="15" customHeight="1" x14ac:dyDescent="0.15">
      <c r="A908" s="6"/>
      <c r="B908" s="66"/>
      <c r="C908" s="66"/>
      <c r="D908" s="66"/>
      <c r="E908" s="66"/>
      <c r="F908" s="66"/>
      <c r="G908" s="66"/>
      <c r="H908" s="66"/>
      <c r="I908" s="66"/>
      <c r="J908" s="66"/>
      <c r="K908" s="66"/>
      <c r="L908" s="66"/>
      <c r="M908" s="66"/>
    </row>
    <row r="909" spans="1:17" ht="15" customHeight="1" x14ac:dyDescent="0.15">
      <c r="A909" s="6"/>
      <c r="B909" s="66"/>
      <c r="C909" s="66"/>
      <c r="D909" s="66"/>
      <c r="E909" s="66"/>
      <c r="F909" s="66"/>
      <c r="G909" s="66"/>
      <c r="H909" s="66"/>
      <c r="I909" s="66"/>
      <c r="J909" s="66"/>
      <c r="K909" s="66"/>
      <c r="L909" s="66"/>
      <c r="M909" s="66"/>
    </row>
    <row r="910" spans="1:17" ht="15" customHeight="1" x14ac:dyDescent="0.15">
      <c r="A910" s="6"/>
      <c r="B910" s="66"/>
      <c r="C910" s="66"/>
      <c r="D910" s="66"/>
      <c r="E910" s="66"/>
      <c r="F910" s="66"/>
      <c r="G910" s="66"/>
      <c r="H910" s="66"/>
      <c r="I910" s="66"/>
      <c r="J910" s="66"/>
      <c r="K910" s="66"/>
      <c r="L910" s="66"/>
      <c r="M910" s="66"/>
    </row>
    <row r="911" spans="1:17" ht="15" customHeight="1" x14ac:dyDescent="0.15">
      <c r="A911" s="6"/>
      <c r="B911" s="66"/>
      <c r="C911" s="66"/>
      <c r="D911" s="66"/>
      <c r="E911" s="66"/>
      <c r="F911" s="66"/>
      <c r="G911" s="66"/>
      <c r="H911" s="66"/>
      <c r="I911" s="66"/>
      <c r="J911" s="66"/>
      <c r="K911" s="66"/>
      <c r="L911" s="66"/>
      <c r="M911" s="66"/>
    </row>
    <row r="912" spans="1:17" ht="15" customHeight="1" x14ac:dyDescent="0.15">
      <c r="A912" s="6"/>
      <c r="B912" s="66"/>
      <c r="C912" s="66"/>
      <c r="D912" s="66"/>
      <c r="E912" s="66"/>
      <c r="F912" s="66"/>
      <c r="G912" s="66"/>
      <c r="H912" s="66"/>
      <c r="I912" s="66"/>
      <c r="J912" s="66"/>
      <c r="K912" s="66"/>
      <c r="L912" s="66"/>
      <c r="M912" s="66"/>
    </row>
    <row r="913" spans="1:13" ht="15" customHeight="1" x14ac:dyDescent="0.15">
      <c r="A913" s="6"/>
      <c r="B913" s="6"/>
      <c r="C913" s="6"/>
      <c r="D913" s="6"/>
      <c r="E913" s="6"/>
      <c r="F913" s="6"/>
      <c r="G913" s="6"/>
      <c r="H913" s="6"/>
      <c r="I913" s="6"/>
      <c r="J913" s="6"/>
      <c r="K913" s="6"/>
      <c r="L913" s="6"/>
      <c r="M913" s="6"/>
    </row>
    <row r="914" spans="1:13" ht="15" customHeight="1" x14ac:dyDescent="0.15">
      <c r="A914" s="8" t="s">
        <v>26</v>
      </c>
      <c r="B914" s="9" t="s">
        <v>27</v>
      </c>
      <c r="C914" s="6"/>
      <c r="D914" s="6"/>
      <c r="E914" s="6"/>
      <c r="F914" s="6"/>
      <c r="G914" s="6"/>
      <c r="H914" s="6"/>
      <c r="I914" s="6"/>
      <c r="J914" s="6"/>
      <c r="K914" s="6"/>
      <c r="L914" s="6"/>
      <c r="M914" s="6"/>
    </row>
    <row r="915" spans="1:13" ht="15" customHeight="1" x14ac:dyDescent="0.15">
      <c r="A915" s="12"/>
      <c r="B915" s="66" t="s">
        <v>30</v>
      </c>
      <c r="C915" s="66"/>
      <c r="D915" s="66"/>
      <c r="E915" s="66"/>
      <c r="F915" s="66" t="s">
        <v>33</v>
      </c>
      <c r="G915" s="66"/>
      <c r="H915" s="66"/>
      <c r="I915" s="66"/>
      <c r="J915" s="66" t="s">
        <v>34</v>
      </c>
      <c r="K915" s="66"/>
      <c r="L915" s="66"/>
      <c r="M915" s="66"/>
    </row>
    <row r="916" spans="1:13" ht="15" customHeight="1" x14ac:dyDescent="0.15">
      <c r="A916" s="6"/>
      <c r="B916" s="66"/>
      <c r="C916" s="66"/>
      <c r="D916" s="66"/>
      <c r="E916" s="66"/>
      <c r="F916" s="66"/>
      <c r="G916" s="66"/>
      <c r="H916" s="66"/>
      <c r="I916" s="66"/>
      <c r="J916" s="66"/>
      <c r="K916" s="66"/>
      <c r="L916" s="66"/>
      <c r="M916" s="66"/>
    </row>
    <row r="917" spans="1:13" ht="15" customHeight="1" x14ac:dyDescent="0.15">
      <c r="A917" s="6"/>
      <c r="B917" s="66"/>
      <c r="C917" s="66"/>
      <c r="D917" s="66"/>
      <c r="E917" s="66"/>
      <c r="F917" s="66"/>
      <c r="G917" s="66"/>
      <c r="H917" s="66"/>
      <c r="I917" s="66"/>
      <c r="J917" s="66"/>
      <c r="K917" s="66"/>
      <c r="L917" s="66"/>
      <c r="M917" s="66"/>
    </row>
    <row r="918" spans="1:13" ht="15" customHeight="1" x14ac:dyDescent="0.15">
      <c r="A918" s="6"/>
      <c r="B918" s="66"/>
      <c r="C918" s="66"/>
      <c r="D918" s="66"/>
      <c r="E918" s="66"/>
      <c r="F918" s="66"/>
      <c r="G918" s="66"/>
      <c r="H918" s="66"/>
      <c r="I918" s="66"/>
      <c r="J918" s="66"/>
      <c r="K918" s="66"/>
      <c r="L918" s="66"/>
      <c r="M918" s="66"/>
    </row>
    <row r="919" spans="1:13" ht="15" customHeight="1" x14ac:dyDescent="0.15">
      <c r="A919" s="6"/>
      <c r="B919" s="66"/>
      <c r="C919" s="66"/>
      <c r="D919" s="66"/>
      <c r="E919" s="66"/>
      <c r="F919" s="66"/>
      <c r="G919" s="66"/>
      <c r="H919" s="66"/>
      <c r="I919" s="66"/>
      <c r="J919" s="66"/>
      <c r="K919" s="66"/>
      <c r="L919" s="66"/>
      <c r="M919" s="66"/>
    </row>
    <row r="920" spans="1:13" ht="15" customHeight="1" x14ac:dyDescent="0.15">
      <c r="A920" s="6"/>
      <c r="B920" s="66"/>
      <c r="C920" s="66"/>
      <c r="D920" s="66"/>
      <c r="E920" s="66"/>
      <c r="F920" s="66"/>
      <c r="G920" s="66"/>
      <c r="H920" s="66"/>
      <c r="I920" s="66"/>
      <c r="J920" s="66"/>
      <c r="K920" s="66"/>
      <c r="L920" s="66"/>
      <c r="M920" s="66"/>
    </row>
    <row r="921" spans="1:13" ht="15" customHeight="1" x14ac:dyDescent="0.15">
      <c r="A921" s="6"/>
      <c r="B921" s="6"/>
      <c r="C921" s="6"/>
      <c r="D921" s="6"/>
      <c r="E921" s="6"/>
      <c r="F921" s="6"/>
      <c r="G921" s="6"/>
      <c r="H921" s="6"/>
      <c r="I921" s="6"/>
      <c r="J921" s="6"/>
      <c r="K921" s="6"/>
      <c r="L921" s="6"/>
      <c r="M921" s="6"/>
    </row>
    <row r="922" spans="1:13" ht="15" customHeight="1" x14ac:dyDescent="0.15">
      <c r="A922" s="8" t="s">
        <v>28</v>
      </c>
      <c r="B922" s="9" t="s">
        <v>29</v>
      </c>
      <c r="C922" s="6"/>
      <c r="D922" s="6"/>
      <c r="E922" s="6"/>
      <c r="F922" s="6"/>
      <c r="G922" s="6"/>
      <c r="H922" s="6"/>
      <c r="I922" s="6"/>
      <c r="J922" s="6"/>
      <c r="K922" s="6"/>
      <c r="L922" s="6"/>
      <c r="M922" s="6"/>
    </row>
    <row r="923" spans="1:13" ht="15" customHeight="1" x14ac:dyDescent="0.15">
      <c r="A923" s="6"/>
      <c r="B923" s="6" t="s">
        <v>37</v>
      </c>
      <c r="C923" s="6"/>
      <c r="D923" s="6"/>
      <c r="E923" s="6"/>
      <c r="F923" s="6"/>
      <c r="G923" s="6"/>
      <c r="H923" s="6"/>
      <c r="I923" s="6"/>
      <c r="J923" s="6"/>
      <c r="K923" s="6"/>
      <c r="L923" s="6"/>
      <c r="M923" s="6"/>
    </row>
    <row r="924" spans="1:13" ht="15" customHeight="1" x14ac:dyDescent="0.15">
      <c r="A924" s="6"/>
      <c r="B924" s="6" t="s">
        <v>38</v>
      </c>
      <c r="C924" s="65" t="s">
        <v>41</v>
      </c>
      <c r="D924" s="65"/>
      <c r="E924" s="65"/>
      <c r="F924" s="65"/>
      <c r="G924" s="65"/>
      <c r="H924" s="65"/>
      <c r="I924" s="65"/>
      <c r="J924" s="65"/>
      <c r="K924" s="65"/>
      <c r="L924" s="65"/>
      <c r="M924" s="65"/>
    </row>
    <row r="925" spans="1:13" ht="15" customHeight="1" x14ac:dyDescent="0.15">
      <c r="A925" s="6"/>
      <c r="B925" s="6"/>
      <c r="C925" s="65"/>
      <c r="D925" s="65"/>
      <c r="E925" s="65"/>
      <c r="F925" s="65"/>
      <c r="G925" s="65"/>
      <c r="H925" s="65"/>
      <c r="I925" s="65"/>
      <c r="J925" s="65"/>
      <c r="K925" s="65"/>
      <c r="L925" s="65"/>
      <c r="M925" s="65"/>
    </row>
    <row r="926" spans="1:13" ht="15" customHeight="1" x14ac:dyDescent="0.15">
      <c r="A926" s="6"/>
      <c r="B926" s="6" t="s">
        <v>39</v>
      </c>
      <c r="C926" s="64" t="s">
        <v>40</v>
      </c>
      <c r="D926" s="64"/>
      <c r="E926" s="64"/>
      <c r="F926" s="64"/>
      <c r="G926" s="64"/>
      <c r="H926" s="64"/>
      <c r="I926" s="64"/>
      <c r="J926" s="64"/>
      <c r="K926" s="64"/>
      <c r="L926" s="64"/>
      <c r="M926" s="64"/>
    </row>
    <row r="927" spans="1:13" ht="15" customHeight="1" x14ac:dyDescent="0.15">
      <c r="A927" s="6"/>
      <c r="B927" s="6" t="s">
        <v>42</v>
      </c>
      <c r="C927" s="64" t="s">
        <v>43</v>
      </c>
      <c r="D927" s="64"/>
      <c r="E927" s="64"/>
      <c r="F927" s="64"/>
      <c r="G927" s="64"/>
      <c r="H927" s="64"/>
      <c r="I927" s="64"/>
      <c r="J927" s="64"/>
      <c r="K927" s="64"/>
      <c r="L927" s="64"/>
      <c r="M927" s="64"/>
    </row>
    <row r="928" spans="1:13" ht="15" customHeight="1" x14ac:dyDescent="0.15">
      <c r="A928" s="6"/>
      <c r="B928" s="6" t="s">
        <v>44</v>
      </c>
      <c r="C928" s="64" t="s">
        <v>45</v>
      </c>
      <c r="D928" s="64"/>
      <c r="E928" s="64"/>
      <c r="F928" s="64"/>
      <c r="G928" s="64"/>
      <c r="H928" s="64"/>
      <c r="I928" s="64"/>
      <c r="J928" s="64"/>
      <c r="K928" s="64"/>
      <c r="L928" s="64"/>
      <c r="M928" s="64"/>
    </row>
    <row r="929" spans="1:13" ht="15" customHeight="1" x14ac:dyDescent="0.15">
      <c r="A929" s="6"/>
      <c r="B929" s="6" t="s">
        <v>46</v>
      </c>
      <c r="C929" s="64" t="s">
        <v>47</v>
      </c>
      <c r="D929" s="64"/>
      <c r="E929" s="64"/>
      <c r="F929" s="64"/>
      <c r="G929" s="64"/>
      <c r="H929" s="64"/>
      <c r="I929" s="64"/>
      <c r="J929" s="64"/>
      <c r="K929" s="64"/>
      <c r="L929" s="64"/>
      <c r="M929" s="64"/>
    </row>
    <row r="930" spans="1:13" ht="15" customHeight="1" x14ac:dyDescent="0.15">
      <c r="A930" s="6"/>
      <c r="B930" s="6" t="s">
        <v>50</v>
      </c>
      <c r="C930" s="64" t="s">
        <v>48</v>
      </c>
      <c r="D930" s="64"/>
      <c r="E930" s="64"/>
      <c r="F930" s="64"/>
      <c r="G930" s="64"/>
      <c r="H930" s="64"/>
      <c r="I930" s="64"/>
      <c r="J930" s="64"/>
      <c r="K930" s="64"/>
      <c r="L930" s="64"/>
      <c r="M930" s="64"/>
    </row>
    <row r="931" spans="1:13" ht="15" customHeight="1" x14ac:dyDescent="0.15">
      <c r="A931" s="6"/>
      <c r="B931" s="6" t="s">
        <v>51</v>
      </c>
      <c r="C931" s="64" t="s">
        <v>49</v>
      </c>
      <c r="D931" s="64"/>
      <c r="E931" s="64"/>
      <c r="F931" s="64"/>
      <c r="G931" s="64"/>
      <c r="H931" s="64"/>
      <c r="I931" s="64"/>
      <c r="J931" s="64"/>
      <c r="K931" s="64"/>
      <c r="L931" s="64"/>
      <c r="M931" s="64"/>
    </row>
    <row r="932" spans="1:13" ht="15" customHeight="1" x14ac:dyDescent="0.15">
      <c r="A932" s="6"/>
      <c r="B932" s="6" t="s">
        <v>52</v>
      </c>
      <c r="C932" s="64" t="s">
        <v>154</v>
      </c>
      <c r="D932" s="64"/>
      <c r="E932" s="64"/>
      <c r="F932" s="64"/>
      <c r="G932" s="64"/>
      <c r="H932" s="64"/>
      <c r="I932" s="64"/>
      <c r="J932" s="64"/>
      <c r="K932" s="64"/>
      <c r="L932" s="64"/>
      <c r="M932" s="64"/>
    </row>
    <row r="933" spans="1:13" ht="15" customHeight="1" x14ac:dyDescent="0.15">
      <c r="A933" s="6"/>
      <c r="B933" s="6" t="s">
        <v>53</v>
      </c>
      <c r="C933" s="65" t="s">
        <v>54</v>
      </c>
      <c r="D933" s="65"/>
      <c r="E933" s="65"/>
      <c r="F933" s="65"/>
      <c r="G933" s="65"/>
      <c r="H933" s="65"/>
      <c r="I933" s="65"/>
      <c r="J933" s="65"/>
      <c r="K933" s="65"/>
      <c r="L933" s="65"/>
      <c r="M933" s="65"/>
    </row>
    <row r="934" spans="1:13" ht="15" customHeight="1" x14ac:dyDescent="0.15">
      <c r="A934" s="6"/>
      <c r="B934" s="6"/>
      <c r="C934" s="65"/>
      <c r="D934" s="65"/>
      <c r="E934" s="65"/>
      <c r="F934" s="65"/>
      <c r="G934" s="65"/>
      <c r="H934" s="65"/>
      <c r="I934" s="65"/>
      <c r="J934" s="65"/>
      <c r="K934" s="65"/>
      <c r="L934" s="65"/>
      <c r="M934" s="65"/>
    </row>
    <row r="935" spans="1:13" ht="15" customHeight="1" x14ac:dyDescent="0.15">
      <c r="A935" s="6"/>
      <c r="B935" s="6"/>
      <c r="C935" s="6"/>
      <c r="D935" s="6"/>
      <c r="E935" s="6"/>
      <c r="F935" s="6"/>
      <c r="G935" s="6"/>
      <c r="H935" s="6"/>
      <c r="I935" s="6"/>
      <c r="J935" s="6"/>
      <c r="K935" s="6"/>
      <c r="L935" s="6"/>
      <c r="M935" s="6"/>
    </row>
    <row r="936" spans="1:13" ht="15" customHeight="1" x14ac:dyDescent="0.15">
      <c r="A936" s="6"/>
      <c r="B936" s="6"/>
      <c r="C936" s="6"/>
      <c r="D936" s="6"/>
      <c r="E936" s="6"/>
      <c r="F936" s="6"/>
      <c r="G936" s="6"/>
      <c r="H936" s="6"/>
      <c r="I936" s="6"/>
      <c r="J936" s="6"/>
      <c r="K936" s="6"/>
      <c r="L936" s="6"/>
      <c r="M936" s="13" t="str">
        <f>[94]Base_01!$C$4&amp;", …..  …........................  2026"</f>
        <v>Sorong, …..  …........................  2026</v>
      </c>
    </row>
    <row r="937" spans="1:13" ht="15" customHeight="1" x14ac:dyDescent="0.15">
      <c r="A937" s="6"/>
      <c r="B937" s="6"/>
      <c r="C937" s="6"/>
      <c r="D937" s="6"/>
      <c r="E937" s="6"/>
      <c r="F937" s="6"/>
      <c r="G937" s="6"/>
      <c r="H937" s="6"/>
      <c r="I937" s="6"/>
      <c r="J937" s="6"/>
      <c r="K937" s="6"/>
      <c r="L937" s="6"/>
      <c r="M937" s="6"/>
    </row>
    <row r="938" spans="1:13" ht="15" customHeight="1" x14ac:dyDescent="0.15">
      <c r="A938" s="6"/>
      <c r="B938" s="63" t="s">
        <v>57</v>
      </c>
      <c r="C938" s="63"/>
      <c r="D938" s="63"/>
      <c r="E938" s="63"/>
      <c r="F938" s="63" t="s">
        <v>56</v>
      </c>
      <c r="G938" s="63"/>
      <c r="H938" s="63"/>
      <c r="I938" s="63"/>
      <c r="J938" s="6"/>
      <c r="K938" s="6"/>
      <c r="L938" s="6"/>
      <c r="M938" s="6"/>
    </row>
    <row r="939" spans="1:13" ht="15" customHeight="1" x14ac:dyDescent="0.15">
      <c r="A939" s="6"/>
      <c r="B939" s="63" t="s">
        <v>60</v>
      </c>
      <c r="C939" s="63"/>
      <c r="D939" s="63"/>
      <c r="E939" s="63"/>
      <c r="F939" s="63" t="s">
        <v>58</v>
      </c>
      <c r="G939" s="63"/>
      <c r="H939" s="63"/>
      <c r="I939" s="63"/>
      <c r="J939" s="63" t="s">
        <v>55</v>
      </c>
      <c r="K939" s="63"/>
      <c r="L939" s="63"/>
      <c r="M939" s="63"/>
    </row>
    <row r="940" spans="1:13" ht="15" customHeight="1" x14ac:dyDescent="0.15">
      <c r="A940" s="6"/>
      <c r="B940" s="63" t="str">
        <f>[94]Base_01!$B$4&amp;" "&amp;[94]Base_01!$C$4</f>
        <v>Kota Sorong</v>
      </c>
      <c r="C940" s="63"/>
      <c r="D940" s="63"/>
      <c r="E940" s="63"/>
      <c r="F940" s="63" t="s">
        <v>59</v>
      </c>
      <c r="G940" s="63"/>
      <c r="H940" s="63"/>
      <c r="I940" s="63"/>
      <c r="J940" s="6"/>
      <c r="K940" s="6"/>
      <c r="L940" s="6"/>
      <c r="M940" s="6"/>
    </row>
    <row r="941" spans="1:13" ht="15" customHeight="1" x14ac:dyDescent="0.15">
      <c r="A941" s="6"/>
      <c r="B941" s="14"/>
      <c r="C941" s="14"/>
      <c r="D941" s="14"/>
      <c r="E941" s="14"/>
      <c r="F941" s="14"/>
      <c r="G941" s="14"/>
      <c r="H941" s="14"/>
      <c r="I941" s="6"/>
      <c r="J941" s="6"/>
      <c r="K941" s="6"/>
      <c r="L941" s="6"/>
      <c r="M941" s="6"/>
    </row>
    <row r="942" spans="1:13" ht="15" customHeight="1" x14ac:dyDescent="0.15">
      <c r="A942" s="6"/>
      <c r="B942" s="14"/>
      <c r="C942" s="14"/>
      <c r="D942" s="14"/>
      <c r="E942" s="14"/>
      <c r="F942" s="14"/>
      <c r="G942" s="14"/>
      <c r="H942" s="14"/>
      <c r="I942" s="6"/>
      <c r="J942" s="6"/>
      <c r="K942" s="6"/>
      <c r="L942" s="6"/>
      <c r="M942" s="6"/>
    </row>
    <row r="943" spans="1:13" ht="15" customHeight="1" x14ac:dyDescent="0.15">
      <c r="A943" s="6"/>
      <c r="B943" s="6"/>
      <c r="C943" s="6"/>
      <c r="D943" s="6"/>
      <c r="E943" s="6"/>
      <c r="F943" s="6"/>
      <c r="G943" s="6"/>
      <c r="H943" s="6"/>
      <c r="I943" s="6"/>
      <c r="J943" s="6"/>
      <c r="K943" s="6"/>
      <c r="L943" s="6"/>
      <c r="M943" s="6"/>
    </row>
    <row r="944" spans="1:13" ht="15" customHeight="1" x14ac:dyDescent="0.15">
      <c r="A944" s="6"/>
      <c r="B944" s="6"/>
      <c r="C944" s="6"/>
      <c r="D944" s="6"/>
      <c r="E944" s="6"/>
      <c r="F944" s="6"/>
      <c r="G944" s="6"/>
      <c r="H944" s="6"/>
      <c r="I944" s="6"/>
      <c r="J944" s="6"/>
      <c r="K944" s="6"/>
      <c r="L944" s="6"/>
      <c r="M944" s="6"/>
    </row>
    <row r="945" spans="1:15" ht="15" customHeight="1" x14ac:dyDescent="0.15">
      <c r="A945" s="6"/>
      <c r="B945" s="63" t="str">
        <f>[94]Base_01!$C$17</f>
        <v>AfrIandi Yudhistira, S.T.</v>
      </c>
      <c r="C945" s="63"/>
      <c r="D945" s="63"/>
      <c r="E945" s="63"/>
      <c r="F945" s="63" t="str">
        <f>[94]Base_01!$C$20</f>
        <v>…...............         …...............</v>
      </c>
      <c r="G945" s="63"/>
      <c r="H945" s="63"/>
      <c r="I945" s="63"/>
      <c r="J945" s="63" t="str">
        <f>G887</f>
        <v>Nama PB 15</v>
      </c>
      <c r="K945" s="63"/>
      <c r="L945" s="63"/>
      <c r="M945" s="63"/>
    </row>
    <row r="946" spans="1:15" ht="16" customHeight="1" x14ac:dyDescent="0.15">
      <c r="A946" s="67" t="s">
        <v>14</v>
      </c>
      <c r="B946" s="67"/>
      <c r="C946" s="67"/>
      <c r="D946" s="67"/>
      <c r="E946" s="67"/>
      <c r="F946" s="67"/>
      <c r="G946" s="67"/>
      <c r="H946" s="67"/>
      <c r="I946" s="67"/>
      <c r="J946" s="67"/>
      <c r="K946" s="67"/>
      <c r="L946" s="67"/>
      <c r="M946" s="67"/>
      <c r="N946" s="5">
        <f>N883+1</f>
        <v>16</v>
      </c>
    </row>
    <row r="947" spans="1:15" ht="16" customHeight="1" x14ac:dyDescent="0.15">
      <c r="A947" s="67" t="str">
        <f>"NOMOR "&amp;VLOOKUP($N946,[94]Base_02!$A$5:$AD$24,2,0)</f>
        <v>NOMOR 000016</v>
      </c>
      <c r="B947" s="67"/>
      <c r="C947" s="67"/>
      <c r="D947" s="67"/>
      <c r="E947" s="67"/>
      <c r="F947" s="67"/>
      <c r="G947" s="67"/>
      <c r="H947" s="67"/>
      <c r="I947" s="67"/>
      <c r="J947" s="67"/>
      <c r="K947" s="67"/>
      <c r="L947" s="67"/>
      <c r="M947" s="67"/>
    </row>
    <row r="948" spans="1:15" x14ac:dyDescent="0.15">
      <c r="A948" s="6"/>
      <c r="B948" s="7"/>
      <c r="C948" s="7"/>
      <c r="D948" s="7"/>
      <c r="E948" s="7"/>
      <c r="F948" s="7"/>
      <c r="G948" s="7"/>
      <c r="H948" s="7"/>
      <c r="I948" s="7"/>
      <c r="J948" s="7"/>
      <c r="K948" s="6"/>
      <c r="L948" s="6"/>
      <c r="M948" s="6"/>
    </row>
    <row r="949" spans="1:15" ht="15" customHeight="1" x14ac:dyDescent="0.15">
      <c r="A949" s="8" t="s">
        <v>13</v>
      </c>
      <c r="B949" s="9" t="s">
        <v>15</v>
      </c>
      <c r="C949" s="6"/>
      <c r="D949" s="6"/>
      <c r="E949" s="6"/>
      <c r="F949" s="6"/>
      <c r="G949" s="6"/>
      <c r="H949" s="6"/>
      <c r="I949" s="6"/>
      <c r="J949" s="6"/>
      <c r="K949" s="6"/>
      <c r="L949" s="6"/>
      <c r="M949" s="6"/>
    </row>
    <row r="950" spans="1:15" ht="15" customHeight="1" x14ac:dyDescent="0.15">
      <c r="A950" s="6"/>
      <c r="B950" s="57" t="s">
        <v>16</v>
      </c>
      <c r="C950" s="57"/>
      <c r="D950" s="57"/>
      <c r="E950" s="57"/>
      <c r="F950" s="57"/>
      <c r="G950" s="6" t="str">
        <f>VLOOKUP($N946,[94]Base_02!$A$5:$AD$24,3,0)</f>
        <v>Nama PB 16</v>
      </c>
      <c r="H950" s="6"/>
      <c r="I950" s="6"/>
      <c r="J950" s="6"/>
      <c r="K950" s="6"/>
      <c r="L950" s="6"/>
      <c r="M950" s="6"/>
    </row>
    <row r="951" spans="1:15" ht="15" customHeight="1" x14ac:dyDescent="0.15">
      <c r="A951" s="6"/>
      <c r="B951" s="57" t="s">
        <v>17</v>
      </c>
      <c r="C951" s="57"/>
      <c r="D951" s="57"/>
      <c r="E951" s="57"/>
      <c r="F951" s="57"/>
      <c r="G951" s="6">
        <f>VLOOKUP($N946,[94]Base_02!$A$5:$AD$24,14,0)</f>
        <v>0</v>
      </c>
      <c r="H951" s="6"/>
      <c r="I951" s="6"/>
      <c r="J951" s="6"/>
      <c r="K951" s="6"/>
      <c r="L951" s="6"/>
      <c r="M951" s="6"/>
    </row>
    <row r="952" spans="1:15" ht="15" customHeight="1" x14ac:dyDescent="0.15">
      <c r="A952" s="6"/>
      <c r="B952" s="57" t="s">
        <v>18</v>
      </c>
      <c r="C952" s="57"/>
      <c r="D952" s="57"/>
      <c r="E952" s="57"/>
      <c r="F952" s="57"/>
      <c r="G952" s="6" t="str">
        <f>VLOOKUP(N946,[94]Base_02!$A$5:$Z$24,11,FALSE)&amp;", RT "&amp;VLOOKUP(N946,[94]Base_02!$A$5:$Z$24,12,FALSE)&amp;", RW "&amp;VLOOKUP(N946,[94]Base_02!$A$5:$Z$24,13,FALSE)</f>
        <v>Jalan Kanal Victory, RT 2, RW 1</v>
      </c>
      <c r="H952" s="6"/>
      <c r="I952" s="6"/>
      <c r="J952" s="6"/>
      <c r="K952" s="6"/>
      <c r="L952" s="6"/>
      <c r="M952" s="6"/>
    </row>
    <row r="953" spans="1:15" ht="15" customHeight="1" x14ac:dyDescent="0.15">
      <c r="A953" s="6"/>
      <c r="B953" s="57" t="str">
        <f>[94]Base_01!$B$2</f>
        <v>Kelurahan</v>
      </c>
      <c r="C953" s="57"/>
      <c r="D953" s="57"/>
      <c r="E953" s="57"/>
      <c r="F953" s="57"/>
      <c r="G953" s="10" t="str">
        <f>[94]Base_01!$C$2</f>
        <v>Klasabi</v>
      </c>
      <c r="H953" s="6"/>
      <c r="I953" s="6"/>
      <c r="J953" s="6"/>
      <c r="K953" s="6"/>
      <c r="L953" s="6"/>
      <c r="M953" s="6"/>
    </row>
    <row r="954" spans="1:15" ht="15" customHeight="1" x14ac:dyDescent="0.15">
      <c r="A954" s="6"/>
      <c r="B954" s="57" t="s">
        <v>19</v>
      </c>
      <c r="C954" s="57"/>
      <c r="D954" s="57"/>
      <c r="E954" s="57"/>
      <c r="F954" s="57"/>
      <c r="G954" s="10" t="str">
        <f>[94]Base_01!$C$3</f>
        <v>Sorong Manoi</v>
      </c>
      <c r="H954" s="6"/>
      <c r="I954" s="6"/>
      <c r="J954" s="6"/>
      <c r="K954" s="6"/>
      <c r="L954" s="6"/>
      <c r="M954" s="6"/>
    </row>
    <row r="955" spans="1:15" ht="15" customHeight="1" x14ac:dyDescent="0.15">
      <c r="A955" s="6"/>
      <c r="B955" s="57" t="str">
        <f>[94]Base_01!$B$4</f>
        <v>Kota</v>
      </c>
      <c r="C955" s="57"/>
      <c r="D955" s="57"/>
      <c r="E955" s="57"/>
      <c r="F955" s="57"/>
      <c r="G955" s="10" t="str">
        <f>[94]Base_01!$C$4</f>
        <v>Sorong</v>
      </c>
      <c r="H955" s="6"/>
      <c r="I955" s="6"/>
      <c r="J955" s="6"/>
      <c r="K955" s="6"/>
      <c r="L955" s="6"/>
      <c r="M955" s="6"/>
    </row>
    <row r="956" spans="1:15" ht="15" customHeight="1" x14ac:dyDescent="0.15">
      <c r="A956" s="6"/>
      <c r="B956" s="57" t="s">
        <v>20</v>
      </c>
      <c r="C956" s="57"/>
      <c r="D956" s="57"/>
      <c r="E956" s="57"/>
      <c r="F956" s="57"/>
      <c r="G956" s="11" t="str">
        <f>[94]Base_01!$C$5</f>
        <v>Papua Barat Daya</v>
      </c>
      <c r="H956" s="6"/>
      <c r="I956" s="6"/>
      <c r="J956" s="6"/>
      <c r="K956" s="6"/>
      <c r="L956" s="6"/>
      <c r="M956" s="6"/>
    </row>
    <row r="957" spans="1:15" ht="15" customHeight="1" x14ac:dyDescent="0.15">
      <c r="A957" s="6"/>
      <c r="B957" s="57" t="s">
        <v>21</v>
      </c>
      <c r="C957" s="57"/>
      <c r="D957" s="57"/>
      <c r="E957" s="57"/>
      <c r="F957" s="57"/>
      <c r="G957" s="6" t="str">
        <f>VLOOKUP($N946,[94]Base_02!$A$5:$AG$24,32,0)&amp;" - "&amp;VLOOKUP($N946,[94]Base_02!$A$5:$AG$24,31,0)</f>
        <v>1600006544320 - Bank Mandiri</v>
      </c>
      <c r="H957" s="6"/>
      <c r="I957" s="6"/>
      <c r="J957" s="6"/>
      <c r="K957" s="6"/>
      <c r="L957" s="6"/>
      <c r="M957" s="6"/>
    </row>
    <row r="958" spans="1:15" ht="15" customHeight="1" x14ac:dyDescent="0.15">
      <c r="A958" s="6"/>
      <c r="B958" s="6"/>
      <c r="C958" s="6"/>
      <c r="D958" s="6"/>
      <c r="E958" s="6"/>
      <c r="F958" s="6"/>
      <c r="G958" s="6"/>
      <c r="H958" s="6"/>
      <c r="I958" s="6"/>
      <c r="J958" s="6"/>
      <c r="K958" s="6"/>
      <c r="L958" s="6"/>
      <c r="M958" s="6"/>
    </row>
    <row r="959" spans="1:15" ht="15" customHeight="1" x14ac:dyDescent="0.15">
      <c r="A959" s="8" t="s">
        <v>22</v>
      </c>
      <c r="B959" s="9" t="s">
        <v>23</v>
      </c>
      <c r="C959" s="6"/>
      <c r="D959" s="6"/>
      <c r="E959" s="6"/>
      <c r="F959" s="6"/>
      <c r="G959" s="6"/>
      <c r="H959" s="6"/>
      <c r="I959" s="6"/>
      <c r="J959" s="6"/>
      <c r="K959" s="6"/>
      <c r="L959" s="6"/>
      <c r="M959" s="6"/>
    </row>
    <row r="960" spans="1:15" ht="15" customHeight="1" x14ac:dyDescent="0.15">
      <c r="A960" s="6"/>
      <c r="B960" s="66" t="s">
        <v>30</v>
      </c>
      <c r="C960" s="66"/>
      <c r="D960" s="66"/>
      <c r="E960" s="66"/>
      <c r="F960" s="66" t="s">
        <v>31</v>
      </c>
      <c r="G960" s="66"/>
      <c r="H960" s="66"/>
      <c r="I960" s="66"/>
      <c r="J960" s="66" t="s">
        <v>32</v>
      </c>
      <c r="K960" s="66"/>
      <c r="L960" s="66"/>
      <c r="M960" s="66"/>
      <c r="O960" s="15" t="s">
        <v>61</v>
      </c>
    </row>
    <row r="961" spans="1:17" ht="15" customHeight="1" x14ac:dyDescent="0.15">
      <c r="A961" s="6"/>
      <c r="B961" s="66"/>
      <c r="C961" s="66"/>
      <c r="D961" s="66"/>
      <c r="E961" s="66"/>
      <c r="F961" s="66"/>
      <c r="G961" s="66"/>
      <c r="H961" s="66"/>
      <c r="I961" s="66"/>
      <c r="J961" s="66"/>
      <c r="K961" s="66"/>
      <c r="L961" s="66"/>
      <c r="M961" s="66"/>
      <c r="Q961" s="5" t="s">
        <v>62</v>
      </c>
    </row>
    <row r="962" spans="1:17" ht="15" customHeight="1" x14ac:dyDescent="0.15">
      <c r="A962" s="6"/>
      <c r="B962" s="66"/>
      <c r="C962" s="66"/>
      <c r="D962" s="66"/>
      <c r="E962" s="66"/>
      <c r="F962" s="66"/>
      <c r="G962" s="66"/>
      <c r="H962" s="66"/>
      <c r="I962" s="66"/>
      <c r="J962" s="66"/>
      <c r="K962" s="66"/>
      <c r="L962" s="66"/>
      <c r="M962" s="66"/>
    </row>
    <row r="963" spans="1:17" ht="15" customHeight="1" x14ac:dyDescent="0.15">
      <c r="A963" s="6"/>
      <c r="B963" s="66"/>
      <c r="C963" s="66"/>
      <c r="D963" s="66"/>
      <c r="E963" s="66"/>
      <c r="F963" s="66"/>
      <c r="G963" s="66"/>
      <c r="H963" s="66"/>
      <c r="I963" s="66"/>
      <c r="J963" s="66"/>
      <c r="K963" s="66"/>
      <c r="L963" s="66"/>
      <c r="M963" s="66"/>
    </row>
    <row r="964" spans="1:17" ht="15" customHeight="1" x14ac:dyDescent="0.15">
      <c r="A964" s="6"/>
      <c r="B964" s="66"/>
      <c r="C964" s="66"/>
      <c r="D964" s="66"/>
      <c r="E964" s="66"/>
      <c r="F964" s="66"/>
      <c r="G964" s="66"/>
      <c r="H964" s="66"/>
      <c r="I964" s="66"/>
      <c r="J964" s="66"/>
      <c r="K964" s="66"/>
      <c r="L964" s="66"/>
      <c r="M964" s="66"/>
    </row>
    <row r="965" spans="1:17" ht="15" customHeight="1" x14ac:dyDescent="0.15">
      <c r="A965" s="6"/>
      <c r="B965" s="66"/>
      <c r="C965" s="66"/>
      <c r="D965" s="66"/>
      <c r="E965" s="66"/>
      <c r="F965" s="66"/>
      <c r="G965" s="66"/>
      <c r="H965" s="66"/>
      <c r="I965" s="66"/>
      <c r="J965" s="66"/>
      <c r="K965" s="66"/>
      <c r="L965" s="66"/>
      <c r="M965" s="66"/>
    </row>
    <row r="966" spans="1:17" ht="15" customHeight="1" x14ac:dyDescent="0.15">
      <c r="A966" s="6"/>
      <c r="B966" s="6"/>
      <c r="C966" s="6"/>
      <c r="D966" s="6"/>
      <c r="E966" s="6"/>
      <c r="F966" s="6"/>
      <c r="G966" s="6"/>
      <c r="H966" s="6"/>
      <c r="I966" s="6"/>
      <c r="J966" s="6"/>
      <c r="K966" s="6"/>
      <c r="L966" s="6"/>
      <c r="M966" s="6"/>
    </row>
    <row r="967" spans="1:17" ht="15" customHeight="1" x14ac:dyDescent="0.15">
      <c r="A967" s="8" t="s">
        <v>24</v>
      </c>
      <c r="B967" s="9" t="s">
        <v>25</v>
      </c>
      <c r="C967" s="6"/>
      <c r="D967" s="6"/>
      <c r="E967" s="6"/>
      <c r="F967" s="6"/>
      <c r="G967" s="6"/>
      <c r="H967" s="6"/>
      <c r="I967" s="6"/>
      <c r="J967" s="6"/>
      <c r="K967" s="6"/>
      <c r="L967" s="6"/>
      <c r="M967" s="6"/>
    </row>
    <row r="968" spans="1:17" ht="15" customHeight="1" x14ac:dyDescent="0.15">
      <c r="A968" s="12"/>
      <c r="B968" s="66" t="s">
        <v>35</v>
      </c>
      <c r="C968" s="66"/>
      <c r="D968" s="66"/>
      <c r="E968" s="66"/>
      <c r="F968" s="66"/>
      <c r="G968" s="66"/>
      <c r="H968" s="66" t="s">
        <v>36</v>
      </c>
      <c r="I968" s="66"/>
      <c r="J968" s="66"/>
      <c r="K968" s="66"/>
      <c r="L968" s="66"/>
      <c r="M968" s="66"/>
    </row>
    <row r="969" spans="1:17" ht="15" customHeight="1" x14ac:dyDescent="0.15">
      <c r="A969" s="6"/>
      <c r="B969" s="66"/>
      <c r="C969" s="66"/>
      <c r="D969" s="66"/>
      <c r="E969" s="66"/>
      <c r="F969" s="66"/>
      <c r="G969" s="66"/>
      <c r="H969" s="66"/>
      <c r="I969" s="66"/>
      <c r="J969" s="66"/>
      <c r="K969" s="66"/>
      <c r="L969" s="66"/>
      <c r="M969" s="66"/>
    </row>
    <row r="970" spans="1:17" ht="15" customHeight="1" x14ac:dyDescent="0.15">
      <c r="A970" s="6"/>
      <c r="B970" s="66"/>
      <c r="C970" s="66"/>
      <c r="D970" s="66"/>
      <c r="E970" s="66"/>
      <c r="F970" s="66"/>
      <c r="G970" s="66"/>
      <c r="H970" s="66"/>
      <c r="I970" s="66"/>
      <c r="J970" s="66"/>
      <c r="K970" s="66"/>
      <c r="L970" s="66"/>
      <c r="M970" s="66"/>
    </row>
    <row r="971" spans="1:17" ht="15" customHeight="1" x14ac:dyDescent="0.15">
      <c r="A971" s="6"/>
      <c r="B971" s="66"/>
      <c r="C971" s="66"/>
      <c r="D971" s="66"/>
      <c r="E971" s="66"/>
      <c r="F971" s="66"/>
      <c r="G971" s="66"/>
      <c r="H971" s="66"/>
      <c r="I971" s="66"/>
      <c r="J971" s="66"/>
      <c r="K971" s="66"/>
      <c r="L971" s="66"/>
      <c r="M971" s="66"/>
    </row>
    <row r="972" spans="1:17" ht="15" customHeight="1" x14ac:dyDescent="0.15">
      <c r="A972" s="6"/>
      <c r="B972" s="66"/>
      <c r="C972" s="66"/>
      <c r="D972" s="66"/>
      <c r="E972" s="66"/>
      <c r="F972" s="66"/>
      <c r="G972" s="66"/>
      <c r="H972" s="66"/>
      <c r="I972" s="66"/>
      <c r="J972" s="66"/>
      <c r="K972" s="66"/>
      <c r="L972" s="66"/>
      <c r="M972" s="66"/>
    </row>
    <row r="973" spans="1:17" ht="15" customHeight="1" x14ac:dyDescent="0.15">
      <c r="A973" s="6"/>
      <c r="B973" s="66"/>
      <c r="C973" s="66"/>
      <c r="D973" s="66"/>
      <c r="E973" s="66"/>
      <c r="F973" s="66"/>
      <c r="G973" s="66"/>
      <c r="H973" s="66"/>
      <c r="I973" s="66"/>
      <c r="J973" s="66"/>
      <c r="K973" s="66"/>
      <c r="L973" s="66"/>
      <c r="M973" s="66"/>
    </row>
    <row r="974" spans="1:17" ht="15" customHeight="1" x14ac:dyDescent="0.15">
      <c r="A974" s="6"/>
      <c r="B974" s="66"/>
      <c r="C974" s="66"/>
      <c r="D974" s="66"/>
      <c r="E974" s="66"/>
      <c r="F974" s="66"/>
      <c r="G974" s="66"/>
      <c r="H974" s="66"/>
      <c r="I974" s="66"/>
      <c r="J974" s="66"/>
      <c r="K974" s="66"/>
      <c r="L974" s="66"/>
      <c r="M974" s="66"/>
    </row>
    <row r="975" spans="1:17" ht="15" customHeight="1" x14ac:dyDescent="0.15">
      <c r="A975" s="6"/>
      <c r="B975" s="66"/>
      <c r="C975" s="66"/>
      <c r="D975" s="66"/>
      <c r="E975" s="66"/>
      <c r="F975" s="66"/>
      <c r="G975" s="66"/>
      <c r="H975" s="66"/>
      <c r="I975" s="66"/>
      <c r="J975" s="66"/>
      <c r="K975" s="66"/>
      <c r="L975" s="66"/>
      <c r="M975" s="66"/>
    </row>
    <row r="976" spans="1:17" ht="15" customHeight="1" x14ac:dyDescent="0.15">
      <c r="A976" s="6"/>
      <c r="B976" s="6"/>
      <c r="C976" s="6"/>
      <c r="D976" s="6"/>
      <c r="E976" s="6"/>
      <c r="F976" s="6"/>
      <c r="G976" s="6"/>
      <c r="H976" s="6"/>
      <c r="I976" s="6"/>
      <c r="J976" s="6"/>
      <c r="K976" s="6"/>
      <c r="L976" s="6"/>
      <c r="M976" s="6"/>
    </row>
    <row r="977" spans="1:13" ht="15" customHeight="1" x14ac:dyDescent="0.15">
      <c r="A977" s="8" t="s">
        <v>26</v>
      </c>
      <c r="B977" s="9" t="s">
        <v>27</v>
      </c>
      <c r="C977" s="6"/>
      <c r="D977" s="6"/>
      <c r="E977" s="6"/>
      <c r="F977" s="6"/>
      <c r="G977" s="6"/>
      <c r="H977" s="6"/>
      <c r="I977" s="6"/>
      <c r="J977" s="6"/>
      <c r="K977" s="6"/>
      <c r="L977" s="6"/>
      <c r="M977" s="6"/>
    </row>
    <row r="978" spans="1:13" ht="15" customHeight="1" x14ac:dyDescent="0.15">
      <c r="A978" s="12"/>
      <c r="B978" s="66" t="s">
        <v>30</v>
      </c>
      <c r="C978" s="66"/>
      <c r="D978" s="66"/>
      <c r="E978" s="66"/>
      <c r="F978" s="66" t="s">
        <v>33</v>
      </c>
      <c r="G978" s="66"/>
      <c r="H978" s="66"/>
      <c r="I978" s="66"/>
      <c r="J978" s="66" t="s">
        <v>34</v>
      </c>
      <c r="K978" s="66"/>
      <c r="L978" s="66"/>
      <c r="M978" s="66"/>
    </row>
    <row r="979" spans="1:13" ht="15" customHeight="1" x14ac:dyDescent="0.15">
      <c r="A979" s="6"/>
      <c r="B979" s="66"/>
      <c r="C979" s="66"/>
      <c r="D979" s="66"/>
      <c r="E979" s="66"/>
      <c r="F979" s="66"/>
      <c r="G979" s="66"/>
      <c r="H979" s="66"/>
      <c r="I979" s="66"/>
      <c r="J979" s="66"/>
      <c r="K979" s="66"/>
      <c r="L979" s="66"/>
      <c r="M979" s="66"/>
    </row>
    <row r="980" spans="1:13" ht="15" customHeight="1" x14ac:dyDescent="0.15">
      <c r="A980" s="6"/>
      <c r="B980" s="66"/>
      <c r="C980" s="66"/>
      <c r="D980" s="66"/>
      <c r="E980" s="66"/>
      <c r="F980" s="66"/>
      <c r="G980" s="66"/>
      <c r="H980" s="66"/>
      <c r="I980" s="66"/>
      <c r="J980" s="66"/>
      <c r="K980" s="66"/>
      <c r="L980" s="66"/>
      <c r="M980" s="66"/>
    </row>
    <row r="981" spans="1:13" ht="15" customHeight="1" x14ac:dyDescent="0.15">
      <c r="A981" s="6"/>
      <c r="B981" s="66"/>
      <c r="C981" s="66"/>
      <c r="D981" s="66"/>
      <c r="E981" s="66"/>
      <c r="F981" s="66"/>
      <c r="G981" s="66"/>
      <c r="H981" s="66"/>
      <c r="I981" s="66"/>
      <c r="J981" s="66"/>
      <c r="K981" s="66"/>
      <c r="L981" s="66"/>
      <c r="M981" s="66"/>
    </row>
    <row r="982" spans="1:13" ht="15" customHeight="1" x14ac:dyDescent="0.15">
      <c r="A982" s="6"/>
      <c r="B982" s="66"/>
      <c r="C982" s="66"/>
      <c r="D982" s="66"/>
      <c r="E982" s="66"/>
      <c r="F982" s="66"/>
      <c r="G982" s="66"/>
      <c r="H982" s="66"/>
      <c r="I982" s="66"/>
      <c r="J982" s="66"/>
      <c r="K982" s="66"/>
      <c r="L982" s="66"/>
      <c r="M982" s="66"/>
    </row>
    <row r="983" spans="1:13" ht="15" customHeight="1" x14ac:dyDescent="0.15">
      <c r="A983" s="6"/>
      <c r="B983" s="66"/>
      <c r="C983" s="66"/>
      <c r="D983" s="66"/>
      <c r="E983" s="66"/>
      <c r="F983" s="66"/>
      <c r="G983" s="66"/>
      <c r="H983" s="66"/>
      <c r="I983" s="66"/>
      <c r="J983" s="66"/>
      <c r="K983" s="66"/>
      <c r="L983" s="66"/>
      <c r="M983" s="66"/>
    </row>
    <row r="984" spans="1:13" ht="15" customHeight="1" x14ac:dyDescent="0.15">
      <c r="A984" s="6"/>
      <c r="B984" s="6"/>
      <c r="C984" s="6"/>
      <c r="D984" s="6"/>
      <c r="E984" s="6"/>
      <c r="F984" s="6"/>
      <c r="G984" s="6"/>
      <c r="H984" s="6"/>
      <c r="I984" s="6"/>
      <c r="J984" s="6"/>
      <c r="K984" s="6"/>
      <c r="L984" s="6"/>
      <c r="M984" s="6"/>
    </row>
    <row r="985" spans="1:13" ht="15" customHeight="1" x14ac:dyDescent="0.15">
      <c r="A985" s="8" t="s">
        <v>28</v>
      </c>
      <c r="B985" s="9" t="s">
        <v>29</v>
      </c>
      <c r="C985" s="6"/>
      <c r="D985" s="6"/>
      <c r="E985" s="6"/>
      <c r="F985" s="6"/>
      <c r="G985" s="6"/>
      <c r="H985" s="6"/>
      <c r="I985" s="6"/>
      <c r="J985" s="6"/>
      <c r="K985" s="6"/>
      <c r="L985" s="6"/>
      <c r="M985" s="6"/>
    </row>
    <row r="986" spans="1:13" ht="15" customHeight="1" x14ac:dyDescent="0.15">
      <c r="A986" s="6"/>
      <c r="B986" s="6" t="s">
        <v>37</v>
      </c>
      <c r="C986" s="6"/>
      <c r="D986" s="6"/>
      <c r="E986" s="6"/>
      <c r="F986" s="6"/>
      <c r="G986" s="6"/>
      <c r="H986" s="6"/>
      <c r="I986" s="6"/>
      <c r="J986" s="6"/>
      <c r="K986" s="6"/>
      <c r="L986" s="6"/>
      <c r="M986" s="6"/>
    </row>
    <row r="987" spans="1:13" ht="15" customHeight="1" x14ac:dyDescent="0.15">
      <c r="A987" s="6"/>
      <c r="B987" s="6" t="s">
        <v>38</v>
      </c>
      <c r="C987" s="65" t="s">
        <v>41</v>
      </c>
      <c r="D987" s="65"/>
      <c r="E987" s="65"/>
      <c r="F987" s="65"/>
      <c r="G987" s="65"/>
      <c r="H987" s="65"/>
      <c r="I987" s="65"/>
      <c r="J987" s="65"/>
      <c r="K987" s="65"/>
      <c r="L987" s="65"/>
      <c r="M987" s="65"/>
    </row>
    <row r="988" spans="1:13" ht="15" customHeight="1" x14ac:dyDescent="0.15">
      <c r="A988" s="6"/>
      <c r="B988" s="6"/>
      <c r="C988" s="65"/>
      <c r="D988" s="65"/>
      <c r="E988" s="65"/>
      <c r="F988" s="65"/>
      <c r="G988" s="65"/>
      <c r="H988" s="65"/>
      <c r="I988" s="65"/>
      <c r="J988" s="65"/>
      <c r="K988" s="65"/>
      <c r="L988" s="65"/>
      <c r="M988" s="65"/>
    </row>
    <row r="989" spans="1:13" ht="15" customHeight="1" x14ac:dyDescent="0.15">
      <c r="A989" s="6"/>
      <c r="B989" s="6" t="s">
        <v>39</v>
      </c>
      <c r="C989" s="64" t="s">
        <v>40</v>
      </c>
      <c r="D989" s="64"/>
      <c r="E989" s="64"/>
      <c r="F989" s="64"/>
      <c r="G989" s="64"/>
      <c r="H989" s="64"/>
      <c r="I989" s="64"/>
      <c r="J989" s="64"/>
      <c r="K989" s="64"/>
      <c r="L989" s="64"/>
      <c r="M989" s="64"/>
    </row>
    <row r="990" spans="1:13" ht="15" customHeight="1" x14ac:dyDescent="0.15">
      <c r="A990" s="6"/>
      <c r="B990" s="6" t="s">
        <v>42</v>
      </c>
      <c r="C990" s="64" t="s">
        <v>43</v>
      </c>
      <c r="D990" s="64"/>
      <c r="E990" s="64"/>
      <c r="F990" s="64"/>
      <c r="G990" s="64"/>
      <c r="H990" s="64"/>
      <c r="I990" s="64"/>
      <c r="J990" s="64"/>
      <c r="K990" s="64"/>
      <c r="L990" s="64"/>
      <c r="M990" s="64"/>
    </row>
    <row r="991" spans="1:13" ht="15" customHeight="1" x14ac:dyDescent="0.15">
      <c r="A991" s="6"/>
      <c r="B991" s="6" t="s">
        <v>44</v>
      </c>
      <c r="C991" s="64" t="s">
        <v>45</v>
      </c>
      <c r="D991" s="64"/>
      <c r="E991" s="64"/>
      <c r="F991" s="64"/>
      <c r="G991" s="64"/>
      <c r="H991" s="64"/>
      <c r="I991" s="64"/>
      <c r="J991" s="64"/>
      <c r="K991" s="64"/>
      <c r="L991" s="64"/>
      <c r="M991" s="64"/>
    </row>
    <row r="992" spans="1:13" ht="15" customHeight="1" x14ac:dyDescent="0.15">
      <c r="A992" s="6"/>
      <c r="B992" s="6" t="s">
        <v>46</v>
      </c>
      <c r="C992" s="64" t="s">
        <v>47</v>
      </c>
      <c r="D992" s="64"/>
      <c r="E992" s="64"/>
      <c r="F992" s="64"/>
      <c r="G992" s="64"/>
      <c r="H992" s="64"/>
      <c r="I992" s="64"/>
      <c r="J992" s="64"/>
      <c r="K992" s="64"/>
      <c r="L992" s="64"/>
      <c r="M992" s="64"/>
    </row>
    <row r="993" spans="1:13" ht="15" customHeight="1" x14ac:dyDescent="0.15">
      <c r="A993" s="6"/>
      <c r="B993" s="6" t="s">
        <v>50</v>
      </c>
      <c r="C993" s="64" t="s">
        <v>48</v>
      </c>
      <c r="D993" s="64"/>
      <c r="E993" s="64"/>
      <c r="F993" s="64"/>
      <c r="G993" s="64"/>
      <c r="H993" s="64"/>
      <c r="I993" s="64"/>
      <c r="J993" s="64"/>
      <c r="K993" s="64"/>
      <c r="L993" s="64"/>
      <c r="M993" s="64"/>
    </row>
    <row r="994" spans="1:13" ht="15" customHeight="1" x14ac:dyDescent="0.15">
      <c r="A994" s="6"/>
      <c r="B994" s="6" t="s">
        <v>51</v>
      </c>
      <c r="C994" s="64" t="s">
        <v>49</v>
      </c>
      <c r="D994" s="64"/>
      <c r="E994" s="64"/>
      <c r="F994" s="64"/>
      <c r="G994" s="64"/>
      <c r="H994" s="64"/>
      <c r="I994" s="64"/>
      <c r="J994" s="64"/>
      <c r="K994" s="64"/>
      <c r="L994" s="64"/>
      <c r="M994" s="64"/>
    </row>
    <row r="995" spans="1:13" ht="15" customHeight="1" x14ac:dyDescent="0.15">
      <c r="A995" s="6"/>
      <c r="B995" s="6" t="s">
        <v>52</v>
      </c>
      <c r="C995" s="64" t="s">
        <v>154</v>
      </c>
      <c r="D995" s="64"/>
      <c r="E995" s="64"/>
      <c r="F995" s="64"/>
      <c r="G995" s="64"/>
      <c r="H995" s="64"/>
      <c r="I995" s="64"/>
      <c r="J995" s="64"/>
      <c r="K995" s="64"/>
      <c r="L995" s="64"/>
      <c r="M995" s="64"/>
    </row>
    <row r="996" spans="1:13" ht="15" customHeight="1" x14ac:dyDescent="0.15">
      <c r="A996" s="6"/>
      <c r="B996" s="6" t="s">
        <v>53</v>
      </c>
      <c r="C996" s="65" t="s">
        <v>54</v>
      </c>
      <c r="D996" s="65"/>
      <c r="E996" s="65"/>
      <c r="F996" s="65"/>
      <c r="G996" s="65"/>
      <c r="H996" s="65"/>
      <c r="I996" s="65"/>
      <c r="J996" s="65"/>
      <c r="K996" s="65"/>
      <c r="L996" s="65"/>
      <c r="M996" s="65"/>
    </row>
    <row r="997" spans="1:13" ht="15" customHeight="1" x14ac:dyDescent="0.15">
      <c r="A997" s="6"/>
      <c r="B997" s="6"/>
      <c r="C997" s="65"/>
      <c r="D997" s="65"/>
      <c r="E997" s="65"/>
      <c r="F997" s="65"/>
      <c r="G997" s="65"/>
      <c r="H997" s="65"/>
      <c r="I997" s="65"/>
      <c r="J997" s="65"/>
      <c r="K997" s="65"/>
      <c r="L997" s="65"/>
      <c r="M997" s="65"/>
    </row>
    <row r="998" spans="1:13" ht="15" customHeight="1" x14ac:dyDescent="0.15">
      <c r="A998" s="6"/>
      <c r="B998" s="6"/>
      <c r="C998" s="6"/>
      <c r="D998" s="6"/>
      <c r="E998" s="6"/>
      <c r="F998" s="6"/>
      <c r="G998" s="6"/>
      <c r="H998" s="6"/>
      <c r="I998" s="6"/>
      <c r="J998" s="6"/>
      <c r="K998" s="6"/>
      <c r="L998" s="6"/>
      <c r="M998" s="6"/>
    </row>
    <row r="999" spans="1:13" ht="15" customHeight="1" x14ac:dyDescent="0.15">
      <c r="A999" s="6"/>
      <c r="B999" s="6"/>
      <c r="C999" s="6"/>
      <c r="D999" s="6"/>
      <c r="E999" s="6"/>
      <c r="F999" s="6"/>
      <c r="G999" s="6"/>
      <c r="H999" s="6"/>
      <c r="I999" s="6"/>
      <c r="J999" s="6"/>
      <c r="K999" s="6"/>
      <c r="L999" s="6"/>
      <c r="M999" s="13" t="str">
        <f>[94]Base_01!$C$4&amp;", …..  …........................  2026"</f>
        <v>Sorong, …..  …........................  2026</v>
      </c>
    </row>
    <row r="1000" spans="1:13" ht="15" customHeight="1" x14ac:dyDescent="0.15">
      <c r="A1000" s="6"/>
      <c r="B1000" s="6"/>
      <c r="C1000" s="6"/>
      <c r="D1000" s="6"/>
      <c r="E1000" s="6"/>
      <c r="F1000" s="6"/>
      <c r="G1000" s="6"/>
      <c r="H1000" s="6"/>
      <c r="I1000" s="6"/>
      <c r="J1000" s="6"/>
      <c r="K1000" s="6"/>
      <c r="L1000" s="6"/>
      <c r="M1000" s="6"/>
    </row>
    <row r="1001" spans="1:13" ht="15" customHeight="1" x14ac:dyDescent="0.15">
      <c r="A1001" s="6"/>
      <c r="B1001" s="63" t="s">
        <v>57</v>
      </c>
      <c r="C1001" s="63"/>
      <c r="D1001" s="63"/>
      <c r="E1001" s="63"/>
      <c r="F1001" s="63" t="s">
        <v>56</v>
      </c>
      <c r="G1001" s="63"/>
      <c r="H1001" s="63"/>
      <c r="I1001" s="63"/>
      <c r="J1001" s="6"/>
      <c r="K1001" s="6"/>
      <c r="L1001" s="6"/>
      <c r="M1001" s="6"/>
    </row>
    <row r="1002" spans="1:13" ht="15" customHeight="1" x14ac:dyDescent="0.15">
      <c r="A1002" s="6"/>
      <c r="B1002" s="63" t="s">
        <v>60</v>
      </c>
      <c r="C1002" s="63"/>
      <c r="D1002" s="63"/>
      <c r="E1002" s="63"/>
      <c r="F1002" s="63" t="s">
        <v>58</v>
      </c>
      <c r="G1002" s="63"/>
      <c r="H1002" s="63"/>
      <c r="I1002" s="63"/>
      <c r="J1002" s="63" t="s">
        <v>55</v>
      </c>
      <c r="K1002" s="63"/>
      <c r="L1002" s="63"/>
      <c r="M1002" s="63"/>
    </row>
    <row r="1003" spans="1:13" ht="15" customHeight="1" x14ac:dyDescent="0.15">
      <c r="A1003" s="6"/>
      <c r="B1003" s="63" t="str">
        <f>[94]Base_01!$B$4&amp;" "&amp;[94]Base_01!$C$4</f>
        <v>Kota Sorong</v>
      </c>
      <c r="C1003" s="63"/>
      <c r="D1003" s="63"/>
      <c r="E1003" s="63"/>
      <c r="F1003" s="63" t="s">
        <v>59</v>
      </c>
      <c r="G1003" s="63"/>
      <c r="H1003" s="63"/>
      <c r="I1003" s="63"/>
      <c r="J1003" s="6"/>
      <c r="K1003" s="6"/>
      <c r="L1003" s="6"/>
      <c r="M1003" s="6"/>
    </row>
    <row r="1004" spans="1:13" ht="15" customHeight="1" x14ac:dyDescent="0.15">
      <c r="A1004" s="6"/>
      <c r="B1004" s="14"/>
      <c r="C1004" s="14"/>
      <c r="D1004" s="14"/>
      <c r="E1004" s="14"/>
      <c r="F1004" s="14"/>
      <c r="G1004" s="14"/>
      <c r="H1004" s="14"/>
      <c r="I1004" s="6"/>
      <c r="J1004" s="6"/>
      <c r="K1004" s="6"/>
      <c r="L1004" s="6"/>
      <c r="M1004" s="6"/>
    </row>
    <row r="1005" spans="1:13" ht="15" customHeight="1" x14ac:dyDescent="0.15">
      <c r="A1005" s="6"/>
      <c r="B1005" s="14"/>
      <c r="C1005" s="14"/>
      <c r="D1005" s="14"/>
      <c r="E1005" s="14"/>
      <c r="F1005" s="14"/>
      <c r="G1005" s="14"/>
      <c r="H1005" s="14"/>
      <c r="I1005" s="6"/>
      <c r="J1005" s="6"/>
      <c r="K1005" s="6"/>
      <c r="L1005" s="6"/>
      <c r="M1005" s="6"/>
    </row>
    <row r="1006" spans="1:13" ht="15" customHeight="1" x14ac:dyDescent="0.15">
      <c r="A1006" s="6"/>
      <c r="B1006" s="6"/>
      <c r="C1006" s="6"/>
      <c r="D1006" s="6"/>
      <c r="E1006" s="6"/>
      <c r="F1006" s="6"/>
      <c r="G1006" s="6"/>
      <c r="H1006" s="6"/>
      <c r="I1006" s="6"/>
      <c r="J1006" s="6"/>
      <c r="K1006" s="6"/>
      <c r="L1006" s="6"/>
      <c r="M1006" s="6"/>
    </row>
    <row r="1007" spans="1:13" ht="15" customHeight="1" x14ac:dyDescent="0.15">
      <c r="A1007" s="6"/>
      <c r="B1007" s="6"/>
      <c r="C1007" s="6"/>
      <c r="D1007" s="6"/>
      <c r="E1007" s="6"/>
      <c r="F1007" s="6"/>
      <c r="G1007" s="6"/>
      <c r="H1007" s="6"/>
      <c r="I1007" s="6"/>
      <c r="J1007" s="6"/>
      <c r="K1007" s="6"/>
      <c r="L1007" s="6"/>
      <c r="M1007" s="6"/>
    </row>
    <row r="1008" spans="1:13" ht="15" customHeight="1" x14ac:dyDescent="0.15">
      <c r="A1008" s="6"/>
      <c r="B1008" s="63" t="str">
        <f>[94]Base_01!$C$17</f>
        <v>AfrIandi Yudhistira, S.T.</v>
      </c>
      <c r="C1008" s="63"/>
      <c r="D1008" s="63"/>
      <c r="E1008" s="63"/>
      <c r="F1008" s="63" t="str">
        <f>[94]Base_01!$C$20</f>
        <v>…...............         …...............</v>
      </c>
      <c r="G1008" s="63"/>
      <c r="H1008" s="63"/>
      <c r="I1008" s="63"/>
      <c r="J1008" s="63" t="str">
        <f>G950</f>
        <v>Nama PB 16</v>
      </c>
      <c r="K1008" s="63"/>
      <c r="L1008" s="63"/>
      <c r="M1008" s="63"/>
    </row>
    <row r="1009" spans="1:17" ht="16" customHeight="1" x14ac:dyDescent="0.15">
      <c r="A1009" s="67" t="s">
        <v>14</v>
      </c>
      <c r="B1009" s="67"/>
      <c r="C1009" s="67"/>
      <c r="D1009" s="67"/>
      <c r="E1009" s="67"/>
      <c r="F1009" s="67"/>
      <c r="G1009" s="67"/>
      <c r="H1009" s="67"/>
      <c r="I1009" s="67"/>
      <c r="J1009" s="67"/>
      <c r="K1009" s="67"/>
      <c r="L1009" s="67"/>
      <c r="M1009" s="67"/>
      <c r="N1009" s="5">
        <f>N946+1</f>
        <v>17</v>
      </c>
    </row>
    <row r="1010" spans="1:17" ht="16" customHeight="1" x14ac:dyDescent="0.15">
      <c r="A1010" s="67" t="str">
        <f>"NOMOR "&amp;VLOOKUP($N1009,[94]Base_02!$A$5:$AD$24,2,0)</f>
        <v>NOMOR 000017</v>
      </c>
      <c r="B1010" s="67"/>
      <c r="C1010" s="67"/>
      <c r="D1010" s="67"/>
      <c r="E1010" s="67"/>
      <c r="F1010" s="67"/>
      <c r="G1010" s="67"/>
      <c r="H1010" s="67"/>
      <c r="I1010" s="67"/>
      <c r="J1010" s="67"/>
      <c r="K1010" s="67"/>
      <c r="L1010" s="67"/>
      <c r="M1010" s="67"/>
    </row>
    <row r="1011" spans="1:17" x14ac:dyDescent="0.15">
      <c r="A1011" s="6"/>
      <c r="B1011" s="7"/>
      <c r="C1011" s="7"/>
      <c r="D1011" s="7"/>
      <c r="E1011" s="7"/>
      <c r="F1011" s="7"/>
      <c r="G1011" s="7"/>
      <c r="H1011" s="7"/>
      <c r="I1011" s="7"/>
      <c r="J1011" s="7"/>
      <c r="K1011" s="6"/>
      <c r="L1011" s="6"/>
      <c r="M1011" s="6"/>
    </row>
    <row r="1012" spans="1:17" ht="15" customHeight="1" x14ac:dyDescent="0.15">
      <c r="A1012" s="8" t="s">
        <v>13</v>
      </c>
      <c r="B1012" s="9" t="s">
        <v>15</v>
      </c>
      <c r="C1012" s="6"/>
      <c r="D1012" s="6"/>
      <c r="E1012" s="6"/>
      <c r="F1012" s="6"/>
      <c r="G1012" s="6"/>
      <c r="H1012" s="6"/>
      <c r="I1012" s="6"/>
      <c r="J1012" s="6"/>
      <c r="K1012" s="6"/>
      <c r="L1012" s="6"/>
      <c r="M1012" s="6"/>
    </row>
    <row r="1013" spans="1:17" ht="15" customHeight="1" x14ac:dyDescent="0.15">
      <c r="A1013" s="6"/>
      <c r="B1013" s="57" t="s">
        <v>16</v>
      </c>
      <c r="C1013" s="57"/>
      <c r="D1013" s="57"/>
      <c r="E1013" s="57"/>
      <c r="F1013" s="57"/>
      <c r="G1013" s="6" t="str">
        <f>VLOOKUP($N1009,[94]Base_02!$A$5:$AD$24,3,0)</f>
        <v>Nama PB 17</v>
      </c>
      <c r="H1013" s="6"/>
      <c r="I1013" s="6"/>
      <c r="J1013" s="6"/>
      <c r="K1013" s="6"/>
      <c r="L1013" s="6"/>
      <c r="M1013" s="6"/>
    </row>
    <row r="1014" spans="1:17" ht="15" customHeight="1" x14ac:dyDescent="0.15">
      <c r="A1014" s="6"/>
      <c r="B1014" s="57" t="s">
        <v>17</v>
      </c>
      <c r="C1014" s="57"/>
      <c r="D1014" s="57"/>
      <c r="E1014" s="57"/>
      <c r="F1014" s="57"/>
      <c r="G1014" s="6">
        <f>VLOOKUP($N1009,[94]Base_02!$A$5:$AD$24,14,0)</f>
        <v>0</v>
      </c>
      <c r="H1014" s="6"/>
      <c r="I1014" s="6"/>
      <c r="J1014" s="6"/>
      <c r="K1014" s="6"/>
      <c r="L1014" s="6"/>
      <c r="M1014" s="6"/>
    </row>
    <row r="1015" spans="1:17" ht="15" customHeight="1" x14ac:dyDescent="0.15">
      <c r="A1015" s="6"/>
      <c r="B1015" s="57" t="s">
        <v>18</v>
      </c>
      <c r="C1015" s="57"/>
      <c r="D1015" s="57"/>
      <c r="E1015" s="57"/>
      <c r="F1015" s="57"/>
      <c r="G1015" s="6" t="str">
        <f>VLOOKUP(N1009,[94]Base_02!$A$5:$Z$24,11,FALSE)&amp;", RT "&amp;VLOOKUP(N1009,[94]Base_02!$A$5:$Z$24,12,FALSE)&amp;", RW "&amp;VLOOKUP(N1009,[94]Base_02!$A$5:$Z$24,13,FALSE)</f>
        <v>Jalan Kanal Victory, RT 1, RW 2</v>
      </c>
      <c r="H1015" s="6"/>
      <c r="I1015" s="6"/>
      <c r="J1015" s="6"/>
      <c r="K1015" s="6"/>
      <c r="L1015" s="6"/>
      <c r="M1015" s="6"/>
    </row>
    <row r="1016" spans="1:17" ht="15" customHeight="1" x14ac:dyDescent="0.15">
      <c r="A1016" s="6"/>
      <c r="B1016" s="57" t="str">
        <f>[94]Base_01!$B$2</f>
        <v>Kelurahan</v>
      </c>
      <c r="C1016" s="57"/>
      <c r="D1016" s="57"/>
      <c r="E1016" s="57"/>
      <c r="F1016" s="57"/>
      <c r="G1016" s="10" t="str">
        <f>[94]Base_01!$C$2</f>
        <v>Klasabi</v>
      </c>
      <c r="H1016" s="6"/>
      <c r="I1016" s="6"/>
      <c r="J1016" s="6"/>
      <c r="K1016" s="6"/>
      <c r="L1016" s="6"/>
      <c r="M1016" s="6"/>
    </row>
    <row r="1017" spans="1:17" ht="15" customHeight="1" x14ac:dyDescent="0.15">
      <c r="A1017" s="6"/>
      <c r="B1017" s="57" t="s">
        <v>19</v>
      </c>
      <c r="C1017" s="57"/>
      <c r="D1017" s="57"/>
      <c r="E1017" s="57"/>
      <c r="F1017" s="57"/>
      <c r="G1017" s="10" t="str">
        <f>[94]Base_01!$C$3</f>
        <v>Sorong Manoi</v>
      </c>
      <c r="H1017" s="6"/>
      <c r="I1017" s="6"/>
      <c r="J1017" s="6"/>
      <c r="K1017" s="6"/>
      <c r="L1017" s="6"/>
      <c r="M1017" s="6"/>
    </row>
    <row r="1018" spans="1:17" ht="15" customHeight="1" x14ac:dyDescent="0.15">
      <c r="A1018" s="6"/>
      <c r="B1018" s="57" t="str">
        <f>[94]Base_01!$B$4</f>
        <v>Kota</v>
      </c>
      <c r="C1018" s="57"/>
      <c r="D1018" s="57"/>
      <c r="E1018" s="57"/>
      <c r="F1018" s="57"/>
      <c r="G1018" s="10" t="str">
        <f>[94]Base_01!$C$4</f>
        <v>Sorong</v>
      </c>
      <c r="H1018" s="6"/>
      <c r="I1018" s="6"/>
      <c r="J1018" s="6"/>
      <c r="K1018" s="6"/>
      <c r="L1018" s="6"/>
      <c r="M1018" s="6"/>
    </row>
    <row r="1019" spans="1:17" ht="15" customHeight="1" x14ac:dyDescent="0.15">
      <c r="A1019" s="6"/>
      <c r="B1019" s="57" t="s">
        <v>20</v>
      </c>
      <c r="C1019" s="57"/>
      <c r="D1019" s="57"/>
      <c r="E1019" s="57"/>
      <c r="F1019" s="57"/>
      <c r="G1019" s="11" t="str">
        <f>[94]Base_01!$C$5</f>
        <v>Papua Barat Daya</v>
      </c>
      <c r="H1019" s="6"/>
      <c r="I1019" s="6"/>
      <c r="J1019" s="6"/>
      <c r="K1019" s="6"/>
      <c r="L1019" s="6"/>
      <c r="M1019" s="6"/>
    </row>
    <row r="1020" spans="1:17" ht="15" customHeight="1" x14ac:dyDescent="0.15">
      <c r="A1020" s="6"/>
      <c r="B1020" s="57" t="s">
        <v>21</v>
      </c>
      <c r="C1020" s="57"/>
      <c r="D1020" s="57"/>
      <c r="E1020" s="57"/>
      <c r="F1020" s="57"/>
      <c r="G1020" s="6" t="str">
        <f>VLOOKUP($N1009,[94]Base_02!$A$5:$AG$24,32,0)&amp;" - "&amp;VLOOKUP($N1009,[94]Base_02!$A$5:$AG$24,31,0)</f>
        <v>1600006544346 - Bank Mandiri</v>
      </c>
      <c r="H1020" s="6"/>
      <c r="I1020" s="6"/>
      <c r="J1020" s="6"/>
      <c r="K1020" s="6"/>
      <c r="L1020" s="6"/>
      <c r="M1020" s="6"/>
    </row>
    <row r="1021" spans="1:17" ht="15" customHeight="1" x14ac:dyDescent="0.15">
      <c r="A1021" s="6"/>
      <c r="B1021" s="6"/>
      <c r="C1021" s="6"/>
      <c r="D1021" s="6"/>
      <c r="E1021" s="6"/>
      <c r="F1021" s="6"/>
      <c r="G1021" s="6"/>
      <c r="H1021" s="6"/>
      <c r="I1021" s="6"/>
      <c r="J1021" s="6"/>
      <c r="K1021" s="6"/>
      <c r="L1021" s="6"/>
      <c r="M1021" s="6"/>
    </row>
    <row r="1022" spans="1:17" ht="15" customHeight="1" x14ac:dyDescent="0.15">
      <c r="A1022" s="8" t="s">
        <v>22</v>
      </c>
      <c r="B1022" s="9" t="s">
        <v>23</v>
      </c>
      <c r="C1022" s="6"/>
      <c r="D1022" s="6"/>
      <c r="E1022" s="6"/>
      <c r="F1022" s="6"/>
      <c r="G1022" s="6"/>
      <c r="H1022" s="6"/>
      <c r="I1022" s="6"/>
      <c r="J1022" s="6"/>
      <c r="K1022" s="6"/>
      <c r="L1022" s="6"/>
      <c r="M1022" s="6"/>
    </row>
    <row r="1023" spans="1:17" ht="15" customHeight="1" x14ac:dyDescent="0.15">
      <c r="A1023" s="6"/>
      <c r="B1023" s="66" t="s">
        <v>30</v>
      </c>
      <c r="C1023" s="66"/>
      <c r="D1023" s="66"/>
      <c r="E1023" s="66"/>
      <c r="F1023" s="66" t="s">
        <v>31</v>
      </c>
      <c r="G1023" s="66"/>
      <c r="H1023" s="66"/>
      <c r="I1023" s="66"/>
      <c r="J1023" s="66" t="s">
        <v>32</v>
      </c>
      <c r="K1023" s="66"/>
      <c r="L1023" s="66"/>
      <c r="M1023" s="66"/>
      <c r="O1023" s="15" t="s">
        <v>61</v>
      </c>
    </row>
    <row r="1024" spans="1:17" ht="15" customHeight="1" x14ac:dyDescent="0.15">
      <c r="A1024" s="6"/>
      <c r="B1024" s="66"/>
      <c r="C1024" s="66"/>
      <c r="D1024" s="66"/>
      <c r="E1024" s="66"/>
      <c r="F1024" s="66"/>
      <c r="G1024" s="66"/>
      <c r="H1024" s="66"/>
      <c r="I1024" s="66"/>
      <c r="J1024" s="66"/>
      <c r="K1024" s="66"/>
      <c r="L1024" s="66"/>
      <c r="M1024" s="66"/>
      <c r="Q1024" s="5" t="s">
        <v>62</v>
      </c>
    </row>
    <row r="1025" spans="1:13" ht="15" customHeight="1" x14ac:dyDescent="0.15">
      <c r="A1025" s="6"/>
      <c r="B1025" s="66"/>
      <c r="C1025" s="66"/>
      <c r="D1025" s="66"/>
      <c r="E1025" s="66"/>
      <c r="F1025" s="66"/>
      <c r="G1025" s="66"/>
      <c r="H1025" s="66"/>
      <c r="I1025" s="66"/>
      <c r="J1025" s="66"/>
      <c r="K1025" s="66"/>
      <c r="L1025" s="66"/>
      <c r="M1025" s="66"/>
    </row>
    <row r="1026" spans="1:13" ht="15" customHeight="1" x14ac:dyDescent="0.15">
      <c r="A1026" s="6"/>
      <c r="B1026" s="66"/>
      <c r="C1026" s="66"/>
      <c r="D1026" s="66"/>
      <c r="E1026" s="66"/>
      <c r="F1026" s="66"/>
      <c r="G1026" s="66"/>
      <c r="H1026" s="66"/>
      <c r="I1026" s="66"/>
      <c r="J1026" s="66"/>
      <c r="K1026" s="66"/>
      <c r="L1026" s="66"/>
      <c r="M1026" s="66"/>
    </row>
    <row r="1027" spans="1:13" ht="15" customHeight="1" x14ac:dyDescent="0.15">
      <c r="A1027" s="6"/>
      <c r="B1027" s="66"/>
      <c r="C1027" s="66"/>
      <c r="D1027" s="66"/>
      <c r="E1027" s="66"/>
      <c r="F1027" s="66"/>
      <c r="G1027" s="66"/>
      <c r="H1027" s="66"/>
      <c r="I1027" s="66"/>
      <c r="J1027" s="66"/>
      <c r="K1027" s="66"/>
      <c r="L1027" s="66"/>
      <c r="M1027" s="66"/>
    </row>
    <row r="1028" spans="1:13" ht="15" customHeight="1" x14ac:dyDescent="0.15">
      <c r="A1028" s="6"/>
      <c r="B1028" s="66"/>
      <c r="C1028" s="66"/>
      <c r="D1028" s="66"/>
      <c r="E1028" s="66"/>
      <c r="F1028" s="66"/>
      <c r="G1028" s="66"/>
      <c r="H1028" s="66"/>
      <c r="I1028" s="66"/>
      <c r="J1028" s="66"/>
      <c r="K1028" s="66"/>
      <c r="L1028" s="66"/>
      <c r="M1028" s="66"/>
    </row>
    <row r="1029" spans="1:13" ht="15" customHeight="1" x14ac:dyDescent="0.15">
      <c r="A1029" s="6"/>
      <c r="B1029" s="6"/>
      <c r="C1029" s="6"/>
      <c r="D1029" s="6"/>
      <c r="E1029" s="6"/>
      <c r="F1029" s="6"/>
      <c r="G1029" s="6"/>
      <c r="H1029" s="6"/>
      <c r="I1029" s="6"/>
      <c r="J1029" s="6"/>
      <c r="K1029" s="6"/>
      <c r="L1029" s="6"/>
      <c r="M1029" s="6"/>
    </row>
    <row r="1030" spans="1:13" ht="15" customHeight="1" x14ac:dyDescent="0.15">
      <c r="A1030" s="8" t="s">
        <v>24</v>
      </c>
      <c r="B1030" s="9" t="s">
        <v>25</v>
      </c>
      <c r="C1030" s="6"/>
      <c r="D1030" s="6"/>
      <c r="E1030" s="6"/>
      <c r="F1030" s="6"/>
      <c r="G1030" s="6"/>
      <c r="H1030" s="6"/>
      <c r="I1030" s="6"/>
      <c r="J1030" s="6"/>
      <c r="K1030" s="6"/>
      <c r="L1030" s="6"/>
      <c r="M1030" s="6"/>
    </row>
    <row r="1031" spans="1:13" ht="15" customHeight="1" x14ac:dyDescent="0.15">
      <c r="A1031" s="12"/>
      <c r="B1031" s="66" t="s">
        <v>35</v>
      </c>
      <c r="C1031" s="66"/>
      <c r="D1031" s="66"/>
      <c r="E1031" s="66"/>
      <c r="F1031" s="66"/>
      <c r="G1031" s="66"/>
      <c r="H1031" s="66" t="s">
        <v>36</v>
      </c>
      <c r="I1031" s="66"/>
      <c r="J1031" s="66"/>
      <c r="K1031" s="66"/>
      <c r="L1031" s="66"/>
      <c r="M1031" s="66"/>
    </row>
    <row r="1032" spans="1:13" ht="15" customHeight="1" x14ac:dyDescent="0.15">
      <c r="A1032" s="6"/>
      <c r="B1032" s="66"/>
      <c r="C1032" s="66"/>
      <c r="D1032" s="66"/>
      <c r="E1032" s="66"/>
      <c r="F1032" s="66"/>
      <c r="G1032" s="66"/>
      <c r="H1032" s="66"/>
      <c r="I1032" s="66"/>
      <c r="J1032" s="66"/>
      <c r="K1032" s="66"/>
      <c r="L1032" s="66"/>
      <c r="M1032" s="66"/>
    </row>
    <row r="1033" spans="1:13" ht="15" customHeight="1" x14ac:dyDescent="0.15">
      <c r="A1033" s="6"/>
      <c r="B1033" s="66"/>
      <c r="C1033" s="66"/>
      <c r="D1033" s="66"/>
      <c r="E1033" s="66"/>
      <c r="F1033" s="66"/>
      <c r="G1033" s="66"/>
      <c r="H1033" s="66"/>
      <c r="I1033" s="66"/>
      <c r="J1033" s="66"/>
      <c r="K1033" s="66"/>
      <c r="L1033" s="66"/>
      <c r="M1033" s="66"/>
    </row>
    <row r="1034" spans="1:13" ht="15" customHeight="1" x14ac:dyDescent="0.15">
      <c r="A1034" s="6"/>
      <c r="B1034" s="66"/>
      <c r="C1034" s="66"/>
      <c r="D1034" s="66"/>
      <c r="E1034" s="66"/>
      <c r="F1034" s="66"/>
      <c r="G1034" s="66"/>
      <c r="H1034" s="66"/>
      <c r="I1034" s="66"/>
      <c r="J1034" s="66"/>
      <c r="K1034" s="66"/>
      <c r="L1034" s="66"/>
      <c r="M1034" s="66"/>
    </row>
    <row r="1035" spans="1:13" ht="15" customHeight="1" x14ac:dyDescent="0.15">
      <c r="A1035" s="6"/>
      <c r="B1035" s="66"/>
      <c r="C1035" s="66"/>
      <c r="D1035" s="66"/>
      <c r="E1035" s="66"/>
      <c r="F1035" s="66"/>
      <c r="G1035" s="66"/>
      <c r="H1035" s="66"/>
      <c r="I1035" s="66"/>
      <c r="J1035" s="66"/>
      <c r="K1035" s="66"/>
      <c r="L1035" s="66"/>
      <c r="M1035" s="66"/>
    </row>
    <row r="1036" spans="1:13" ht="15" customHeight="1" x14ac:dyDescent="0.15">
      <c r="A1036" s="6"/>
      <c r="B1036" s="66"/>
      <c r="C1036" s="66"/>
      <c r="D1036" s="66"/>
      <c r="E1036" s="66"/>
      <c r="F1036" s="66"/>
      <c r="G1036" s="66"/>
      <c r="H1036" s="66"/>
      <c r="I1036" s="66"/>
      <c r="J1036" s="66"/>
      <c r="K1036" s="66"/>
      <c r="L1036" s="66"/>
      <c r="M1036" s="66"/>
    </row>
    <row r="1037" spans="1:13" ht="15" customHeight="1" x14ac:dyDescent="0.15">
      <c r="A1037" s="6"/>
      <c r="B1037" s="66"/>
      <c r="C1037" s="66"/>
      <c r="D1037" s="66"/>
      <c r="E1037" s="66"/>
      <c r="F1037" s="66"/>
      <c r="G1037" s="66"/>
      <c r="H1037" s="66"/>
      <c r="I1037" s="66"/>
      <c r="J1037" s="66"/>
      <c r="K1037" s="66"/>
      <c r="L1037" s="66"/>
      <c r="M1037" s="66"/>
    </row>
    <row r="1038" spans="1:13" ht="15" customHeight="1" x14ac:dyDescent="0.15">
      <c r="A1038" s="6"/>
      <c r="B1038" s="66"/>
      <c r="C1038" s="66"/>
      <c r="D1038" s="66"/>
      <c r="E1038" s="66"/>
      <c r="F1038" s="66"/>
      <c r="G1038" s="66"/>
      <c r="H1038" s="66"/>
      <c r="I1038" s="66"/>
      <c r="J1038" s="66"/>
      <c r="K1038" s="66"/>
      <c r="L1038" s="66"/>
      <c r="M1038" s="66"/>
    </row>
    <row r="1039" spans="1:13" ht="15" customHeight="1" x14ac:dyDescent="0.15">
      <c r="A1039" s="6"/>
      <c r="B1039" s="6"/>
      <c r="C1039" s="6"/>
      <c r="D1039" s="6"/>
      <c r="E1039" s="6"/>
      <c r="F1039" s="6"/>
      <c r="G1039" s="6"/>
      <c r="H1039" s="6"/>
      <c r="I1039" s="6"/>
      <c r="J1039" s="6"/>
      <c r="K1039" s="6"/>
      <c r="L1039" s="6"/>
      <c r="M1039" s="6"/>
    </row>
    <row r="1040" spans="1:13" ht="15" customHeight="1" x14ac:dyDescent="0.15">
      <c r="A1040" s="8" t="s">
        <v>26</v>
      </c>
      <c r="B1040" s="9" t="s">
        <v>27</v>
      </c>
      <c r="C1040" s="6"/>
      <c r="D1040" s="6"/>
      <c r="E1040" s="6"/>
      <c r="F1040" s="6"/>
      <c r="G1040" s="6"/>
      <c r="H1040" s="6"/>
      <c r="I1040" s="6"/>
      <c r="J1040" s="6"/>
      <c r="K1040" s="6"/>
      <c r="L1040" s="6"/>
      <c r="M1040" s="6"/>
    </row>
    <row r="1041" spans="1:13" ht="15" customHeight="1" x14ac:dyDescent="0.15">
      <c r="A1041" s="12"/>
      <c r="B1041" s="66" t="s">
        <v>30</v>
      </c>
      <c r="C1041" s="66"/>
      <c r="D1041" s="66"/>
      <c r="E1041" s="66"/>
      <c r="F1041" s="66" t="s">
        <v>33</v>
      </c>
      <c r="G1041" s="66"/>
      <c r="H1041" s="66"/>
      <c r="I1041" s="66"/>
      <c r="J1041" s="66" t="s">
        <v>34</v>
      </c>
      <c r="K1041" s="66"/>
      <c r="L1041" s="66"/>
      <c r="M1041" s="66"/>
    </row>
    <row r="1042" spans="1:13" ht="15" customHeight="1" x14ac:dyDescent="0.15">
      <c r="A1042" s="6"/>
      <c r="B1042" s="66"/>
      <c r="C1042" s="66"/>
      <c r="D1042" s="66"/>
      <c r="E1042" s="66"/>
      <c r="F1042" s="66"/>
      <c r="G1042" s="66"/>
      <c r="H1042" s="66"/>
      <c r="I1042" s="66"/>
      <c r="J1042" s="66"/>
      <c r="K1042" s="66"/>
      <c r="L1042" s="66"/>
      <c r="M1042" s="66"/>
    </row>
    <row r="1043" spans="1:13" ht="15" customHeight="1" x14ac:dyDescent="0.15">
      <c r="A1043" s="6"/>
      <c r="B1043" s="66"/>
      <c r="C1043" s="66"/>
      <c r="D1043" s="66"/>
      <c r="E1043" s="66"/>
      <c r="F1043" s="66"/>
      <c r="G1043" s="66"/>
      <c r="H1043" s="66"/>
      <c r="I1043" s="66"/>
      <c r="J1043" s="66"/>
      <c r="K1043" s="66"/>
      <c r="L1043" s="66"/>
      <c r="M1043" s="66"/>
    </row>
    <row r="1044" spans="1:13" ht="15" customHeight="1" x14ac:dyDescent="0.15">
      <c r="A1044" s="6"/>
      <c r="B1044" s="66"/>
      <c r="C1044" s="66"/>
      <c r="D1044" s="66"/>
      <c r="E1044" s="66"/>
      <c r="F1044" s="66"/>
      <c r="G1044" s="66"/>
      <c r="H1044" s="66"/>
      <c r="I1044" s="66"/>
      <c r="J1044" s="66"/>
      <c r="K1044" s="66"/>
      <c r="L1044" s="66"/>
      <c r="M1044" s="66"/>
    </row>
    <row r="1045" spans="1:13" ht="15" customHeight="1" x14ac:dyDescent="0.15">
      <c r="A1045" s="6"/>
      <c r="B1045" s="66"/>
      <c r="C1045" s="66"/>
      <c r="D1045" s="66"/>
      <c r="E1045" s="66"/>
      <c r="F1045" s="66"/>
      <c r="G1045" s="66"/>
      <c r="H1045" s="66"/>
      <c r="I1045" s="66"/>
      <c r="J1045" s="66"/>
      <c r="K1045" s="66"/>
      <c r="L1045" s="66"/>
      <c r="M1045" s="66"/>
    </row>
    <row r="1046" spans="1:13" ht="15" customHeight="1" x14ac:dyDescent="0.15">
      <c r="A1046" s="6"/>
      <c r="B1046" s="66"/>
      <c r="C1046" s="66"/>
      <c r="D1046" s="66"/>
      <c r="E1046" s="66"/>
      <c r="F1046" s="66"/>
      <c r="G1046" s="66"/>
      <c r="H1046" s="66"/>
      <c r="I1046" s="66"/>
      <c r="J1046" s="66"/>
      <c r="K1046" s="66"/>
      <c r="L1046" s="66"/>
      <c r="M1046" s="66"/>
    </row>
    <row r="1047" spans="1:13" ht="15" customHeight="1" x14ac:dyDescent="0.15">
      <c r="A1047" s="6"/>
      <c r="B1047" s="6"/>
      <c r="C1047" s="6"/>
      <c r="D1047" s="6"/>
      <c r="E1047" s="6"/>
      <c r="F1047" s="6"/>
      <c r="G1047" s="6"/>
      <c r="H1047" s="6"/>
      <c r="I1047" s="6"/>
      <c r="J1047" s="6"/>
      <c r="K1047" s="6"/>
      <c r="L1047" s="6"/>
      <c r="M1047" s="6"/>
    </row>
    <row r="1048" spans="1:13" ht="15" customHeight="1" x14ac:dyDescent="0.15">
      <c r="A1048" s="8" t="s">
        <v>28</v>
      </c>
      <c r="B1048" s="9" t="s">
        <v>29</v>
      </c>
      <c r="C1048" s="6"/>
      <c r="D1048" s="6"/>
      <c r="E1048" s="6"/>
      <c r="F1048" s="6"/>
      <c r="G1048" s="6"/>
      <c r="H1048" s="6"/>
      <c r="I1048" s="6"/>
      <c r="J1048" s="6"/>
      <c r="K1048" s="6"/>
      <c r="L1048" s="6"/>
      <c r="M1048" s="6"/>
    </row>
    <row r="1049" spans="1:13" ht="15" customHeight="1" x14ac:dyDescent="0.15">
      <c r="A1049" s="6"/>
      <c r="B1049" s="6" t="s">
        <v>37</v>
      </c>
      <c r="C1049" s="6"/>
      <c r="D1049" s="6"/>
      <c r="E1049" s="6"/>
      <c r="F1049" s="6"/>
      <c r="G1049" s="6"/>
      <c r="H1049" s="6"/>
      <c r="I1049" s="6"/>
      <c r="J1049" s="6"/>
      <c r="K1049" s="6"/>
      <c r="L1049" s="6"/>
      <c r="M1049" s="6"/>
    </row>
    <row r="1050" spans="1:13" ht="15" customHeight="1" x14ac:dyDescent="0.15">
      <c r="A1050" s="6"/>
      <c r="B1050" s="6" t="s">
        <v>38</v>
      </c>
      <c r="C1050" s="65" t="s">
        <v>41</v>
      </c>
      <c r="D1050" s="65"/>
      <c r="E1050" s="65"/>
      <c r="F1050" s="65"/>
      <c r="G1050" s="65"/>
      <c r="H1050" s="65"/>
      <c r="I1050" s="65"/>
      <c r="J1050" s="65"/>
      <c r="K1050" s="65"/>
      <c r="L1050" s="65"/>
      <c r="M1050" s="65"/>
    </row>
    <row r="1051" spans="1:13" ht="15" customHeight="1" x14ac:dyDescent="0.15">
      <c r="A1051" s="6"/>
      <c r="B1051" s="6"/>
      <c r="C1051" s="65"/>
      <c r="D1051" s="65"/>
      <c r="E1051" s="65"/>
      <c r="F1051" s="65"/>
      <c r="G1051" s="65"/>
      <c r="H1051" s="65"/>
      <c r="I1051" s="65"/>
      <c r="J1051" s="65"/>
      <c r="K1051" s="65"/>
      <c r="L1051" s="65"/>
      <c r="M1051" s="65"/>
    </row>
    <row r="1052" spans="1:13" ht="15" customHeight="1" x14ac:dyDescent="0.15">
      <c r="A1052" s="6"/>
      <c r="B1052" s="6" t="s">
        <v>39</v>
      </c>
      <c r="C1052" s="64" t="s">
        <v>40</v>
      </c>
      <c r="D1052" s="64"/>
      <c r="E1052" s="64"/>
      <c r="F1052" s="64"/>
      <c r="G1052" s="64"/>
      <c r="H1052" s="64"/>
      <c r="I1052" s="64"/>
      <c r="J1052" s="64"/>
      <c r="K1052" s="64"/>
      <c r="L1052" s="64"/>
      <c r="M1052" s="64"/>
    </row>
    <row r="1053" spans="1:13" ht="15" customHeight="1" x14ac:dyDescent="0.15">
      <c r="A1053" s="6"/>
      <c r="B1053" s="6" t="s">
        <v>42</v>
      </c>
      <c r="C1053" s="64" t="s">
        <v>43</v>
      </c>
      <c r="D1053" s="64"/>
      <c r="E1053" s="64"/>
      <c r="F1053" s="64"/>
      <c r="G1053" s="64"/>
      <c r="H1053" s="64"/>
      <c r="I1053" s="64"/>
      <c r="J1053" s="64"/>
      <c r="K1053" s="64"/>
      <c r="L1053" s="64"/>
      <c r="M1053" s="64"/>
    </row>
    <row r="1054" spans="1:13" ht="15" customHeight="1" x14ac:dyDescent="0.15">
      <c r="A1054" s="6"/>
      <c r="B1054" s="6" t="s">
        <v>44</v>
      </c>
      <c r="C1054" s="64" t="s">
        <v>45</v>
      </c>
      <c r="D1054" s="64"/>
      <c r="E1054" s="64"/>
      <c r="F1054" s="64"/>
      <c r="G1054" s="64"/>
      <c r="H1054" s="64"/>
      <c r="I1054" s="64"/>
      <c r="J1054" s="64"/>
      <c r="K1054" s="64"/>
      <c r="L1054" s="64"/>
      <c r="M1054" s="64"/>
    </row>
    <row r="1055" spans="1:13" ht="15" customHeight="1" x14ac:dyDescent="0.15">
      <c r="A1055" s="6"/>
      <c r="B1055" s="6" t="s">
        <v>46</v>
      </c>
      <c r="C1055" s="64" t="s">
        <v>47</v>
      </c>
      <c r="D1055" s="64"/>
      <c r="E1055" s="64"/>
      <c r="F1055" s="64"/>
      <c r="G1055" s="64"/>
      <c r="H1055" s="64"/>
      <c r="I1055" s="64"/>
      <c r="J1055" s="64"/>
      <c r="K1055" s="64"/>
      <c r="L1055" s="64"/>
      <c r="M1055" s="64"/>
    </row>
    <row r="1056" spans="1:13" ht="15" customHeight="1" x14ac:dyDescent="0.15">
      <c r="A1056" s="6"/>
      <c r="B1056" s="6" t="s">
        <v>50</v>
      </c>
      <c r="C1056" s="64" t="s">
        <v>48</v>
      </c>
      <c r="D1056" s="64"/>
      <c r="E1056" s="64"/>
      <c r="F1056" s="64"/>
      <c r="G1056" s="64"/>
      <c r="H1056" s="64"/>
      <c r="I1056" s="64"/>
      <c r="J1056" s="64"/>
      <c r="K1056" s="64"/>
      <c r="L1056" s="64"/>
      <c r="M1056" s="64"/>
    </row>
    <row r="1057" spans="1:14" ht="15" customHeight="1" x14ac:dyDescent="0.15">
      <c r="A1057" s="6"/>
      <c r="B1057" s="6" t="s">
        <v>51</v>
      </c>
      <c r="C1057" s="64" t="s">
        <v>49</v>
      </c>
      <c r="D1057" s="64"/>
      <c r="E1057" s="64"/>
      <c r="F1057" s="64"/>
      <c r="G1057" s="64"/>
      <c r="H1057" s="64"/>
      <c r="I1057" s="64"/>
      <c r="J1057" s="64"/>
      <c r="K1057" s="64"/>
      <c r="L1057" s="64"/>
      <c r="M1057" s="64"/>
    </row>
    <row r="1058" spans="1:14" ht="15" customHeight="1" x14ac:dyDescent="0.15">
      <c r="A1058" s="6"/>
      <c r="B1058" s="6" t="s">
        <v>52</v>
      </c>
      <c r="C1058" s="64" t="s">
        <v>154</v>
      </c>
      <c r="D1058" s="64"/>
      <c r="E1058" s="64"/>
      <c r="F1058" s="64"/>
      <c r="G1058" s="64"/>
      <c r="H1058" s="64"/>
      <c r="I1058" s="64"/>
      <c r="J1058" s="64"/>
      <c r="K1058" s="64"/>
      <c r="L1058" s="64"/>
      <c r="M1058" s="64"/>
    </row>
    <row r="1059" spans="1:14" ht="15" customHeight="1" x14ac:dyDescent="0.15">
      <c r="A1059" s="6"/>
      <c r="B1059" s="6" t="s">
        <v>53</v>
      </c>
      <c r="C1059" s="65" t="s">
        <v>54</v>
      </c>
      <c r="D1059" s="65"/>
      <c r="E1059" s="65"/>
      <c r="F1059" s="65"/>
      <c r="G1059" s="65"/>
      <c r="H1059" s="65"/>
      <c r="I1059" s="65"/>
      <c r="J1059" s="65"/>
      <c r="K1059" s="65"/>
      <c r="L1059" s="65"/>
      <c r="M1059" s="65"/>
    </row>
    <row r="1060" spans="1:14" ht="15" customHeight="1" x14ac:dyDescent="0.15">
      <c r="A1060" s="6"/>
      <c r="B1060" s="6"/>
      <c r="C1060" s="65"/>
      <c r="D1060" s="65"/>
      <c r="E1060" s="65"/>
      <c r="F1060" s="65"/>
      <c r="G1060" s="65"/>
      <c r="H1060" s="65"/>
      <c r="I1060" s="65"/>
      <c r="J1060" s="65"/>
      <c r="K1060" s="65"/>
      <c r="L1060" s="65"/>
      <c r="M1060" s="65"/>
    </row>
    <row r="1061" spans="1:14" ht="15" customHeight="1" x14ac:dyDescent="0.15">
      <c r="A1061" s="6"/>
      <c r="B1061" s="6"/>
      <c r="C1061" s="6"/>
      <c r="D1061" s="6"/>
      <c r="E1061" s="6"/>
      <c r="F1061" s="6"/>
      <c r="G1061" s="6"/>
      <c r="H1061" s="6"/>
      <c r="I1061" s="6"/>
      <c r="J1061" s="6"/>
      <c r="K1061" s="6"/>
      <c r="L1061" s="6"/>
      <c r="M1061" s="6"/>
    </row>
    <row r="1062" spans="1:14" ht="15" customHeight="1" x14ac:dyDescent="0.15">
      <c r="A1062" s="6"/>
      <c r="B1062" s="6"/>
      <c r="C1062" s="6"/>
      <c r="D1062" s="6"/>
      <c r="E1062" s="6"/>
      <c r="F1062" s="6"/>
      <c r="G1062" s="6"/>
      <c r="H1062" s="6"/>
      <c r="I1062" s="6"/>
      <c r="J1062" s="6"/>
      <c r="K1062" s="6"/>
      <c r="L1062" s="6"/>
      <c r="M1062" s="13" t="str">
        <f>[94]Base_01!$C$4&amp;", …..  …........................  2026"</f>
        <v>Sorong, …..  …........................  2026</v>
      </c>
    </row>
    <row r="1063" spans="1:14" ht="15" customHeight="1" x14ac:dyDescent="0.15">
      <c r="A1063" s="6"/>
      <c r="B1063" s="6"/>
      <c r="C1063" s="6"/>
      <c r="D1063" s="6"/>
      <c r="E1063" s="6"/>
      <c r="F1063" s="6"/>
      <c r="G1063" s="6"/>
      <c r="H1063" s="6"/>
      <c r="I1063" s="6"/>
      <c r="J1063" s="6"/>
      <c r="K1063" s="6"/>
      <c r="L1063" s="6"/>
      <c r="M1063" s="6"/>
    </row>
    <row r="1064" spans="1:14" ht="15" customHeight="1" x14ac:dyDescent="0.15">
      <c r="A1064" s="6"/>
      <c r="B1064" s="63" t="s">
        <v>57</v>
      </c>
      <c r="C1064" s="63"/>
      <c r="D1064" s="63"/>
      <c r="E1064" s="63"/>
      <c r="F1064" s="63" t="s">
        <v>56</v>
      </c>
      <c r="G1064" s="63"/>
      <c r="H1064" s="63"/>
      <c r="I1064" s="63"/>
      <c r="J1064" s="6"/>
      <c r="K1064" s="6"/>
      <c r="L1064" s="6"/>
      <c r="M1064" s="6"/>
    </row>
    <row r="1065" spans="1:14" ht="15" customHeight="1" x14ac:dyDescent="0.15">
      <c r="A1065" s="6"/>
      <c r="B1065" s="63" t="s">
        <v>60</v>
      </c>
      <c r="C1065" s="63"/>
      <c r="D1065" s="63"/>
      <c r="E1065" s="63"/>
      <c r="F1065" s="63" t="s">
        <v>58</v>
      </c>
      <c r="G1065" s="63"/>
      <c r="H1065" s="63"/>
      <c r="I1065" s="63"/>
      <c r="J1065" s="63" t="s">
        <v>55</v>
      </c>
      <c r="K1065" s="63"/>
      <c r="L1065" s="63"/>
      <c r="M1065" s="63"/>
    </row>
    <row r="1066" spans="1:14" ht="15" customHeight="1" x14ac:dyDescent="0.15">
      <c r="A1066" s="6"/>
      <c r="B1066" s="63" t="str">
        <f>[94]Base_01!$B$4&amp;" "&amp;[94]Base_01!$C$4</f>
        <v>Kota Sorong</v>
      </c>
      <c r="C1066" s="63"/>
      <c r="D1066" s="63"/>
      <c r="E1066" s="63"/>
      <c r="F1066" s="63" t="s">
        <v>59</v>
      </c>
      <c r="G1066" s="63"/>
      <c r="H1066" s="63"/>
      <c r="I1066" s="63"/>
      <c r="J1066" s="6"/>
      <c r="K1066" s="6"/>
      <c r="L1066" s="6"/>
      <c r="M1066" s="6"/>
    </row>
    <row r="1067" spans="1:14" ht="15" customHeight="1" x14ac:dyDescent="0.15">
      <c r="A1067" s="6"/>
      <c r="B1067" s="14"/>
      <c r="C1067" s="14"/>
      <c r="D1067" s="14"/>
      <c r="E1067" s="14"/>
      <c r="F1067" s="14"/>
      <c r="G1067" s="14"/>
      <c r="H1067" s="14"/>
      <c r="I1067" s="6"/>
      <c r="J1067" s="6"/>
      <c r="K1067" s="6"/>
      <c r="L1067" s="6"/>
      <c r="M1067" s="6"/>
    </row>
    <row r="1068" spans="1:14" ht="15" customHeight="1" x14ac:dyDescent="0.15">
      <c r="A1068" s="6"/>
      <c r="B1068" s="14"/>
      <c r="C1068" s="14"/>
      <c r="D1068" s="14"/>
      <c r="E1068" s="14"/>
      <c r="F1068" s="14"/>
      <c r="G1068" s="14"/>
      <c r="H1068" s="14"/>
      <c r="I1068" s="6"/>
      <c r="J1068" s="6"/>
      <c r="K1068" s="6"/>
      <c r="L1068" s="6"/>
      <c r="M1068" s="6"/>
    </row>
    <row r="1069" spans="1:14" ht="15" customHeight="1" x14ac:dyDescent="0.15">
      <c r="A1069" s="6"/>
      <c r="B1069" s="6"/>
      <c r="C1069" s="6"/>
      <c r="D1069" s="6"/>
      <c r="E1069" s="6"/>
      <c r="F1069" s="6"/>
      <c r="G1069" s="6"/>
      <c r="H1069" s="6"/>
      <c r="I1069" s="6"/>
      <c r="J1069" s="6"/>
      <c r="K1069" s="6"/>
      <c r="L1069" s="6"/>
      <c r="M1069" s="6"/>
    </row>
    <row r="1070" spans="1:14" ht="15" customHeight="1" x14ac:dyDescent="0.15">
      <c r="A1070" s="6"/>
      <c r="B1070" s="6"/>
      <c r="C1070" s="6"/>
      <c r="D1070" s="6"/>
      <c r="E1070" s="6"/>
      <c r="F1070" s="6"/>
      <c r="G1070" s="6"/>
      <c r="H1070" s="6"/>
      <c r="I1070" s="6"/>
      <c r="J1070" s="6"/>
      <c r="K1070" s="6"/>
      <c r="L1070" s="6"/>
      <c r="M1070" s="6"/>
    </row>
    <row r="1071" spans="1:14" ht="15" customHeight="1" x14ac:dyDescent="0.15">
      <c r="A1071" s="6"/>
      <c r="B1071" s="63" t="str">
        <f>[94]Base_01!$C$17</f>
        <v>AfrIandi Yudhistira, S.T.</v>
      </c>
      <c r="C1071" s="63"/>
      <c r="D1071" s="63"/>
      <c r="E1071" s="63"/>
      <c r="F1071" s="63" t="str">
        <f>[94]Base_01!$C$20</f>
        <v>…...............         …...............</v>
      </c>
      <c r="G1071" s="63"/>
      <c r="H1071" s="63"/>
      <c r="I1071" s="63"/>
      <c r="J1071" s="63" t="str">
        <f>G1013</f>
        <v>Nama PB 17</v>
      </c>
      <c r="K1071" s="63"/>
      <c r="L1071" s="63"/>
      <c r="M1071" s="63"/>
    </row>
    <row r="1072" spans="1:14" ht="16" customHeight="1" x14ac:dyDescent="0.15">
      <c r="A1072" s="67" t="s">
        <v>14</v>
      </c>
      <c r="B1072" s="67"/>
      <c r="C1072" s="67"/>
      <c r="D1072" s="67"/>
      <c r="E1072" s="67"/>
      <c r="F1072" s="67"/>
      <c r="G1072" s="67"/>
      <c r="H1072" s="67"/>
      <c r="I1072" s="67"/>
      <c r="J1072" s="67"/>
      <c r="K1072" s="67"/>
      <c r="L1072" s="67"/>
      <c r="M1072" s="67"/>
      <c r="N1072" s="5">
        <f>N1009+1</f>
        <v>18</v>
      </c>
    </row>
    <row r="1073" spans="1:17" ht="16" customHeight="1" x14ac:dyDescent="0.15">
      <c r="A1073" s="67" t="str">
        <f>"NOMOR "&amp;VLOOKUP($N1072,[94]Base_02!$A$5:$AD$24,2,0)</f>
        <v>NOMOR 000018</v>
      </c>
      <c r="B1073" s="67"/>
      <c r="C1073" s="67"/>
      <c r="D1073" s="67"/>
      <c r="E1073" s="67"/>
      <c r="F1073" s="67"/>
      <c r="G1073" s="67"/>
      <c r="H1073" s="67"/>
      <c r="I1073" s="67"/>
      <c r="J1073" s="67"/>
      <c r="K1073" s="67"/>
      <c r="L1073" s="67"/>
      <c r="M1073" s="67"/>
    </row>
    <row r="1074" spans="1:17" x14ac:dyDescent="0.15">
      <c r="A1074" s="6"/>
      <c r="B1074" s="7"/>
      <c r="C1074" s="7"/>
      <c r="D1074" s="7"/>
      <c r="E1074" s="7"/>
      <c r="F1074" s="7"/>
      <c r="G1074" s="7"/>
      <c r="H1074" s="7"/>
      <c r="I1074" s="7"/>
      <c r="J1074" s="7"/>
      <c r="K1074" s="6"/>
      <c r="L1074" s="6"/>
      <c r="M1074" s="6"/>
    </row>
    <row r="1075" spans="1:17" ht="15" customHeight="1" x14ac:dyDescent="0.15">
      <c r="A1075" s="8" t="s">
        <v>13</v>
      </c>
      <c r="B1075" s="9" t="s">
        <v>15</v>
      </c>
      <c r="C1075" s="6"/>
      <c r="D1075" s="6"/>
      <c r="E1075" s="6"/>
      <c r="F1075" s="6"/>
      <c r="G1075" s="6"/>
      <c r="H1075" s="6"/>
      <c r="I1075" s="6"/>
      <c r="J1075" s="6"/>
      <c r="K1075" s="6"/>
      <c r="L1075" s="6"/>
      <c r="M1075" s="6"/>
    </row>
    <row r="1076" spans="1:17" ht="15" customHeight="1" x14ac:dyDescent="0.15">
      <c r="A1076" s="6"/>
      <c r="B1076" s="57" t="s">
        <v>16</v>
      </c>
      <c r="C1076" s="57"/>
      <c r="D1076" s="57"/>
      <c r="E1076" s="57"/>
      <c r="F1076" s="57"/>
      <c r="G1076" s="6" t="str">
        <f>VLOOKUP($N1072,[94]Base_02!$A$5:$AD$24,3,0)</f>
        <v>Nama PB 18</v>
      </c>
      <c r="H1076" s="6"/>
      <c r="I1076" s="6"/>
      <c r="J1076" s="6"/>
      <c r="K1076" s="6"/>
      <c r="L1076" s="6"/>
      <c r="M1076" s="6"/>
    </row>
    <row r="1077" spans="1:17" ht="15" customHeight="1" x14ac:dyDescent="0.15">
      <c r="A1077" s="6"/>
      <c r="B1077" s="57" t="s">
        <v>17</v>
      </c>
      <c r="C1077" s="57"/>
      <c r="D1077" s="57"/>
      <c r="E1077" s="57"/>
      <c r="F1077" s="57"/>
      <c r="G1077" s="6">
        <f>VLOOKUP($N1072,[94]Base_02!$A$5:$AD$24,14,0)</f>
        <v>0</v>
      </c>
      <c r="H1077" s="6"/>
      <c r="I1077" s="6"/>
      <c r="J1077" s="6"/>
      <c r="K1077" s="6"/>
      <c r="L1077" s="6"/>
      <c r="M1077" s="6"/>
    </row>
    <row r="1078" spans="1:17" ht="15" customHeight="1" x14ac:dyDescent="0.15">
      <c r="A1078" s="6"/>
      <c r="B1078" s="57" t="s">
        <v>18</v>
      </c>
      <c r="C1078" s="57"/>
      <c r="D1078" s="57"/>
      <c r="E1078" s="57"/>
      <c r="F1078" s="57"/>
      <c r="G1078" s="6" t="str">
        <f>VLOOKUP(N1072,[94]Base_02!$A$5:$Z$24,11,FALSE)&amp;", RT "&amp;VLOOKUP(N1072,[94]Base_02!$A$5:$Z$24,12,FALSE)&amp;", RW "&amp;VLOOKUP(N1072,[94]Base_02!$A$5:$Z$24,13,FALSE)</f>
        <v>Jalan Kanal Victory, RT 1, RW 2</v>
      </c>
      <c r="H1078" s="6"/>
      <c r="I1078" s="6"/>
      <c r="J1078" s="6"/>
      <c r="K1078" s="6"/>
      <c r="L1078" s="6"/>
      <c r="M1078" s="6"/>
    </row>
    <row r="1079" spans="1:17" ht="15" customHeight="1" x14ac:dyDescent="0.15">
      <c r="A1079" s="6"/>
      <c r="B1079" s="57" t="str">
        <f>[94]Base_01!$B$2</f>
        <v>Kelurahan</v>
      </c>
      <c r="C1079" s="57"/>
      <c r="D1079" s="57"/>
      <c r="E1079" s="57"/>
      <c r="F1079" s="57"/>
      <c r="G1079" s="10" t="str">
        <f>[94]Base_01!$C$2</f>
        <v>Klasabi</v>
      </c>
      <c r="H1079" s="6"/>
      <c r="I1079" s="6"/>
      <c r="J1079" s="6"/>
      <c r="K1079" s="6"/>
      <c r="L1079" s="6"/>
      <c r="M1079" s="6"/>
    </row>
    <row r="1080" spans="1:17" ht="15" customHeight="1" x14ac:dyDescent="0.15">
      <c r="A1080" s="6"/>
      <c r="B1080" s="57" t="s">
        <v>19</v>
      </c>
      <c r="C1080" s="57"/>
      <c r="D1080" s="57"/>
      <c r="E1080" s="57"/>
      <c r="F1080" s="57"/>
      <c r="G1080" s="10" t="str">
        <f>[94]Base_01!$C$3</f>
        <v>Sorong Manoi</v>
      </c>
      <c r="H1080" s="6"/>
      <c r="I1080" s="6"/>
      <c r="J1080" s="6"/>
      <c r="K1080" s="6"/>
      <c r="L1080" s="6"/>
      <c r="M1080" s="6"/>
    </row>
    <row r="1081" spans="1:17" ht="15" customHeight="1" x14ac:dyDescent="0.15">
      <c r="A1081" s="6"/>
      <c r="B1081" s="57" t="str">
        <f>[94]Base_01!$B$4</f>
        <v>Kota</v>
      </c>
      <c r="C1081" s="57"/>
      <c r="D1081" s="57"/>
      <c r="E1081" s="57"/>
      <c r="F1081" s="57"/>
      <c r="G1081" s="10" t="str">
        <f>[94]Base_01!$C$4</f>
        <v>Sorong</v>
      </c>
      <c r="H1081" s="6"/>
      <c r="I1081" s="6"/>
      <c r="J1081" s="6"/>
      <c r="K1081" s="6"/>
      <c r="L1081" s="6"/>
      <c r="M1081" s="6"/>
    </row>
    <row r="1082" spans="1:17" ht="15" customHeight="1" x14ac:dyDescent="0.15">
      <c r="A1082" s="6"/>
      <c r="B1082" s="57" t="s">
        <v>20</v>
      </c>
      <c r="C1082" s="57"/>
      <c r="D1082" s="57"/>
      <c r="E1082" s="57"/>
      <c r="F1082" s="57"/>
      <c r="G1082" s="11" t="str">
        <f>[94]Base_01!$C$5</f>
        <v>Papua Barat Daya</v>
      </c>
      <c r="H1082" s="6"/>
      <c r="I1082" s="6"/>
      <c r="J1082" s="6"/>
      <c r="K1082" s="6"/>
      <c r="L1082" s="6"/>
      <c r="M1082" s="6"/>
    </row>
    <row r="1083" spans="1:17" ht="15" customHeight="1" x14ac:dyDescent="0.15">
      <c r="A1083" s="6"/>
      <c r="B1083" s="57" t="s">
        <v>21</v>
      </c>
      <c r="C1083" s="57"/>
      <c r="D1083" s="57"/>
      <c r="E1083" s="57"/>
      <c r="F1083" s="57"/>
      <c r="G1083" s="6" t="str">
        <f>VLOOKUP($N1072,[94]Base_02!$A$5:$AG$24,32,0)&amp;" - "&amp;VLOOKUP($N1072,[94]Base_02!$A$5:$AG$24,31,0)</f>
        <v>1600006544353 - Bank Mandiri</v>
      </c>
      <c r="H1083" s="6"/>
      <c r="I1083" s="6"/>
      <c r="J1083" s="6"/>
      <c r="K1083" s="6"/>
      <c r="L1083" s="6"/>
      <c r="M1083" s="6"/>
    </row>
    <row r="1084" spans="1:17" ht="15" customHeight="1" x14ac:dyDescent="0.15">
      <c r="A1084" s="6"/>
      <c r="B1084" s="6"/>
      <c r="C1084" s="6"/>
      <c r="D1084" s="6"/>
      <c r="E1084" s="6"/>
      <c r="F1084" s="6"/>
      <c r="G1084" s="6"/>
      <c r="H1084" s="6"/>
      <c r="I1084" s="6"/>
      <c r="J1084" s="6"/>
      <c r="K1084" s="6"/>
      <c r="L1084" s="6"/>
      <c r="M1084" s="6"/>
    </row>
    <row r="1085" spans="1:17" ht="15" customHeight="1" x14ac:dyDescent="0.15">
      <c r="A1085" s="8" t="s">
        <v>22</v>
      </c>
      <c r="B1085" s="9" t="s">
        <v>23</v>
      </c>
      <c r="C1085" s="6"/>
      <c r="D1085" s="6"/>
      <c r="E1085" s="6"/>
      <c r="F1085" s="6"/>
      <c r="G1085" s="6"/>
      <c r="H1085" s="6"/>
      <c r="I1085" s="6"/>
      <c r="J1085" s="6"/>
      <c r="K1085" s="6"/>
      <c r="L1085" s="6"/>
      <c r="M1085" s="6"/>
    </row>
    <row r="1086" spans="1:17" ht="15" customHeight="1" x14ac:dyDescent="0.15">
      <c r="A1086" s="6"/>
      <c r="B1086" s="66" t="s">
        <v>30</v>
      </c>
      <c r="C1086" s="66"/>
      <c r="D1086" s="66"/>
      <c r="E1086" s="66"/>
      <c r="F1086" s="66" t="s">
        <v>31</v>
      </c>
      <c r="G1086" s="66"/>
      <c r="H1086" s="66"/>
      <c r="I1086" s="66"/>
      <c r="J1086" s="66" t="s">
        <v>32</v>
      </c>
      <c r="K1086" s="66"/>
      <c r="L1086" s="66"/>
      <c r="M1086" s="66"/>
      <c r="O1086" s="15" t="s">
        <v>61</v>
      </c>
    </row>
    <row r="1087" spans="1:17" ht="15" customHeight="1" x14ac:dyDescent="0.15">
      <c r="A1087" s="6"/>
      <c r="B1087" s="66"/>
      <c r="C1087" s="66"/>
      <c r="D1087" s="66"/>
      <c r="E1087" s="66"/>
      <c r="F1087" s="66"/>
      <c r="G1087" s="66"/>
      <c r="H1087" s="66"/>
      <c r="I1087" s="66"/>
      <c r="J1087" s="66"/>
      <c r="K1087" s="66"/>
      <c r="L1087" s="66"/>
      <c r="M1087" s="66"/>
      <c r="Q1087" s="5" t="s">
        <v>62</v>
      </c>
    </row>
    <row r="1088" spans="1:17" ht="15" customHeight="1" x14ac:dyDescent="0.15">
      <c r="A1088" s="6"/>
      <c r="B1088" s="66"/>
      <c r="C1088" s="66"/>
      <c r="D1088" s="66"/>
      <c r="E1088" s="66"/>
      <c r="F1088" s="66"/>
      <c r="G1088" s="66"/>
      <c r="H1088" s="66"/>
      <c r="I1088" s="66"/>
      <c r="J1088" s="66"/>
      <c r="K1088" s="66"/>
      <c r="L1088" s="66"/>
      <c r="M1088" s="66"/>
    </row>
    <row r="1089" spans="1:13" ht="15" customHeight="1" x14ac:dyDescent="0.15">
      <c r="A1089" s="6"/>
      <c r="B1089" s="66"/>
      <c r="C1089" s="66"/>
      <c r="D1089" s="66"/>
      <c r="E1089" s="66"/>
      <c r="F1089" s="66"/>
      <c r="G1089" s="66"/>
      <c r="H1089" s="66"/>
      <c r="I1089" s="66"/>
      <c r="J1089" s="66"/>
      <c r="K1089" s="66"/>
      <c r="L1089" s="66"/>
      <c r="M1089" s="66"/>
    </row>
    <row r="1090" spans="1:13" ht="15" customHeight="1" x14ac:dyDescent="0.15">
      <c r="A1090" s="6"/>
      <c r="B1090" s="66"/>
      <c r="C1090" s="66"/>
      <c r="D1090" s="66"/>
      <c r="E1090" s="66"/>
      <c r="F1090" s="66"/>
      <c r="G1090" s="66"/>
      <c r="H1090" s="66"/>
      <c r="I1090" s="66"/>
      <c r="J1090" s="66"/>
      <c r="K1090" s="66"/>
      <c r="L1090" s="66"/>
      <c r="M1090" s="66"/>
    </row>
    <row r="1091" spans="1:13" ht="15" customHeight="1" x14ac:dyDescent="0.15">
      <c r="A1091" s="6"/>
      <c r="B1091" s="66"/>
      <c r="C1091" s="66"/>
      <c r="D1091" s="66"/>
      <c r="E1091" s="66"/>
      <c r="F1091" s="66"/>
      <c r="G1091" s="66"/>
      <c r="H1091" s="66"/>
      <c r="I1091" s="66"/>
      <c r="J1091" s="66"/>
      <c r="K1091" s="66"/>
      <c r="L1091" s="66"/>
      <c r="M1091" s="66"/>
    </row>
    <row r="1092" spans="1:13" ht="15" customHeight="1" x14ac:dyDescent="0.15">
      <c r="A1092" s="6"/>
      <c r="B1092" s="6"/>
      <c r="C1092" s="6"/>
      <c r="D1092" s="6"/>
      <c r="E1092" s="6"/>
      <c r="F1092" s="6"/>
      <c r="G1092" s="6"/>
      <c r="H1092" s="6"/>
      <c r="I1092" s="6"/>
      <c r="J1092" s="6"/>
      <c r="K1092" s="6"/>
      <c r="L1092" s="6"/>
      <c r="M1092" s="6"/>
    </row>
    <row r="1093" spans="1:13" ht="15" customHeight="1" x14ac:dyDescent="0.15">
      <c r="A1093" s="8" t="s">
        <v>24</v>
      </c>
      <c r="B1093" s="9" t="s">
        <v>25</v>
      </c>
      <c r="C1093" s="6"/>
      <c r="D1093" s="6"/>
      <c r="E1093" s="6"/>
      <c r="F1093" s="6"/>
      <c r="G1093" s="6"/>
      <c r="H1093" s="6"/>
      <c r="I1093" s="6"/>
      <c r="J1093" s="6"/>
      <c r="K1093" s="6"/>
      <c r="L1093" s="6"/>
      <c r="M1093" s="6"/>
    </row>
    <row r="1094" spans="1:13" ht="15" customHeight="1" x14ac:dyDescent="0.15">
      <c r="A1094" s="12"/>
      <c r="B1094" s="66" t="s">
        <v>35</v>
      </c>
      <c r="C1094" s="66"/>
      <c r="D1094" s="66"/>
      <c r="E1094" s="66"/>
      <c r="F1094" s="66"/>
      <c r="G1094" s="66"/>
      <c r="H1094" s="66" t="s">
        <v>36</v>
      </c>
      <c r="I1094" s="66"/>
      <c r="J1094" s="66"/>
      <c r="K1094" s="66"/>
      <c r="L1094" s="66"/>
      <c r="M1094" s="66"/>
    </row>
    <row r="1095" spans="1:13" ht="15" customHeight="1" x14ac:dyDescent="0.15">
      <c r="A1095" s="6"/>
      <c r="B1095" s="66"/>
      <c r="C1095" s="66"/>
      <c r="D1095" s="66"/>
      <c r="E1095" s="66"/>
      <c r="F1095" s="66"/>
      <c r="G1095" s="66"/>
      <c r="H1095" s="66"/>
      <c r="I1095" s="66"/>
      <c r="J1095" s="66"/>
      <c r="K1095" s="66"/>
      <c r="L1095" s="66"/>
      <c r="M1095" s="66"/>
    </row>
    <row r="1096" spans="1:13" ht="15" customHeight="1" x14ac:dyDescent="0.15">
      <c r="A1096" s="6"/>
      <c r="B1096" s="66"/>
      <c r="C1096" s="66"/>
      <c r="D1096" s="66"/>
      <c r="E1096" s="66"/>
      <c r="F1096" s="66"/>
      <c r="G1096" s="66"/>
      <c r="H1096" s="66"/>
      <c r="I1096" s="66"/>
      <c r="J1096" s="66"/>
      <c r="K1096" s="66"/>
      <c r="L1096" s="66"/>
      <c r="M1096" s="66"/>
    </row>
    <row r="1097" spans="1:13" ht="15" customHeight="1" x14ac:dyDescent="0.15">
      <c r="A1097" s="6"/>
      <c r="B1097" s="66"/>
      <c r="C1097" s="66"/>
      <c r="D1097" s="66"/>
      <c r="E1097" s="66"/>
      <c r="F1097" s="66"/>
      <c r="G1097" s="66"/>
      <c r="H1097" s="66"/>
      <c r="I1097" s="66"/>
      <c r="J1097" s="66"/>
      <c r="K1097" s="66"/>
      <c r="L1097" s="66"/>
      <c r="M1097" s="66"/>
    </row>
    <row r="1098" spans="1:13" ht="15" customHeight="1" x14ac:dyDescent="0.15">
      <c r="A1098" s="6"/>
      <c r="B1098" s="66"/>
      <c r="C1098" s="66"/>
      <c r="D1098" s="66"/>
      <c r="E1098" s="66"/>
      <c r="F1098" s="66"/>
      <c r="G1098" s="66"/>
      <c r="H1098" s="66"/>
      <c r="I1098" s="66"/>
      <c r="J1098" s="66"/>
      <c r="K1098" s="66"/>
      <c r="L1098" s="66"/>
      <c r="M1098" s="66"/>
    </row>
    <row r="1099" spans="1:13" ht="15" customHeight="1" x14ac:dyDescent="0.15">
      <c r="A1099" s="6"/>
      <c r="B1099" s="66"/>
      <c r="C1099" s="66"/>
      <c r="D1099" s="66"/>
      <c r="E1099" s="66"/>
      <c r="F1099" s="66"/>
      <c r="G1099" s="66"/>
      <c r="H1099" s="66"/>
      <c r="I1099" s="66"/>
      <c r="J1099" s="66"/>
      <c r="K1099" s="66"/>
      <c r="L1099" s="66"/>
      <c r="M1099" s="66"/>
    </row>
    <row r="1100" spans="1:13" ht="15" customHeight="1" x14ac:dyDescent="0.15">
      <c r="A1100" s="6"/>
      <c r="B1100" s="66"/>
      <c r="C1100" s="66"/>
      <c r="D1100" s="66"/>
      <c r="E1100" s="66"/>
      <c r="F1100" s="66"/>
      <c r="G1100" s="66"/>
      <c r="H1100" s="66"/>
      <c r="I1100" s="66"/>
      <c r="J1100" s="66"/>
      <c r="K1100" s="66"/>
      <c r="L1100" s="66"/>
      <c r="M1100" s="66"/>
    </row>
    <row r="1101" spans="1:13" ht="15" customHeight="1" x14ac:dyDescent="0.15">
      <c r="A1101" s="6"/>
      <c r="B1101" s="66"/>
      <c r="C1101" s="66"/>
      <c r="D1101" s="66"/>
      <c r="E1101" s="66"/>
      <c r="F1101" s="66"/>
      <c r="G1101" s="66"/>
      <c r="H1101" s="66"/>
      <c r="I1101" s="66"/>
      <c r="J1101" s="66"/>
      <c r="K1101" s="66"/>
      <c r="L1101" s="66"/>
      <c r="M1101" s="66"/>
    </row>
    <row r="1102" spans="1:13" ht="15" customHeight="1" x14ac:dyDescent="0.15">
      <c r="A1102" s="6"/>
      <c r="B1102" s="6"/>
      <c r="C1102" s="6"/>
      <c r="D1102" s="6"/>
      <c r="E1102" s="6"/>
      <c r="F1102" s="6"/>
      <c r="G1102" s="6"/>
      <c r="H1102" s="6"/>
      <c r="I1102" s="6"/>
      <c r="J1102" s="6"/>
      <c r="K1102" s="6"/>
      <c r="L1102" s="6"/>
      <c r="M1102" s="6"/>
    </row>
    <row r="1103" spans="1:13" ht="15" customHeight="1" x14ac:dyDescent="0.15">
      <c r="A1103" s="8" t="s">
        <v>26</v>
      </c>
      <c r="B1103" s="9" t="s">
        <v>27</v>
      </c>
      <c r="C1103" s="6"/>
      <c r="D1103" s="6"/>
      <c r="E1103" s="6"/>
      <c r="F1103" s="6"/>
      <c r="G1103" s="6"/>
      <c r="H1103" s="6"/>
      <c r="I1103" s="6"/>
      <c r="J1103" s="6"/>
      <c r="K1103" s="6"/>
      <c r="L1103" s="6"/>
      <c r="M1103" s="6"/>
    </row>
    <row r="1104" spans="1:13" ht="15" customHeight="1" x14ac:dyDescent="0.15">
      <c r="A1104" s="12"/>
      <c r="B1104" s="66" t="s">
        <v>30</v>
      </c>
      <c r="C1104" s="66"/>
      <c r="D1104" s="66"/>
      <c r="E1104" s="66"/>
      <c r="F1104" s="66" t="s">
        <v>33</v>
      </c>
      <c r="G1104" s="66"/>
      <c r="H1104" s="66"/>
      <c r="I1104" s="66"/>
      <c r="J1104" s="66" t="s">
        <v>34</v>
      </c>
      <c r="K1104" s="66"/>
      <c r="L1104" s="66"/>
      <c r="M1104" s="66"/>
    </row>
    <row r="1105" spans="1:13" ht="15" customHeight="1" x14ac:dyDescent="0.15">
      <c r="A1105" s="6"/>
      <c r="B1105" s="66"/>
      <c r="C1105" s="66"/>
      <c r="D1105" s="66"/>
      <c r="E1105" s="66"/>
      <c r="F1105" s="66"/>
      <c r="G1105" s="66"/>
      <c r="H1105" s="66"/>
      <c r="I1105" s="66"/>
      <c r="J1105" s="66"/>
      <c r="K1105" s="66"/>
      <c r="L1105" s="66"/>
      <c r="M1105" s="66"/>
    </row>
    <row r="1106" spans="1:13" ht="15" customHeight="1" x14ac:dyDescent="0.15">
      <c r="A1106" s="6"/>
      <c r="B1106" s="66"/>
      <c r="C1106" s="66"/>
      <c r="D1106" s="66"/>
      <c r="E1106" s="66"/>
      <c r="F1106" s="66"/>
      <c r="G1106" s="66"/>
      <c r="H1106" s="66"/>
      <c r="I1106" s="66"/>
      <c r="J1106" s="66"/>
      <c r="K1106" s="66"/>
      <c r="L1106" s="66"/>
      <c r="M1106" s="66"/>
    </row>
    <row r="1107" spans="1:13" ht="15" customHeight="1" x14ac:dyDescent="0.15">
      <c r="A1107" s="6"/>
      <c r="B1107" s="66"/>
      <c r="C1107" s="66"/>
      <c r="D1107" s="66"/>
      <c r="E1107" s="66"/>
      <c r="F1107" s="66"/>
      <c r="G1107" s="66"/>
      <c r="H1107" s="66"/>
      <c r="I1107" s="66"/>
      <c r="J1107" s="66"/>
      <c r="K1107" s="66"/>
      <c r="L1107" s="66"/>
      <c r="M1107" s="66"/>
    </row>
    <row r="1108" spans="1:13" ht="15" customHeight="1" x14ac:dyDescent="0.15">
      <c r="A1108" s="6"/>
      <c r="B1108" s="66"/>
      <c r="C1108" s="66"/>
      <c r="D1108" s="66"/>
      <c r="E1108" s="66"/>
      <c r="F1108" s="66"/>
      <c r="G1108" s="66"/>
      <c r="H1108" s="66"/>
      <c r="I1108" s="66"/>
      <c r="J1108" s="66"/>
      <c r="K1108" s="66"/>
      <c r="L1108" s="66"/>
      <c r="M1108" s="66"/>
    </row>
    <row r="1109" spans="1:13" ht="15" customHeight="1" x14ac:dyDescent="0.15">
      <c r="A1109" s="6"/>
      <c r="B1109" s="66"/>
      <c r="C1109" s="66"/>
      <c r="D1109" s="66"/>
      <c r="E1109" s="66"/>
      <c r="F1109" s="66"/>
      <c r="G1109" s="66"/>
      <c r="H1109" s="66"/>
      <c r="I1109" s="66"/>
      <c r="J1109" s="66"/>
      <c r="K1109" s="66"/>
      <c r="L1109" s="66"/>
      <c r="M1109" s="66"/>
    </row>
    <row r="1110" spans="1:13" ht="15" customHeight="1" x14ac:dyDescent="0.15">
      <c r="A1110" s="6"/>
      <c r="B1110" s="6"/>
      <c r="C1110" s="6"/>
      <c r="D1110" s="6"/>
      <c r="E1110" s="6"/>
      <c r="F1110" s="6"/>
      <c r="G1110" s="6"/>
      <c r="H1110" s="6"/>
      <c r="I1110" s="6"/>
      <c r="J1110" s="6"/>
      <c r="K1110" s="6"/>
      <c r="L1110" s="6"/>
      <c r="M1110" s="6"/>
    </row>
    <row r="1111" spans="1:13" ht="15" customHeight="1" x14ac:dyDescent="0.15">
      <c r="A1111" s="8" t="s">
        <v>28</v>
      </c>
      <c r="B1111" s="9" t="s">
        <v>29</v>
      </c>
      <c r="C1111" s="6"/>
      <c r="D1111" s="6"/>
      <c r="E1111" s="6"/>
      <c r="F1111" s="6"/>
      <c r="G1111" s="6"/>
      <c r="H1111" s="6"/>
      <c r="I1111" s="6"/>
      <c r="J1111" s="6"/>
      <c r="K1111" s="6"/>
      <c r="L1111" s="6"/>
      <c r="M1111" s="6"/>
    </row>
    <row r="1112" spans="1:13" ht="15" customHeight="1" x14ac:dyDescent="0.15">
      <c r="A1112" s="6"/>
      <c r="B1112" s="6" t="s">
        <v>37</v>
      </c>
      <c r="C1112" s="6"/>
      <c r="D1112" s="6"/>
      <c r="E1112" s="6"/>
      <c r="F1112" s="6"/>
      <c r="G1112" s="6"/>
      <c r="H1112" s="6"/>
      <c r="I1112" s="6"/>
      <c r="J1112" s="6"/>
      <c r="K1112" s="6"/>
      <c r="L1112" s="6"/>
      <c r="M1112" s="6"/>
    </row>
    <row r="1113" spans="1:13" ht="15" customHeight="1" x14ac:dyDescent="0.15">
      <c r="A1113" s="6"/>
      <c r="B1113" s="6" t="s">
        <v>38</v>
      </c>
      <c r="C1113" s="65" t="s">
        <v>41</v>
      </c>
      <c r="D1113" s="65"/>
      <c r="E1113" s="65"/>
      <c r="F1113" s="65"/>
      <c r="G1113" s="65"/>
      <c r="H1113" s="65"/>
      <c r="I1113" s="65"/>
      <c r="J1113" s="65"/>
      <c r="K1113" s="65"/>
      <c r="L1113" s="65"/>
      <c r="M1113" s="65"/>
    </row>
    <row r="1114" spans="1:13" ht="15" customHeight="1" x14ac:dyDescent="0.15">
      <c r="A1114" s="6"/>
      <c r="B1114" s="6"/>
      <c r="C1114" s="65"/>
      <c r="D1114" s="65"/>
      <c r="E1114" s="65"/>
      <c r="F1114" s="65"/>
      <c r="G1114" s="65"/>
      <c r="H1114" s="65"/>
      <c r="I1114" s="65"/>
      <c r="J1114" s="65"/>
      <c r="K1114" s="65"/>
      <c r="L1114" s="65"/>
      <c r="M1114" s="65"/>
    </row>
    <row r="1115" spans="1:13" ht="15" customHeight="1" x14ac:dyDescent="0.15">
      <c r="A1115" s="6"/>
      <c r="B1115" s="6" t="s">
        <v>39</v>
      </c>
      <c r="C1115" s="64" t="s">
        <v>40</v>
      </c>
      <c r="D1115" s="64"/>
      <c r="E1115" s="64"/>
      <c r="F1115" s="64"/>
      <c r="G1115" s="64"/>
      <c r="H1115" s="64"/>
      <c r="I1115" s="64"/>
      <c r="J1115" s="64"/>
      <c r="K1115" s="64"/>
      <c r="L1115" s="64"/>
      <c r="M1115" s="64"/>
    </row>
    <row r="1116" spans="1:13" ht="15" customHeight="1" x14ac:dyDescent="0.15">
      <c r="A1116" s="6"/>
      <c r="B1116" s="6" t="s">
        <v>42</v>
      </c>
      <c r="C1116" s="64" t="s">
        <v>43</v>
      </c>
      <c r="D1116" s="64"/>
      <c r="E1116" s="64"/>
      <c r="F1116" s="64"/>
      <c r="G1116" s="64"/>
      <c r="H1116" s="64"/>
      <c r="I1116" s="64"/>
      <c r="J1116" s="64"/>
      <c r="K1116" s="64"/>
      <c r="L1116" s="64"/>
      <c r="M1116" s="64"/>
    </row>
    <row r="1117" spans="1:13" ht="15" customHeight="1" x14ac:dyDescent="0.15">
      <c r="A1117" s="6"/>
      <c r="B1117" s="6" t="s">
        <v>44</v>
      </c>
      <c r="C1117" s="64" t="s">
        <v>45</v>
      </c>
      <c r="D1117" s="64"/>
      <c r="E1117" s="64"/>
      <c r="F1117" s="64"/>
      <c r="G1117" s="64"/>
      <c r="H1117" s="64"/>
      <c r="I1117" s="64"/>
      <c r="J1117" s="64"/>
      <c r="K1117" s="64"/>
      <c r="L1117" s="64"/>
      <c r="M1117" s="64"/>
    </row>
    <row r="1118" spans="1:13" ht="15" customHeight="1" x14ac:dyDescent="0.15">
      <c r="A1118" s="6"/>
      <c r="B1118" s="6" t="s">
        <v>46</v>
      </c>
      <c r="C1118" s="64" t="s">
        <v>47</v>
      </c>
      <c r="D1118" s="64"/>
      <c r="E1118" s="64"/>
      <c r="F1118" s="64"/>
      <c r="G1118" s="64"/>
      <c r="H1118" s="64"/>
      <c r="I1118" s="64"/>
      <c r="J1118" s="64"/>
      <c r="K1118" s="64"/>
      <c r="L1118" s="64"/>
      <c r="M1118" s="64"/>
    </row>
    <row r="1119" spans="1:13" ht="15" customHeight="1" x14ac:dyDescent="0.15">
      <c r="A1119" s="6"/>
      <c r="B1119" s="6" t="s">
        <v>50</v>
      </c>
      <c r="C1119" s="64" t="s">
        <v>48</v>
      </c>
      <c r="D1119" s="64"/>
      <c r="E1119" s="64"/>
      <c r="F1119" s="64"/>
      <c r="G1119" s="64"/>
      <c r="H1119" s="64"/>
      <c r="I1119" s="64"/>
      <c r="J1119" s="64"/>
      <c r="K1119" s="64"/>
      <c r="L1119" s="64"/>
      <c r="M1119" s="64"/>
    </row>
    <row r="1120" spans="1:13" ht="15" customHeight="1" x14ac:dyDescent="0.15">
      <c r="A1120" s="6"/>
      <c r="B1120" s="6" t="s">
        <v>51</v>
      </c>
      <c r="C1120" s="64" t="s">
        <v>49</v>
      </c>
      <c r="D1120" s="64"/>
      <c r="E1120" s="64"/>
      <c r="F1120" s="64"/>
      <c r="G1120" s="64"/>
      <c r="H1120" s="64"/>
      <c r="I1120" s="64"/>
      <c r="J1120" s="64"/>
      <c r="K1120" s="64"/>
      <c r="L1120" s="64"/>
      <c r="M1120" s="64"/>
    </row>
    <row r="1121" spans="1:14" ht="15" customHeight="1" x14ac:dyDescent="0.15">
      <c r="A1121" s="6"/>
      <c r="B1121" s="6" t="s">
        <v>52</v>
      </c>
      <c r="C1121" s="64" t="s">
        <v>154</v>
      </c>
      <c r="D1121" s="64"/>
      <c r="E1121" s="64"/>
      <c r="F1121" s="64"/>
      <c r="G1121" s="64"/>
      <c r="H1121" s="64"/>
      <c r="I1121" s="64"/>
      <c r="J1121" s="64"/>
      <c r="K1121" s="64"/>
      <c r="L1121" s="64"/>
      <c r="M1121" s="64"/>
    </row>
    <row r="1122" spans="1:14" ht="15" customHeight="1" x14ac:dyDescent="0.15">
      <c r="A1122" s="6"/>
      <c r="B1122" s="6" t="s">
        <v>53</v>
      </c>
      <c r="C1122" s="65" t="s">
        <v>54</v>
      </c>
      <c r="D1122" s="65"/>
      <c r="E1122" s="65"/>
      <c r="F1122" s="65"/>
      <c r="G1122" s="65"/>
      <c r="H1122" s="65"/>
      <c r="I1122" s="65"/>
      <c r="J1122" s="65"/>
      <c r="K1122" s="65"/>
      <c r="L1122" s="65"/>
      <c r="M1122" s="65"/>
    </row>
    <row r="1123" spans="1:14" ht="15" customHeight="1" x14ac:dyDescent="0.15">
      <c r="A1123" s="6"/>
      <c r="B1123" s="6"/>
      <c r="C1123" s="65"/>
      <c r="D1123" s="65"/>
      <c r="E1123" s="65"/>
      <c r="F1123" s="65"/>
      <c r="G1123" s="65"/>
      <c r="H1123" s="65"/>
      <c r="I1123" s="65"/>
      <c r="J1123" s="65"/>
      <c r="K1123" s="65"/>
      <c r="L1123" s="65"/>
      <c r="M1123" s="65"/>
    </row>
    <row r="1124" spans="1:14" ht="15" customHeight="1" x14ac:dyDescent="0.15">
      <c r="A1124" s="6"/>
      <c r="B1124" s="6"/>
      <c r="C1124" s="6"/>
      <c r="D1124" s="6"/>
      <c r="E1124" s="6"/>
      <c r="F1124" s="6"/>
      <c r="G1124" s="6"/>
      <c r="H1124" s="6"/>
      <c r="I1124" s="6"/>
      <c r="J1124" s="6"/>
      <c r="K1124" s="6"/>
      <c r="L1124" s="6"/>
      <c r="M1124" s="6"/>
    </row>
    <row r="1125" spans="1:14" ht="15" customHeight="1" x14ac:dyDescent="0.15">
      <c r="A1125" s="6"/>
      <c r="B1125" s="6"/>
      <c r="C1125" s="6"/>
      <c r="D1125" s="6"/>
      <c r="E1125" s="6"/>
      <c r="F1125" s="6"/>
      <c r="G1125" s="6"/>
      <c r="H1125" s="6"/>
      <c r="I1125" s="6"/>
      <c r="J1125" s="6"/>
      <c r="K1125" s="6"/>
      <c r="L1125" s="6"/>
      <c r="M1125" s="13" t="str">
        <f>[94]Base_01!$C$4&amp;", …..  …........................  2026"</f>
        <v>Sorong, …..  …........................  2026</v>
      </c>
    </row>
    <row r="1126" spans="1:14" ht="15" customHeight="1" x14ac:dyDescent="0.15">
      <c r="A1126" s="6"/>
      <c r="B1126" s="6"/>
      <c r="C1126" s="6"/>
      <c r="D1126" s="6"/>
      <c r="E1126" s="6"/>
      <c r="F1126" s="6"/>
      <c r="G1126" s="6"/>
      <c r="H1126" s="6"/>
      <c r="I1126" s="6"/>
      <c r="J1126" s="6"/>
      <c r="K1126" s="6"/>
      <c r="L1126" s="6"/>
      <c r="M1126" s="6"/>
    </row>
    <row r="1127" spans="1:14" ht="15" customHeight="1" x14ac:dyDescent="0.15">
      <c r="A1127" s="6"/>
      <c r="B1127" s="63" t="s">
        <v>57</v>
      </c>
      <c r="C1127" s="63"/>
      <c r="D1127" s="63"/>
      <c r="E1127" s="63"/>
      <c r="F1127" s="63" t="s">
        <v>56</v>
      </c>
      <c r="G1127" s="63"/>
      <c r="H1127" s="63"/>
      <c r="I1127" s="63"/>
      <c r="J1127" s="6"/>
      <c r="K1127" s="6"/>
      <c r="L1127" s="6"/>
      <c r="M1127" s="6"/>
    </row>
    <row r="1128" spans="1:14" ht="15" customHeight="1" x14ac:dyDescent="0.15">
      <c r="A1128" s="6"/>
      <c r="B1128" s="63" t="s">
        <v>60</v>
      </c>
      <c r="C1128" s="63"/>
      <c r="D1128" s="63"/>
      <c r="E1128" s="63"/>
      <c r="F1128" s="63" t="s">
        <v>58</v>
      </c>
      <c r="G1128" s="63"/>
      <c r="H1128" s="63"/>
      <c r="I1128" s="63"/>
      <c r="J1128" s="63" t="s">
        <v>55</v>
      </c>
      <c r="K1128" s="63"/>
      <c r="L1128" s="63"/>
      <c r="M1128" s="63"/>
    </row>
    <row r="1129" spans="1:14" ht="15" customHeight="1" x14ac:dyDescent="0.15">
      <c r="A1129" s="6"/>
      <c r="B1129" s="63" t="str">
        <f>[94]Base_01!$B$4&amp;" "&amp;[94]Base_01!$C$4</f>
        <v>Kota Sorong</v>
      </c>
      <c r="C1129" s="63"/>
      <c r="D1129" s="63"/>
      <c r="E1129" s="63"/>
      <c r="F1129" s="63" t="s">
        <v>59</v>
      </c>
      <c r="G1129" s="63"/>
      <c r="H1129" s="63"/>
      <c r="I1129" s="63"/>
      <c r="J1129" s="6"/>
      <c r="K1129" s="6"/>
      <c r="L1129" s="6"/>
      <c r="M1129" s="6"/>
    </row>
    <row r="1130" spans="1:14" ht="15" customHeight="1" x14ac:dyDescent="0.15">
      <c r="A1130" s="6"/>
      <c r="B1130" s="14"/>
      <c r="C1130" s="14"/>
      <c r="D1130" s="14"/>
      <c r="E1130" s="14"/>
      <c r="F1130" s="14"/>
      <c r="G1130" s="14"/>
      <c r="H1130" s="14"/>
      <c r="I1130" s="6"/>
      <c r="J1130" s="6"/>
      <c r="K1130" s="6"/>
      <c r="L1130" s="6"/>
      <c r="M1130" s="6"/>
    </row>
    <row r="1131" spans="1:14" ht="15" customHeight="1" x14ac:dyDescent="0.15">
      <c r="A1131" s="6"/>
      <c r="B1131" s="14"/>
      <c r="C1131" s="14"/>
      <c r="D1131" s="14"/>
      <c r="E1131" s="14"/>
      <c r="F1131" s="14"/>
      <c r="G1131" s="14"/>
      <c r="H1131" s="14"/>
      <c r="I1131" s="6"/>
      <c r="J1131" s="6"/>
      <c r="K1131" s="6"/>
      <c r="L1131" s="6"/>
      <c r="M1131" s="6"/>
    </row>
    <row r="1132" spans="1:14" ht="15" customHeight="1" x14ac:dyDescent="0.15">
      <c r="A1132" s="6"/>
      <c r="B1132" s="6"/>
      <c r="C1132" s="6"/>
      <c r="D1132" s="6"/>
      <c r="E1132" s="6"/>
      <c r="F1132" s="6"/>
      <c r="G1132" s="6"/>
      <c r="H1132" s="6"/>
      <c r="I1132" s="6"/>
      <c r="J1132" s="6"/>
      <c r="K1132" s="6"/>
      <c r="L1132" s="6"/>
      <c r="M1132" s="6"/>
    </row>
    <row r="1133" spans="1:14" ht="15" customHeight="1" x14ac:dyDescent="0.15">
      <c r="A1133" s="6"/>
      <c r="B1133" s="6"/>
      <c r="C1133" s="6"/>
      <c r="D1133" s="6"/>
      <c r="E1133" s="6"/>
      <c r="F1133" s="6"/>
      <c r="G1133" s="6"/>
      <c r="H1133" s="6"/>
      <c r="I1133" s="6"/>
      <c r="J1133" s="6"/>
      <c r="K1133" s="6"/>
      <c r="L1133" s="6"/>
      <c r="M1133" s="6"/>
    </row>
    <row r="1134" spans="1:14" ht="15" customHeight="1" x14ac:dyDescent="0.15">
      <c r="A1134" s="6"/>
      <c r="B1134" s="63" t="str">
        <f>[94]Base_01!$C$17</f>
        <v>AfrIandi Yudhistira, S.T.</v>
      </c>
      <c r="C1134" s="63"/>
      <c r="D1134" s="63"/>
      <c r="E1134" s="63"/>
      <c r="F1134" s="63" t="str">
        <f>[94]Base_01!$C$20</f>
        <v>…...............         …...............</v>
      </c>
      <c r="G1134" s="63"/>
      <c r="H1134" s="63"/>
      <c r="I1134" s="63"/>
      <c r="J1134" s="63" t="str">
        <f>G1076</f>
        <v>Nama PB 18</v>
      </c>
      <c r="K1134" s="63"/>
      <c r="L1134" s="63"/>
      <c r="M1134" s="63"/>
    </row>
    <row r="1135" spans="1:14" ht="16" customHeight="1" x14ac:dyDescent="0.15">
      <c r="A1135" s="67" t="s">
        <v>14</v>
      </c>
      <c r="B1135" s="67"/>
      <c r="C1135" s="67"/>
      <c r="D1135" s="67"/>
      <c r="E1135" s="67"/>
      <c r="F1135" s="67"/>
      <c r="G1135" s="67"/>
      <c r="H1135" s="67"/>
      <c r="I1135" s="67"/>
      <c r="J1135" s="67"/>
      <c r="K1135" s="67"/>
      <c r="L1135" s="67"/>
      <c r="M1135" s="67"/>
      <c r="N1135" s="5">
        <f>N1072+1</f>
        <v>19</v>
      </c>
    </row>
    <row r="1136" spans="1:14" ht="16" customHeight="1" x14ac:dyDescent="0.15">
      <c r="A1136" s="67" t="str">
        <f>"NOMOR "&amp;VLOOKUP($N1135,[94]Base_02!$A$5:$AD$24,2,0)</f>
        <v>NOMOR 000019</v>
      </c>
      <c r="B1136" s="67"/>
      <c r="C1136" s="67"/>
      <c r="D1136" s="67"/>
      <c r="E1136" s="67"/>
      <c r="F1136" s="67"/>
      <c r="G1136" s="67"/>
      <c r="H1136" s="67"/>
      <c r="I1136" s="67"/>
      <c r="J1136" s="67"/>
      <c r="K1136" s="67"/>
      <c r="L1136" s="67"/>
      <c r="M1136" s="67"/>
    </row>
    <row r="1137" spans="1:17" x14ac:dyDescent="0.15">
      <c r="A1137" s="6"/>
      <c r="B1137" s="7"/>
      <c r="C1137" s="7"/>
      <c r="D1137" s="7"/>
      <c r="E1137" s="7"/>
      <c r="F1137" s="7"/>
      <c r="G1137" s="7"/>
      <c r="H1137" s="7"/>
      <c r="I1137" s="7"/>
      <c r="J1137" s="7"/>
      <c r="K1137" s="6"/>
      <c r="L1137" s="6"/>
      <c r="M1137" s="6"/>
    </row>
    <row r="1138" spans="1:17" ht="15" customHeight="1" x14ac:dyDescent="0.15">
      <c r="A1138" s="8" t="s">
        <v>13</v>
      </c>
      <c r="B1138" s="9" t="s">
        <v>15</v>
      </c>
      <c r="C1138" s="6"/>
      <c r="D1138" s="6"/>
      <c r="E1138" s="6"/>
      <c r="F1138" s="6"/>
      <c r="G1138" s="6"/>
      <c r="H1138" s="6"/>
      <c r="I1138" s="6"/>
      <c r="J1138" s="6"/>
      <c r="K1138" s="6"/>
      <c r="L1138" s="6"/>
      <c r="M1138" s="6"/>
    </row>
    <row r="1139" spans="1:17" ht="15" customHeight="1" x14ac:dyDescent="0.15">
      <c r="A1139" s="6"/>
      <c r="B1139" s="57" t="s">
        <v>16</v>
      </c>
      <c r="C1139" s="57"/>
      <c r="D1139" s="57"/>
      <c r="E1139" s="57"/>
      <c r="F1139" s="57"/>
      <c r="G1139" s="6" t="str">
        <f>VLOOKUP($N1135,[94]Base_02!$A$5:$AD$24,3,0)</f>
        <v>Nama PB 19</v>
      </c>
      <c r="H1139" s="6"/>
      <c r="I1139" s="6"/>
      <c r="J1139" s="6"/>
      <c r="K1139" s="6"/>
      <c r="L1139" s="6"/>
      <c r="M1139" s="6"/>
    </row>
    <row r="1140" spans="1:17" ht="15" customHeight="1" x14ac:dyDescent="0.15">
      <c r="A1140" s="6"/>
      <c r="B1140" s="57" t="s">
        <v>17</v>
      </c>
      <c r="C1140" s="57"/>
      <c r="D1140" s="57"/>
      <c r="E1140" s="57"/>
      <c r="F1140" s="57"/>
      <c r="G1140" s="6">
        <f>VLOOKUP($N1135,[94]Base_02!$A$5:$AD$24,14,0)</f>
        <v>0</v>
      </c>
      <c r="H1140" s="6"/>
      <c r="I1140" s="6"/>
      <c r="J1140" s="6"/>
      <c r="K1140" s="6"/>
      <c r="L1140" s="6"/>
      <c r="M1140" s="6"/>
    </row>
    <row r="1141" spans="1:17" ht="15" customHeight="1" x14ac:dyDescent="0.15">
      <c r="A1141" s="6"/>
      <c r="B1141" s="57" t="s">
        <v>18</v>
      </c>
      <c r="C1141" s="57"/>
      <c r="D1141" s="57"/>
      <c r="E1141" s="57"/>
      <c r="F1141" s="57"/>
      <c r="G1141" s="6" t="str">
        <f>VLOOKUP(N1135,[94]Base_02!$A$5:$Z$24,11,FALSE)&amp;", RT "&amp;VLOOKUP(N1135,[94]Base_02!$A$5:$Z$24,12,FALSE)&amp;", RW "&amp;VLOOKUP(N1135,[94]Base_02!$A$5:$Z$24,13,FALSE)</f>
        <v>Jalan Kanal Victory, RT 1, RW 2</v>
      </c>
      <c r="H1141" s="6"/>
      <c r="I1141" s="6"/>
      <c r="J1141" s="6"/>
      <c r="K1141" s="6"/>
      <c r="L1141" s="6"/>
      <c r="M1141" s="6"/>
    </row>
    <row r="1142" spans="1:17" ht="15" customHeight="1" x14ac:dyDescent="0.15">
      <c r="A1142" s="6"/>
      <c r="B1142" s="57" t="str">
        <f>[94]Base_01!$B$2</f>
        <v>Kelurahan</v>
      </c>
      <c r="C1142" s="57"/>
      <c r="D1142" s="57"/>
      <c r="E1142" s="57"/>
      <c r="F1142" s="57"/>
      <c r="G1142" s="10" t="str">
        <f>[94]Base_01!$C$2</f>
        <v>Klasabi</v>
      </c>
      <c r="H1142" s="6"/>
      <c r="I1142" s="6"/>
      <c r="J1142" s="6"/>
      <c r="K1142" s="6"/>
      <c r="L1142" s="6"/>
      <c r="M1142" s="6"/>
    </row>
    <row r="1143" spans="1:17" ht="15" customHeight="1" x14ac:dyDescent="0.15">
      <c r="A1143" s="6"/>
      <c r="B1143" s="57" t="s">
        <v>19</v>
      </c>
      <c r="C1143" s="57"/>
      <c r="D1143" s="57"/>
      <c r="E1143" s="57"/>
      <c r="F1143" s="57"/>
      <c r="G1143" s="10" t="str">
        <f>[94]Base_01!$C$3</f>
        <v>Sorong Manoi</v>
      </c>
      <c r="H1143" s="6"/>
      <c r="I1143" s="6"/>
      <c r="J1143" s="6"/>
      <c r="K1143" s="6"/>
      <c r="L1143" s="6"/>
      <c r="M1143" s="6"/>
    </row>
    <row r="1144" spans="1:17" ht="15" customHeight="1" x14ac:dyDescent="0.15">
      <c r="A1144" s="6"/>
      <c r="B1144" s="57" t="str">
        <f>[94]Base_01!$B$4</f>
        <v>Kota</v>
      </c>
      <c r="C1144" s="57"/>
      <c r="D1144" s="57"/>
      <c r="E1144" s="57"/>
      <c r="F1144" s="57"/>
      <c r="G1144" s="10" t="str">
        <f>[94]Base_01!$C$4</f>
        <v>Sorong</v>
      </c>
      <c r="H1144" s="6"/>
      <c r="I1144" s="6"/>
      <c r="J1144" s="6"/>
      <c r="K1144" s="6"/>
      <c r="L1144" s="6"/>
      <c r="M1144" s="6"/>
    </row>
    <row r="1145" spans="1:17" ht="15" customHeight="1" x14ac:dyDescent="0.15">
      <c r="A1145" s="6"/>
      <c r="B1145" s="57" t="s">
        <v>20</v>
      </c>
      <c r="C1145" s="57"/>
      <c r="D1145" s="57"/>
      <c r="E1145" s="57"/>
      <c r="F1145" s="57"/>
      <c r="G1145" s="11" t="str">
        <f>[94]Base_01!$C$5</f>
        <v>Papua Barat Daya</v>
      </c>
      <c r="H1145" s="6"/>
      <c r="I1145" s="6"/>
      <c r="J1145" s="6"/>
      <c r="K1145" s="6"/>
      <c r="L1145" s="6"/>
      <c r="M1145" s="6"/>
    </row>
    <row r="1146" spans="1:17" ht="15" customHeight="1" x14ac:dyDescent="0.15">
      <c r="A1146" s="6"/>
      <c r="B1146" s="57" t="s">
        <v>21</v>
      </c>
      <c r="C1146" s="57"/>
      <c r="D1146" s="57"/>
      <c r="E1146" s="57"/>
      <c r="F1146" s="57"/>
      <c r="G1146" s="6" t="str">
        <f>VLOOKUP($N1135,[94]Base_02!$A$5:$AG$24,32,0)&amp;" - "&amp;VLOOKUP($N1135,[94]Base_02!$A$5:$AG$24,31,0)</f>
        <v>1600006586008 - Bank Mandiri</v>
      </c>
      <c r="H1146" s="6"/>
      <c r="I1146" s="6"/>
      <c r="J1146" s="6"/>
      <c r="K1146" s="6"/>
      <c r="L1146" s="6"/>
      <c r="M1146" s="6"/>
    </row>
    <row r="1147" spans="1:17" ht="15" customHeight="1" x14ac:dyDescent="0.15">
      <c r="A1147" s="6"/>
      <c r="B1147" s="6"/>
      <c r="C1147" s="6"/>
      <c r="D1147" s="6"/>
      <c r="E1147" s="6"/>
      <c r="F1147" s="6"/>
      <c r="G1147" s="6"/>
      <c r="H1147" s="6"/>
      <c r="I1147" s="6"/>
      <c r="J1147" s="6"/>
      <c r="K1147" s="6"/>
      <c r="L1147" s="6"/>
      <c r="M1147" s="6"/>
    </row>
    <row r="1148" spans="1:17" ht="15" customHeight="1" x14ac:dyDescent="0.15">
      <c r="A1148" s="8" t="s">
        <v>22</v>
      </c>
      <c r="B1148" s="9" t="s">
        <v>23</v>
      </c>
      <c r="C1148" s="6"/>
      <c r="D1148" s="6"/>
      <c r="E1148" s="6"/>
      <c r="F1148" s="6"/>
      <c r="G1148" s="6"/>
      <c r="H1148" s="6"/>
      <c r="I1148" s="6"/>
      <c r="J1148" s="6"/>
      <c r="K1148" s="6"/>
      <c r="L1148" s="6"/>
      <c r="M1148" s="6"/>
    </row>
    <row r="1149" spans="1:17" ht="15" customHeight="1" x14ac:dyDescent="0.15">
      <c r="A1149" s="6"/>
      <c r="B1149" s="66" t="s">
        <v>30</v>
      </c>
      <c r="C1149" s="66"/>
      <c r="D1149" s="66"/>
      <c r="E1149" s="66"/>
      <c r="F1149" s="66" t="s">
        <v>31</v>
      </c>
      <c r="G1149" s="66"/>
      <c r="H1149" s="66"/>
      <c r="I1149" s="66"/>
      <c r="J1149" s="66" t="s">
        <v>32</v>
      </c>
      <c r="K1149" s="66"/>
      <c r="L1149" s="66"/>
      <c r="M1149" s="66"/>
      <c r="O1149" s="15" t="s">
        <v>61</v>
      </c>
    </row>
    <row r="1150" spans="1:17" ht="15" customHeight="1" x14ac:dyDescent="0.15">
      <c r="A1150" s="6"/>
      <c r="B1150" s="66"/>
      <c r="C1150" s="66"/>
      <c r="D1150" s="66"/>
      <c r="E1150" s="66"/>
      <c r="F1150" s="66"/>
      <c r="G1150" s="66"/>
      <c r="H1150" s="66"/>
      <c r="I1150" s="66"/>
      <c r="J1150" s="66"/>
      <c r="K1150" s="66"/>
      <c r="L1150" s="66"/>
      <c r="M1150" s="66"/>
      <c r="Q1150" s="5" t="s">
        <v>62</v>
      </c>
    </row>
    <row r="1151" spans="1:17" ht="15" customHeight="1" x14ac:dyDescent="0.15">
      <c r="A1151" s="6"/>
      <c r="B1151" s="66"/>
      <c r="C1151" s="66"/>
      <c r="D1151" s="66"/>
      <c r="E1151" s="66"/>
      <c r="F1151" s="66"/>
      <c r="G1151" s="66"/>
      <c r="H1151" s="66"/>
      <c r="I1151" s="66"/>
      <c r="J1151" s="66"/>
      <c r="K1151" s="66"/>
      <c r="L1151" s="66"/>
      <c r="M1151" s="66"/>
    </row>
    <row r="1152" spans="1:17" ht="15" customHeight="1" x14ac:dyDescent="0.15">
      <c r="A1152" s="6"/>
      <c r="B1152" s="66"/>
      <c r="C1152" s="66"/>
      <c r="D1152" s="66"/>
      <c r="E1152" s="66"/>
      <c r="F1152" s="66"/>
      <c r="G1152" s="66"/>
      <c r="H1152" s="66"/>
      <c r="I1152" s="66"/>
      <c r="J1152" s="66"/>
      <c r="K1152" s="66"/>
      <c r="L1152" s="66"/>
      <c r="M1152" s="66"/>
    </row>
    <row r="1153" spans="1:13" ht="15" customHeight="1" x14ac:dyDescent="0.15">
      <c r="A1153" s="6"/>
      <c r="B1153" s="66"/>
      <c r="C1153" s="66"/>
      <c r="D1153" s="66"/>
      <c r="E1153" s="66"/>
      <c r="F1153" s="66"/>
      <c r="G1153" s="66"/>
      <c r="H1153" s="66"/>
      <c r="I1153" s="66"/>
      <c r="J1153" s="66"/>
      <c r="K1153" s="66"/>
      <c r="L1153" s="66"/>
      <c r="M1153" s="66"/>
    </row>
    <row r="1154" spans="1:13" ht="15" customHeight="1" x14ac:dyDescent="0.15">
      <c r="A1154" s="6"/>
      <c r="B1154" s="66"/>
      <c r="C1154" s="66"/>
      <c r="D1154" s="66"/>
      <c r="E1154" s="66"/>
      <c r="F1154" s="66"/>
      <c r="G1154" s="66"/>
      <c r="H1154" s="66"/>
      <c r="I1154" s="66"/>
      <c r="J1154" s="66"/>
      <c r="K1154" s="66"/>
      <c r="L1154" s="66"/>
      <c r="M1154" s="66"/>
    </row>
    <row r="1155" spans="1:13" ht="15" customHeight="1" x14ac:dyDescent="0.15">
      <c r="A1155" s="6"/>
      <c r="B1155" s="6"/>
      <c r="C1155" s="6"/>
      <c r="D1155" s="6"/>
      <c r="E1155" s="6"/>
      <c r="F1155" s="6"/>
      <c r="G1155" s="6"/>
      <c r="H1155" s="6"/>
      <c r="I1155" s="6"/>
      <c r="J1155" s="6"/>
      <c r="K1155" s="6"/>
      <c r="L1155" s="6"/>
      <c r="M1155" s="6"/>
    </row>
    <row r="1156" spans="1:13" ht="15" customHeight="1" x14ac:dyDescent="0.15">
      <c r="A1156" s="8" t="s">
        <v>24</v>
      </c>
      <c r="B1156" s="9" t="s">
        <v>25</v>
      </c>
      <c r="C1156" s="6"/>
      <c r="D1156" s="6"/>
      <c r="E1156" s="6"/>
      <c r="F1156" s="6"/>
      <c r="G1156" s="6"/>
      <c r="H1156" s="6"/>
      <c r="I1156" s="6"/>
      <c r="J1156" s="6"/>
      <c r="K1156" s="6"/>
      <c r="L1156" s="6"/>
      <c r="M1156" s="6"/>
    </row>
    <row r="1157" spans="1:13" ht="15" customHeight="1" x14ac:dyDescent="0.15">
      <c r="A1157" s="12"/>
      <c r="B1157" s="66" t="s">
        <v>35</v>
      </c>
      <c r="C1157" s="66"/>
      <c r="D1157" s="66"/>
      <c r="E1157" s="66"/>
      <c r="F1157" s="66"/>
      <c r="G1157" s="66"/>
      <c r="H1157" s="66" t="s">
        <v>36</v>
      </c>
      <c r="I1157" s="66"/>
      <c r="J1157" s="66"/>
      <c r="K1157" s="66"/>
      <c r="L1157" s="66"/>
      <c r="M1157" s="66"/>
    </row>
    <row r="1158" spans="1:13" ht="15" customHeight="1" x14ac:dyDescent="0.15">
      <c r="A1158" s="6"/>
      <c r="B1158" s="66"/>
      <c r="C1158" s="66"/>
      <c r="D1158" s="66"/>
      <c r="E1158" s="66"/>
      <c r="F1158" s="66"/>
      <c r="G1158" s="66"/>
      <c r="H1158" s="66"/>
      <c r="I1158" s="66"/>
      <c r="J1158" s="66"/>
      <c r="K1158" s="66"/>
      <c r="L1158" s="66"/>
      <c r="M1158" s="66"/>
    </row>
    <row r="1159" spans="1:13" ht="15" customHeight="1" x14ac:dyDescent="0.15">
      <c r="A1159" s="6"/>
      <c r="B1159" s="66"/>
      <c r="C1159" s="66"/>
      <c r="D1159" s="66"/>
      <c r="E1159" s="66"/>
      <c r="F1159" s="66"/>
      <c r="G1159" s="66"/>
      <c r="H1159" s="66"/>
      <c r="I1159" s="66"/>
      <c r="J1159" s="66"/>
      <c r="K1159" s="66"/>
      <c r="L1159" s="66"/>
      <c r="M1159" s="66"/>
    </row>
    <row r="1160" spans="1:13" ht="15" customHeight="1" x14ac:dyDescent="0.15">
      <c r="A1160" s="6"/>
      <c r="B1160" s="66"/>
      <c r="C1160" s="66"/>
      <c r="D1160" s="66"/>
      <c r="E1160" s="66"/>
      <c r="F1160" s="66"/>
      <c r="G1160" s="66"/>
      <c r="H1160" s="66"/>
      <c r="I1160" s="66"/>
      <c r="J1160" s="66"/>
      <c r="K1160" s="66"/>
      <c r="L1160" s="66"/>
      <c r="M1160" s="66"/>
    </row>
    <row r="1161" spans="1:13" ht="15" customHeight="1" x14ac:dyDescent="0.15">
      <c r="A1161" s="6"/>
      <c r="B1161" s="66"/>
      <c r="C1161" s="66"/>
      <c r="D1161" s="66"/>
      <c r="E1161" s="66"/>
      <c r="F1161" s="66"/>
      <c r="G1161" s="66"/>
      <c r="H1161" s="66"/>
      <c r="I1161" s="66"/>
      <c r="J1161" s="66"/>
      <c r="K1161" s="66"/>
      <c r="L1161" s="66"/>
      <c r="M1161" s="66"/>
    </row>
    <row r="1162" spans="1:13" ht="15" customHeight="1" x14ac:dyDescent="0.15">
      <c r="A1162" s="6"/>
      <c r="B1162" s="66"/>
      <c r="C1162" s="66"/>
      <c r="D1162" s="66"/>
      <c r="E1162" s="66"/>
      <c r="F1162" s="66"/>
      <c r="G1162" s="66"/>
      <c r="H1162" s="66"/>
      <c r="I1162" s="66"/>
      <c r="J1162" s="66"/>
      <c r="K1162" s="66"/>
      <c r="L1162" s="66"/>
      <c r="M1162" s="66"/>
    </row>
    <row r="1163" spans="1:13" ht="15" customHeight="1" x14ac:dyDescent="0.15">
      <c r="A1163" s="6"/>
      <c r="B1163" s="66"/>
      <c r="C1163" s="66"/>
      <c r="D1163" s="66"/>
      <c r="E1163" s="66"/>
      <c r="F1163" s="66"/>
      <c r="G1163" s="66"/>
      <c r="H1163" s="66"/>
      <c r="I1163" s="66"/>
      <c r="J1163" s="66"/>
      <c r="K1163" s="66"/>
      <c r="L1163" s="66"/>
      <c r="M1163" s="66"/>
    </row>
    <row r="1164" spans="1:13" ht="15" customHeight="1" x14ac:dyDescent="0.15">
      <c r="A1164" s="6"/>
      <c r="B1164" s="66"/>
      <c r="C1164" s="66"/>
      <c r="D1164" s="66"/>
      <c r="E1164" s="66"/>
      <c r="F1164" s="66"/>
      <c r="G1164" s="66"/>
      <c r="H1164" s="66"/>
      <c r="I1164" s="66"/>
      <c r="J1164" s="66"/>
      <c r="K1164" s="66"/>
      <c r="L1164" s="66"/>
      <c r="M1164" s="66"/>
    </row>
    <row r="1165" spans="1:13" ht="15" customHeight="1" x14ac:dyDescent="0.15">
      <c r="A1165" s="6"/>
      <c r="B1165" s="6"/>
      <c r="C1165" s="6"/>
      <c r="D1165" s="6"/>
      <c r="E1165" s="6"/>
      <c r="F1165" s="6"/>
      <c r="G1165" s="6"/>
      <c r="H1165" s="6"/>
      <c r="I1165" s="6"/>
      <c r="J1165" s="6"/>
      <c r="K1165" s="6"/>
      <c r="L1165" s="6"/>
      <c r="M1165" s="6"/>
    </row>
    <row r="1166" spans="1:13" ht="15" customHeight="1" x14ac:dyDescent="0.15">
      <c r="A1166" s="8" t="s">
        <v>26</v>
      </c>
      <c r="B1166" s="9" t="s">
        <v>27</v>
      </c>
      <c r="C1166" s="6"/>
      <c r="D1166" s="6"/>
      <c r="E1166" s="6"/>
      <c r="F1166" s="6"/>
      <c r="G1166" s="6"/>
      <c r="H1166" s="6"/>
      <c r="I1166" s="6"/>
      <c r="J1166" s="6"/>
      <c r="K1166" s="6"/>
      <c r="L1166" s="6"/>
      <c r="M1166" s="6"/>
    </row>
    <row r="1167" spans="1:13" ht="15" customHeight="1" x14ac:dyDescent="0.15">
      <c r="A1167" s="12"/>
      <c r="B1167" s="66" t="s">
        <v>30</v>
      </c>
      <c r="C1167" s="66"/>
      <c r="D1167" s="66"/>
      <c r="E1167" s="66"/>
      <c r="F1167" s="66" t="s">
        <v>33</v>
      </c>
      <c r="G1167" s="66"/>
      <c r="H1167" s="66"/>
      <c r="I1167" s="66"/>
      <c r="J1167" s="66" t="s">
        <v>34</v>
      </c>
      <c r="K1167" s="66"/>
      <c r="L1167" s="66"/>
      <c r="M1167" s="66"/>
    </row>
    <row r="1168" spans="1:13" ht="15" customHeight="1" x14ac:dyDescent="0.15">
      <c r="A1168" s="6"/>
      <c r="B1168" s="66"/>
      <c r="C1168" s="66"/>
      <c r="D1168" s="66"/>
      <c r="E1168" s="66"/>
      <c r="F1168" s="66"/>
      <c r="G1168" s="66"/>
      <c r="H1168" s="66"/>
      <c r="I1168" s="66"/>
      <c r="J1168" s="66"/>
      <c r="K1168" s="66"/>
      <c r="L1168" s="66"/>
      <c r="M1168" s="66"/>
    </row>
    <row r="1169" spans="1:13" ht="15" customHeight="1" x14ac:dyDescent="0.15">
      <c r="A1169" s="6"/>
      <c r="B1169" s="66"/>
      <c r="C1169" s="66"/>
      <c r="D1169" s="66"/>
      <c r="E1169" s="66"/>
      <c r="F1169" s="66"/>
      <c r="G1169" s="66"/>
      <c r="H1169" s="66"/>
      <c r="I1169" s="66"/>
      <c r="J1169" s="66"/>
      <c r="K1169" s="66"/>
      <c r="L1169" s="66"/>
      <c r="M1169" s="66"/>
    </row>
    <row r="1170" spans="1:13" ht="15" customHeight="1" x14ac:dyDescent="0.15">
      <c r="A1170" s="6"/>
      <c r="B1170" s="66"/>
      <c r="C1170" s="66"/>
      <c r="D1170" s="66"/>
      <c r="E1170" s="66"/>
      <c r="F1170" s="66"/>
      <c r="G1170" s="66"/>
      <c r="H1170" s="66"/>
      <c r="I1170" s="66"/>
      <c r="J1170" s="66"/>
      <c r="K1170" s="66"/>
      <c r="L1170" s="66"/>
      <c r="M1170" s="66"/>
    </row>
    <row r="1171" spans="1:13" ht="15" customHeight="1" x14ac:dyDescent="0.15">
      <c r="A1171" s="6"/>
      <c r="B1171" s="66"/>
      <c r="C1171" s="66"/>
      <c r="D1171" s="66"/>
      <c r="E1171" s="66"/>
      <c r="F1171" s="66"/>
      <c r="G1171" s="66"/>
      <c r="H1171" s="66"/>
      <c r="I1171" s="66"/>
      <c r="J1171" s="66"/>
      <c r="K1171" s="66"/>
      <c r="L1171" s="66"/>
      <c r="M1171" s="66"/>
    </row>
    <row r="1172" spans="1:13" ht="15" customHeight="1" x14ac:dyDescent="0.15">
      <c r="A1172" s="6"/>
      <c r="B1172" s="66"/>
      <c r="C1172" s="66"/>
      <c r="D1172" s="66"/>
      <c r="E1172" s="66"/>
      <c r="F1172" s="66"/>
      <c r="G1172" s="66"/>
      <c r="H1172" s="66"/>
      <c r="I1172" s="66"/>
      <c r="J1172" s="66"/>
      <c r="K1172" s="66"/>
      <c r="L1172" s="66"/>
      <c r="M1172" s="66"/>
    </row>
    <row r="1173" spans="1:13" ht="15" customHeight="1" x14ac:dyDescent="0.15">
      <c r="A1173" s="6"/>
      <c r="B1173" s="6"/>
      <c r="C1173" s="6"/>
      <c r="D1173" s="6"/>
      <c r="E1173" s="6"/>
      <c r="F1173" s="6"/>
      <c r="G1173" s="6"/>
      <c r="H1173" s="6"/>
      <c r="I1173" s="6"/>
      <c r="J1173" s="6"/>
      <c r="K1173" s="6"/>
      <c r="L1173" s="6"/>
      <c r="M1173" s="6"/>
    </row>
    <row r="1174" spans="1:13" ht="15" customHeight="1" x14ac:dyDescent="0.15">
      <c r="A1174" s="8" t="s">
        <v>28</v>
      </c>
      <c r="B1174" s="9" t="s">
        <v>29</v>
      </c>
      <c r="C1174" s="6"/>
      <c r="D1174" s="6"/>
      <c r="E1174" s="6"/>
      <c r="F1174" s="6"/>
      <c r="G1174" s="6"/>
      <c r="H1174" s="6"/>
      <c r="I1174" s="6"/>
      <c r="J1174" s="6"/>
      <c r="K1174" s="6"/>
      <c r="L1174" s="6"/>
      <c r="M1174" s="6"/>
    </row>
    <row r="1175" spans="1:13" ht="15" customHeight="1" x14ac:dyDescent="0.15">
      <c r="A1175" s="6"/>
      <c r="B1175" s="6" t="s">
        <v>37</v>
      </c>
      <c r="C1175" s="6"/>
      <c r="D1175" s="6"/>
      <c r="E1175" s="6"/>
      <c r="F1175" s="6"/>
      <c r="G1175" s="6"/>
      <c r="H1175" s="6"/>
      <c r="I1175" s="6"/>
      <c r="J1175" s="6"/>
      <c r="K1175" s="6"/>
      <c r="L1175" s="6"/>
      <c r="M1175" s="6"/>
    </row>
    <row r="1176" spans="1:13" ht="15" customHeight="1" x14ac:dyDescent="0.15">
      <c r="A1176" s="6"/>
      <c r="B1176" s="6" t="s">
        <v>38</v>
      </c>
      <c r="C1176" s="65" t="s">
        <v>41</v>
      </c>
      <c r="D1176" s="65"/>
      <c r="E1176" s="65"/>
      <c r="F1176" s="65"/>
      <c r="G1176" s="65"/>
      <c r="H1176" s="65"/>
      <c r="I1176" s="65"/>
      <c r="J1176" s="65"/>
      <c r="K1176" s="65"/>
      <c r="L1176" s="65"/>
      <c r="M1176" s="65"/>
    </row>
    <row r="1177" spans="1:13" ht="15" customHeight="1" x14ac:dyDescent="0.15">
      <c r="A1177" s="6"/>
      <c r="B1177" s="6"/>
      <c r="C1177" s="65"/>
      <c r="D1177" s="65"/>
      <c r="E1177" s="65"/>
      <c r="F1177" s="65"/>
      <c r="G1177" s="65"/>
      <c r="H1177" s="65"/>
      <c r="I1177" s="65"/>
      <c r="J1177" s="65"/>
      <c r="K1177" s="65"/>
      <c r="L1177" s="65"/>
      <c r="M1177" s="65"/>
    </row>
    <row r="1178" spans="1:13" ht="15" customHeight="1" x14ac:dyDescent="0.15">
      <c r="A1178" s="6"/>
      <c r="B1178" s="6" t="s">
        <v>39</v>
      </c>
      <c r="C1178" s="64" t="s">
        <v>40</v>
      </c>
      <c r="D1178" s="64"/>
      <c r="E1178" s="64"/>
      <c r="F1178" s="64"/>
      <c r="G1178" s="64"/>
      <c r="H1178" s="64"/>
      <c r="I1178" s="64"/>
      <c r="J1178" s="64"/>
      <c r="K1178" s="64"/>
      <c r="L1178" s="64"/>
      <c r="M1178" s="64"/>
    </row>
    <row r="1179" spans="1:13" ht="15" customHeight="1" x14ac:dyDescent="0.15">
      <c r="A1179" s="6"/>
      <c r="B1179" s="6" t="s">
        <v>42</v>
      </c>
      <c r="C1179" s="64" t="s">
        <v>43</v>
      </c>
      <c r="D1179" s="64"/>
      <c r="E1179" s="64"/>
      <c r="F1179" s="64"/>
      <c r="G1179" s="64"/>
      <c r="H1179" s="64"/>
      <c r="I1179" s="64"/>
      <c r="J1179" s="64"/>
      <c r="K1179" s="64"/>
      <c r="L1179" s="64"/>
      <c r="M1179" s="64"/>
    </row>
    <row r="1180" spans="1:13" ht="15" customHeight="1" x14ac:dyDescent="0.15">
      <c r="A1180" s="6"/>
      <c r="B1180" s="6" t="s">
        <v>44</v>
      </c>
      <c r="C1180" s="64" t="s">
        <v>45</v>
      </c>
      <c r="D1180" s="64"/>
      <c r="E1180" s="64"/>
      <c r="F1180" s="64"/>
      <c r="G1180" s="64"/>
      <c r="H1180" s="64"/>
      <c r="I1180" s="64"/>
      <c r="J1180" s="64"/>
      <c r="K1180" s="64"/>
      <c r="L1180" s="64"/>
      <c r="M1180" s="64"/>
    </row>
    <row r="1181" spans="1:13" ht="15" customHeight="1" x14ac:dyDescent="0.15">
      <c r="A1181" s="6"/>
      <c r="B1181" s="6" t="s">
        <v>46</v>
      </c>
      <c r="C1181" s="64" t="s">
        <v>47</v>
      </c>
      <c r="D1181" s="64"/>
      <c r="E1181" s="64"/>
      <c r="F1181" s="64"/>
      <c r="G1181" s="64"/>
      <c r="H1181" s="64"/>
      <c r="I1181" s="64"/>
      <c r="J1181" s="64"/>
      <c r="K1181" s="64"/>
      <c r="L1181" s="64"/>
      <c r="M1181" s="64"/>
    </row>
    <row r="1182" spans="1:13" ht="15" customHeight="1" x14ac:dyDescent="0.15">
      <c r="A1182" s="6"/>
      <c r="B1182" s="6" t="s">
        <v>50</v>
      </c>
      <c r="C1182" s="64" t="s">
        <v>48</v>
      </c>
      <c r="D1182" s="64"/>
      <c r="E1182" s="64"/>
      <c r="F1182" s="64"/>
      <c r="G1182" s="64"/>
      <c r="H1182" s="64"/>
      <c r="I1182" s="64"/>
      <c r="J1182" s="64"/>
      <c r="K1182" s="64"/>
      <c r="L1182" s="64"/>
      <c r="M1182" s="64"/>
    </row>
    <row r="1183" spans="1:13" ht="15" customHeight="1" x14ac:dyDescent="0.15">
      <c r="A1183" s="6"/>
      <c r="B1183" s="6" t="s">
        <v>51</v>
      </c>
      <c r="C1183" s="64" t="s">
        <v>49</v>
      </c>
      <c r="D1183" s="64"/>
      <c r="E1183" s="64"/>
      <c r="F1183" s="64"/>
      <c r="G1183" s="64"/>
      <c r="H1183" s="64"/>
      <c r="I1183" s="64"/>
      <c r="J1183" s="64"/>
      <c r="K1183" s="64"/>
      <c r="L1183" s="64"/>
      <c r="M1183" s="64"/>
    </row>
    <row r="1184" spans="1:13" ht="15" customHeight="1" x14ac:dyDescent="0.15">
      <c r="A1184" s="6"/>
      <c r="B1184" s="6" t="s">
        <v>52</v>
      </c>
      <c r="C1184" s="64" t="s">
        <v>154</v>
      </c>
      <c r="D1184" s="64"/>
      <c r="E1184" s="64"/>
      <c r="F1184" s="64"/>
      <c r="G1184" s="64"/>
      <c r="H1184" s="64"/>
      <c r="I1184" s="64"/>
      <c r="J1184" s="64"/>
      <c r="K1184" s="64"/>
      <c r="L1184" s="64"/>
      <c r="M1184" s="64"/>
    </row>
    <row r="1185" spans="1:14" ht="15" customHeight="1" x14ac:dyDescent="0.15">
      <c r="A1185" s="6"/>
      <c r="B1185" s="6" t="s">
        <v>53</v>
      </c>
      <c r="C1185" s="65" t="s">
        <v>54</v>
      </c>
      <c r="D1185" s="65"/>
      <c r="E1185" s="65"/>
      <c r="F1185" s="65"/>
      <c r="G1185" s="65"/>
      <c r="H1185" s="65"/>
      <c r="I1185" s="65"/>
      <c r="J1185" s="65"/>
      <c r="K1185" s="65"/>
      <c r="L1185" s="65"/>
      <c r="M1185" s="65"/>
    </row>
    <row r="1186" spans="1:14" ht="15" customHeight="1" x14ac:dyDescent="0.15">
      <c r="A1186" s="6"/>
      <c r="B1186" s="6"/>
      <c r="C1186" s="65"/>
      <c r="D1186" s="65"/>
      <c r="E1186" s="65"/>
      <c r="F1186" s="65"/>
      <c r="G1186" s="65"/>
      <c r="H1186" s="65"/>
      <c r="I1186" s="65"/>
      <c r="J1186" s="65"/>
      <c r="K1186" s="65"/>
      <c r="L1186" s="65"/>
      <c r="M1186" s="65"/>
    </row>
    <row r="1187" spans="1:14" ht="15" customHeight="1" x14ac:dyDescent="0.15">
      <c r="A1187" s="6"/>
      <c r="B1187" s="6"/>
      <c r="C1187" s="6"/>
      <c r="D1187" s="6"/>
      <c r="E1187" s="6"/>
      <c r="F1187" s="6"/>
      <c r="G1187" s="6"/>
      <c r="H1187" s="6"/>
      <c r="I1187" s="6"/>
      <c r="J1187" s="6"/>
      <c r="K1187" s="6"/>
      <c r="L1187" s="6"/>
      <c r="M1187" s="6"/>
    </row>
    <row r="1188" spans="1:14" ht="15" customHeight="1" x14ac:dyDescent="0.15">
      <c r="A1188" s="6"/>
      <c r="B1188" s="6"/>
      <c r="C1188" s="6"/>
      <c r="D1188" s="6"/>
      <c r="E1188" s="6"/>
      <c r="F1188" s="6"/>
      <c r="G1188" s="6"/>
      <c r="H1188" s="6"/>
      <c r="I1188" s="6"/>
      <c r="J1188" s="6"/>
      <c r="K1188" s="6"/>
      <c r="L1188" s="6"/>
      <c r="M1188" s="13" t="str">
        <f>[94]Base_01!$C$4&amp;", …..  …........................  2026"</f>
        <v>Sorong, …..  …........................  2026</v>
      </c>
    </row>
    <row r="1189" spans="1:14" ht="15" customHeight="1" x14ac:dyDescent="0.15">
      <c r="A1189" s="6"/>
      <c r="B1189" s="6"/>
      <c r="C1189" s="6"/>
      <c r="D1189" s="6"/>
      <c r="E1189" s="6"/>
      <c r="F1189" s="6"/>
      <c r="G1189" s="6"/>
      <c r="H1189" s="6"/>
      <c r="I1189" s="6"/>
      <c r="J1189" s="6"/>
      <c r="K1189" s="6"/>
      <c r="L1189" s="6"/>
      <c r="M1189" s="6"/>
    </row>
    <row r="1190" spans="1:14" ht="15" customHeight="1" x14ac:dyDescent="0.15">
      <c r="A1190" s="6"/>
      <c r="B1190" s="63" t="s">
        <v>57</v>
      </c>
      <c r="C1190" s="63"/>
      <c r="D1190" s="63"/>
      <c r="E1190" s="63"/>
      <c r="F1190" s="63" t="s">
        <v>56</v>
      </c>
      <c r="G1190" s="63"/>
      <c r="H1190" s="63"/>
      <c r="I1190" s="63"/>
      <c r="J1190" s="6"/>
      <c r="K1190" s="6"/>
      <c r="L1190" s="6"/>
      <c r="M1190" s="6"/>
    </row>
    <row r="1191" spans="1:14" ht="15" customHeight="1" x14ac:dyDescent="0.15">
      <c r="A1191" s="6"/>
      <c r="B1191" s="63" t="s">
        <v>60</v>
      </c>
      <c r="C1191" s="63"/>
      <c r="D1191" s="63"/>
      <c r="E1191" s="63"/>
      <c r="F1191" s="63" t="s">
        <v>58</v>
      </c>
      <c r="G1191" s="63"/>
      <c r="H1191" s="63"/>
      <c r="I1191" s="63"/>
      <c r="J1191" s="63" t="s">
        <v>55</v>
      </c>
      <c r="K1191" s="63"/>
      <c r="L1191" s="63"/>
      <c r="M1191" s="63"/>
    </row>
    <row r="1192" spans="1:14" ht="15" customHeight="1" x14ac:dyDescent="0.15">
      <c r="A1192" s="6"/>
      <c r="B1192" s="63" t="str">
        <f>[94]Base_01!$B$4&amp;" "&amp;[94]Base_01!$C$4</f>
        <v>Kota Sorong</v>
      </c>
      <c r="C1192" s="63"/>
      <c r="D1192" s="63"/>
      <c r="E1192" s="63"/>
      <c r="F1192" s="63" t="s">
        <v>59</v>
      </c>
      <c r="G1192" s="63"/>
      <c r="H1192" s="63"/>
      <c r="I1192" s="63"/>
      <c r="J1192" s="6"/>
      <c r="K1192" s="6"/>
      <c r="L1192" s="6"/>
      <c r="M1192" s="6"/>
    </row>
    <row r="1193" spans="1:14" ht="15" customHeight="1" x14ac:dyDescent="0.15">
      <c r="A1193" s="6"/>
      <c r="B1193" s="14"/>
      <c r="C1193" s="14"/>
      <c r="D1193" s="14"/>
      <c r="E1193" s="14"/>
      <c r="F1193" s="14"/>
      <c r="G1193" s="14"/>
      <c r="H1193" s="14"/>
      <c r="I1193" s="6"/>
      <c r="J1193" s="6"/>
      <c r="K1193" s="6"/>
      <c r="L1193" s="6"/>
      <c r="M1193" s="6"/>
    </row>
    <row r="1194" spans="1:14" ht="15" customHeight="1" x14ac:dyDescent="0.15">
      <c r="A1194" s="6"/>
      <c r="B1194" s="14"/>
      <c r="C1194" s="14"/>
      <c r="D1194" s="14"/>
      <c r="E1194" s="14"/>
      <c r="F1194" s="14"/>
      <c r="G1194" s="14"/>
      <c r="H1194" s="14"/>
      <c r="I1194" s="6"/>
      <c r="J1194" s="6"/>
      <c r="K1194" s="6"/>
      <c r="L1194" s="6"/>
      <c r="M1194" s="6"/>
    </row>
    <row r="1195" spans="1:14" ht="15" customHeight="1" x14ac:dyDescent="0.15">
      <c r="A1195" s="6"/>
      <c r="B1195" s="6"/>
      <c r="C1195" s="6"/>
      <c r="D1195" s="6"/>
      <c r="E1195" s="6"/>
      <c r="F1195" s="6"/>
      <c r="G1195" s="6"/>
      <c r="H1195" s="6"/>
      <c r="I1195" s="6"/>
      <c r="J1195" s="6"/>
      <c r="K1195" s="6"/>
      <c r="L1195" s="6"/>
      <c r="M1195" s="6"/>
    </row>
    <row r="1196" spans="1:14" ht="15" customHeight="1" x14ac:dyDescent="0.15">
      <c r="A1196" s="6"/>
      <c r="B1196" s="6"/>
      <c r="C1196" s="6"/>
      <c r="D1196" s="6"/>
      <c r="E1196" s="6"/>
      <c r="F1196" s="6"/>
      <c r="G1196" s="6"/>
      <c r="H1196" s="6"/>
      <c r="I1196" s="6"/>
      <c r="J1196" s="6"/>
      <c r="K1196" s="6"/>
      <c r="L1196" s="6"/>
      <c r="M1196" s="6"/>
    </row>
    <row r="1197" spans="1:14" ht="15" customHeight="1" x14ac:dyDescent="0.15">
      <c r="A1197" s="6"/>
      <c r="B1197" s="63" t="str">
        <f>[94]Base_01!$C$17</f>
        <v>AfrIandi Yudhistira, S.T.</v>
      </c>
      <c r="C1197" s="63"/>
      <c r="D1197" s="63"/>
      <c r="E1197" s="63"/>
      <c r="F1197" s="63" t="str">
        <f>[94]Base_01!$C$20</f>
        <v>…...............         …...............</v>
      </c>
      <c r="G1197" s="63"/>
      <c r="H1197" s="63"/>
      <c r="I1197" s="63"/>
      <c r="J1197" s="63" t="str">
        <f>G1139</f>
        <v>Nama PB 19</v>
      </c>
      <c r="K1197" s="63"/>
      <c r="L1197" s="63"/>
      <c r="M1197" s="63"/>
    </row>
    <row r="1198" spans="1:14" ht="16" customHeight="1" x14ac:dyDescent="0.15">
      <c r="A1198" s="67" t="s">
        <v>14</v>
      </c>
      <c r="B1198" s="67"/>
      <c r="C1198" s="67"/>
      <c r="D1198" s="67"/>
      <c r="E1198" s="67"/>
      <c r="F1198" s="67"/>
      <c r="G1198" s="67"/>
      <c r="H1198" s="67"/>
      <c r="I1198" s="67"/>
      <c r="J1198" s="67"/>
      <c r="K1198" s="67"/>
      <c r="L1198" s="67"/>
      <c r="M1198" s="67"/>
      <c r="N1198" s="5">
        <f>N1135+1</f>
        <v>20</v>
      </c>
    </row>
    <row r="1199" spans="1:14" ht="16" customHeight="1" x14ac:dyDescent="0.15">
      <c r="A1199" s="67" t="str">
        <f>"NOMOR "&amp;VLOOKUP($N1198,[94]Base_02!$A$5:$AD$24,2,0)</f>
        <v>NOMOR 000020</v>
      </c>
      <c r="B1199" s="67"/>
      <c r="C1199" s="67"/>
      <c r="D1199" s="67"/>
      <c r="E1199" s="67"/>
      <c r="F1199" s="67"/>
      <c r="G1199" s="67"/>
      <c r="H1199" s="67"/>
      <c r="I1199" s="67"/>
      <c r="J1199" s="67"/>
      <c r="K1199" s="67"/>
      <c r="L1199" s="67"/>
      <c r="M1199" s="67"/>
    </row>
    <row r="1200" spans="1:14" x14ac:dyDescent="0.15">
      <c r="A1200" s="6"/>
      <c r="B1200" s="7"/>
      <c r="C1200" s="7"/>
      <c r="D1200" s="7"/>
      <c r="E1200" s="7"/>
      <c r="F1200" s="7"/>
      <c r="G1200" s="7"/>
      <c r="H1200" s="7"/>
      <c r="I1200" s="7"/>
      <c r="J1200" s="7"/>
      <c r="K1200" s="6"/>
      <c r="L1200" s="6"/>
      <c r="M1200" s="6"/>
    </row>
    <row r="1201" spans="1:17" ht="15" customHeight="1" x14ac:dyDescent="0.15">
      <c r="A1201" s="8" t="s">
        <v>13</v>
      </c>
      <c r="B1201" s="9" t="s">
        <v>15</v>
      </c>
      <c r="C1201" s="6"/>
      <c r="D1201" s="6"/>
      <c r="E1201" s="6"/>
      <c r="F1201" s="6"/>
      <c r="G1201" s="6"/>
      <c r="H1201" s="6"/>
      <c r="I1201" s="6"/>
      <c r="J1201" s="6"/>
      <c r="K1201" s="6"/>
      <c r="L1201" s="6"/>
      <c r="M1201" s="6"/>
    </row>
    <row r="1202" spans="1:17" ht="15" customHeight="1" x14ac:dyDescent="0.15">
      <c r="A1202" s="6"/>
      <c r="B1202" s="57" t="s">
        <v>16</v>
      </c>
      <c r="C1202" s="57"/>
      <c r="D1202" s="57"/>
      <c r="E1202" s="57"/>
      <c r="F1202" s="57"/>
      <c r="G1202" s="6" t="str">
        <f>VLOOKUP($N1198,[94]Base_02!$A$5:$AD$24,3,0)</f>
        <v>Nama PB 20</v>
      </c>
      <c r="H1202" s="6"/>
      <c r="I1202" s="6"/>
      <c r="J1202" s="6"/>
      <c r="K1202" s="6"/>
      <c r="L1202" s="6"/>
      <c r="M1202" s="6"/>
    </row>
    <row r="1203" spans="1:17" ht="15" customHeight="1" x14ac:dyDescent="0.15">
      <c r="A1203" s="6"/>
      <c r="B1203" s="57" t="s">
        <v>17</v>
      </c>
      <c r="C1203" s="57"/>
      <c r="D1203" s="57"/>
      <c r="E1203" s="57"/>
      <c r="F1203" s="57"/>
      <c r="G1203" s="6">
        <f>VLOOKUP($N1198,[94]Base_02!$A$5:$AD$24,14,0)</f>
        <v>0</v>
      </c>
      <c r="H1203" s="6"/>
      <c r="I1203" s="6"/>
      <c r="J1203" s="6"/>
      <c r="K1203" s="6"/>
      <c r="L1203" s="6"/>
      <c r="M1203" s="6"/>
    </row>
    <row r="1204" spans="1:17" ht="15" customHeight="1" x14ac:dyDescent="0.15">
      <c r="A1204" s="6"/>
      <c r="B1204" s="57" t="s">
        <v>18</v>
      </c>
      <c r="C1204" s="57"/>
      <c r="D1204" s="57"/>
      <c r="E1204" s="57"/>
      <c r="F1204" s="57"/>
      <c r="G1204" s="6" t="str">
        <f>VLOOKUP(N1198,[94]Base_02!$A$5:$Z$24,11,FALSE)&amp;", RT "&amp;VLOOKUP(N1198,[94]Base_02!$A$5:$Z$24,12,FALSE)&amp;", RW "&amp;VLOOKUP(N1198,[94]Base_02!$A$5:$Z$24,13,FALSE)</f>
        <v>Jalan Kanal Victory, RT 1, RW 2</v>
      </c>
      <c r="H1204" s="6"/>
      <c r="I1204" s="6"/>
      <c r="J1204" s="6"/>
      <c r="K1204" s="6"/>
      <c r="L1204" s="6"/>
      <c r="M1204" s="6"/>
    </row>
    <row r="1205" spans="1:17" ht="15" customHeight="1" x14ac:dyDescent="0.15">
      <c r="A1205" s="6"/>
      <c r="B1205" s="57" t="str">
        <f>[94]Base_01!$B$2</f>
        <v>Kelurahan</v>
      </c>
      <c r="C1205" s="57"/>
      <c r="D1205" s="57"/>
      <c r="E1205" s="57"/>
      <c r="F1205" s="57"/>
      <c r="G1205" s="10" t="str">
        <f>[94]Base_01!$C$2</f>
        <v>Klasabi</v>
      </c>
      <c r="H1205" s="6"/>
      <c r="I1205" s="6"/>
      <c r="J1205" s="6"/>
      <c r="K1205" s="6"/>
      <c r="L1205" s="6"/>
      <c r="M1205" s="6"/>
    </row>
    <row r="1206" spans="1:17" ht="15" customHeight="1" x14ac:dyDescent="0.15">
      <c r="A1206" s="6"/>
      <c r="B1206" s="57" t="s">
        <v>19</v>
      </c>
      <c r="C1206" s="57"/>
      <c r="D1206" s="57"/>
      <c r="E1206" s="57"/>
      <c r="F1206" s="57"/>
      <c r="G1206" s="10" t="str">
        <f>[94]Base_01!$C$3</f>
        <v>Sorong Manoi</v>
      </c>
      <c r="H1206" s="6"/>
      <c r="I1206" s="6"/>
      <c r="J1206" s="6"/>
      <c r="K1206" s="6"/>
      <c r="L1206" s="6"/>
      <c r="M1206" s="6"/>
    </row>
    <row r="1207" spans="1:17" ht="15" customHeight="1" x14ac:dyDescent="0.15">
      <c r="A1207" s="6"/>
      <c r="B1207" s="57" t="str">
        <f>[94]Base_01!$B$4</f>
        <v>Kota</v>
      </c>
      <c r="C1207" s="57"/>
      <c r="D1207" s="57"/>
      <c r="E1207" s="57"/>
      <c r="F1207" s="57"/>
      <c r="G1207" s="10" t="str">
        <f>[94]Base_01!$C$4</f>
        <v>Sorong</v>
      </c>
      <c r="H1207" s="6"/>
      <c r="I1207" s="6"/>
      <c r="J1207" s="6"/>
      <c r="K1207" s="6"/>
      <c r="L1207" s="6"/>
      <c r="M1207" s="6"/>
    </row>
    <row r="1208" spans="1:17" ht="15" customHeight="1" x14ac:dyDescent="0.15">
      <c r="A1208" s="6"/>
      <c r="B1208" s="57" t="s">
        <v>20</v>
      </c>
      <c r="C1208" s="57"/>
      <c r="D1208" s="57"/>
      <c r="E1208" s="57"/>
      <c r="F1208" s="57"/>
      <c r="G1208" s="11" t="str">
        <f>[94]Base_01!$C$5</f>
        <v>Papua Barat Daya</v>
      </c>
      <c r="H1208" s="6"/>
      <c r="I1208" s="6"/>
      <c r="J1208" s="6"/>
      <c r="K1208" s="6"/>
      <c r="L1208" s="6"/>
      <c r="M1208" s="6"/>
    </row>
    <row r="1209" spans="1:17" ht="15" customHeight="1" x14ac:dyDescent="0.15">
      <c r="A1209" s="6"/>
      <c r="B1209" s="57" t="s">
        <v>21</v>
      </c>
      <c r="C1209" s="57"/>
      <c r="D1209" s="57"/>
      <c r="E1209" s="57"/>
      <c r="F1209" s="57"/>
      <c r="G1209" s="6" t="str">
        <f>VLOOKUP($N1198,[94]Base_02!$A$5:$AG$24,32,0)&amp;" - "&amp;VLOOKUP($N1198,[94]Base_02!$A$5:$AG$24,31,0)</f>
        <v>1600006544361 - Bank Mandiri</v>
      </c>
      <c r="H1209" s="6"/>
      <c r="I1209" s="6"/>
      <c r="J1209" s="6"/>
      <c r="K1209" s="6"/>
      <c r="L1209" s="6"/>
      <c r="M1209" s="6"/>
    </row>
    <row r="1210" spans="1:17" ht="15" customHeight="1" x14ac:dyDescent="0.15">
      <c r="A1210" s="6"/>
      <c r="B1210" s="6"/>
      <c r="C1210" s="6"/>
      <c r="D1210" s="6"/>
      <c r="E1210" s="6"/>
      <c r="F1210" s="6"/>
      <c r="G1210" s="6"/>
      <c r="H1210" s="6"/>
      <c r="I1210" s="6"/>
      <c r="J1210" s="6"/>
      <c r="K1210" s="6"/>
      <c r="L1210" s="6"/>
      <c r="M1210" s="6"/>
    </row>
    <row r="1211" spans="1:17" ht="15" customHeight="1" x14ac:dyDescent="0.15">
      <c r="A1211" s="8" t="s">
        <v>22</v>
      </c>
      <c r="B1211" s="9" t="s">
        <v>23</v>
      </c>
      <c r="C1211" s="6"/>
      <c r="D1211" s="6"/>
      <c r="E1211" s="6"/>
      <c r="F1211" s="6"/>
      <c r="G1211" s="6"/>
      <c r="H1211" s="6"/>
      <c r="I1211" s="6"/>
      <c r="J1211" s="6"/>
      <c r="K1211" s="6"/>
      <c r="L1211" s="6"/>
      <c r="M1211" s="6"/>
    </row>
    <row r="1212" spans="1:17" ht="15" customHeight="1" x14ac:dyDescent="0.15">
      <c r="A1212" s="6"/>
      <c r="B1212" s="66" t="s">
        <v>30</v>
      </c>
      <c r="C1212" s="66"/>
      <c r="D1212" s="66"/>
      <c r="E1212" s="66"/>
      <c r="F1212" s="66" t="s">
        <v>31</v>
      </c>
      <c r="G1212" s="66"/>
      <c r="H1212" s="66"/>
      <c r="I1212" s="66"/>
      <c r="J1212" s="66" t="s">
        <v>32</v>
      </c>
      <c r="K1212" s="66"/>
      <c r="L1212" s="66"/>
      <c r="M1212" s="66"/>
      <c r="O1212" s="15" t="s">
        <v>61</v>
      </c>
    </row>
    <row r="1213" spans="1:17" ht="15" customHeight="1" x14ac:dyDescent="0.15">
      <c r="A1213" s="6"/>
      <c r="B1213" s="66"/>
      <c r="C1213" s="66"/>
      <c r="D1213" s="66"/>
      <c r="E1213" s="66"/>
      <c r="F1213" s="66"/>
      <c r="G1213" s="66"/>
      <c r="H1213" s="66"/>
      <c r="I1213" s="66"/>
      <c r="J1213" s="66"/>
      <c r="K1213" s="66"/>
      <c r="L1213" s="66"/>
      <c r="M1213" s="66"/>
      <c r="Q1213" s="5" t="s">
        <v>62</v>
      </c>
    </row>
    <row r="1214" spans="1:17" ht="15" customHeight="1" x14ac:dyDescent="0.15">
      <c r="A1214" s="6"/>
      <c r="B1214" s="66"/>
      <c r="C1214" s="66"/>
      <c r="D1214" s="66"/>
      <c r="E1214" s="66"/>
      <c r="F1214" s="66"/>
      <c r="G1214" s="66"/>
      <c r="H1214" s="66"/>
      <c r="I1214" s="66"/>
      <c r="J1214" s="66"/>
      <c r="K1214" s="66"/>
      <c r="L1214" s="66"/>
      <c r="M1214" s="66"/>
    </row>
    <row r="1215" spans="1:17" ht="15" customHeight="1" x14ac:dyDescent="0.15">
      <c r="A1215" s="6"/>
      <c r="B1215" s="66"/>
      <c r="C1215" s="66"/>
      <c r="D1215" s="66"/>
      <c r="E1215" s="66"/>
      <c r="F1215" s="66"/>
      <c r="G1215" s="66"/>
      <c r="H1215" s="66"/>
      <c r="I1215" s="66"/>
      <c r="J1215" s="66"/>
      <c r="K1215" s="66"/>
      <c r="L1215" s="66"/>
      <c r="M1215" s="66"/>
    </row>
    <row r="1216" spans="1:17" ht="15" customHeight="1" x14ac:dyDescent="0.15">
      <c r="A1216" s="6"/>
      <c r="B1216" s="66"/>
      <c r="C1216" s="66"/>
      <c r="D1216" s="66"/>
      <c r="E1216" s="66"/>
      <c r="F1216" s="66"/>
      <c r="G1216" s="66"/>
      <c r="H1216" s="66"/>
      <c r="I1216" s="66"/>
      <c r="J1216" s="66"/>
      <c r="K1216" s="66"/>
      <c r="L1216" s="66"/>
      <c r="M1216" s="66"/>
    </row>
    <row r="1217" spans="1:13" ht="15" customHeight="1" x14ac:dyDescent="0.15">
      <c r="A1217" s="6"/>
      <c r="B1217" s="66"/>
      <c r="C1217" s="66"/>
      <c r="D1217" s="66"/>
      <c r="E1217" s="66"/>
      <c r="F1217" s="66"/>
      <c r="G1217" s="66"/>
      <c r="H1217" s="66"/>
      <c r="I1217" s="66"/>
      <c r="J1217" s="66"/>
      <c r="K1217" s="66"/>
      <c r="L1217" s="66"/>
      <c r="M1217" s="66"/>
    </row>
    <row r="1218" spans="1:13" ht="15" customHeight="1" x14ac:dyDescent="0.15">
      <c r="A1218" s="6"/>
      <c r="B1218" s="6"/>
      <c r="C1218" s="6"/>
      <c r="D1218" s="6"/>
      <c r="E1218" s="6"/>
      <c r="F1218" s="6"/>
      <c r="G1218" s="6"/>
      <c r="H1218" s="6"/>
      <c r="I1218" s="6"/>
      <c r="J1218" s="6"/>
      <c r="K1218" s="6"/>
      <c r="L1218" s="6"/>
      <c r="M1218" s="6"/>
    </row>
    <row r="1219" spans="1:13" ht="15" customHeight="1" x14ac:dyDescent="0.15">
      <c r="A1219" s="8" t="s">
        <v>24</v>
      </c>
      <c r="B1219" s="9" t="s">
        <v>25</v>
      </c>
      <c r="C1219" s="6"/>
      <c r="D1219" s="6"/>
      <c r="E1219" s="6"/>
      <c r="F1219" s="6"/>
      <c r="G1219" s="6"/>
      <c r="H1219" s="6"/>
      <c r="I1219" s="6"/>
      <c r="J1219" s="6"/>
      <c r="K1219" s="6"/>
      <c r="L1219" s="6"/>
      <c r="M1219" s="6"/>
    </row>
    <row r="1220" spans="1:13" ht="15" customHeight="1" x14ac:dyDescent="0.15">
      <c r="A1220" s="12"/>
      <c r="B1220" s="66" t="s">
        <v>35</v>
      </c>
      <c r="C1220" s="66"/>
      <c r="D1220" s="66"/>
      <c r="E1220" s="66"/>
      <c r="F1220" s="66"/>
      <c r="G1220" s="66"/>
      <c r="H1220" s="66" t="s">
        <v>36</v>
      </c>
      <c r="I1220" s="66"/>
      <c r="J1220" s="66"/>
      <c r="K1220" s="66"/>
      <c r="L1220" s="66"/>
      <c r="M1220" s="66"/>
    </row>
    <row r="1221" spans="1:13" ht="15" customHeight="1" x14ac:dyDescent="0.15">
      <c r="A1221" s="6"/>
      <c r="B1221" s="66"/>
      <c r="C1221" s="66"/>
      <c r="D1221" s="66"/>
      <c r="E1221" s="66"/>
      <c r="F1221" s="66"/>
      <c r="G1221" s="66"/>
      <c r="H1221" s="66"/>
      <c r="I1221" s="66"/>
      <c r="J1221" s="66"/>
      <c r="K1221" s="66"/>
      <c r="L1221" s="66"/>
      <c r="M1221" s="66"/>
    </row>
    <row r="1222" spans="1:13" ht="15" customHeight="1" x14ac:dyDescent="0.15">
      <c r="A1222" s="6"/>
      <c r="B1222" s="66"/>
      <c r="C1222" s="66"/>
      <c r="D1222" s="66"/>
      <c r="E1222" s="66"/>
      <c r="F1222" s="66"/>
      <c r="G1222" s="66"/>
      <c r="H1222" s="66"/>
      <c r="I1222" s="66"/>
      <c r="J1222" s="66"/>
      <c r="K1222" s="66"/>
      <c r="L1222" s="66"/>
      <c r="M1222" s="66"/>
    </row>
    <row r="1223" spans="1:13" ht="15" customHeight="1" x14ac:dyDescent="0.15">
      <c r="A1223" s="6"/>
      <c r="B1223" s="66"/>
      <c r="C1223" s="66"/>
      <c r="D1223" s="66"/>
      <c r="E1223" s="66"/>
      <c r="F1223" s="66"/>
      <c r="G1223" s="66"/>
      <c r="H1223" s="66"/>
      <c r="I1223" s="66"/>
      <c r="J1223" s="66"/>
      <c r="K1223" s="66"/>
      <c r="L1223" s="66"/>
      <c r="M1223" s="66"/>
    </row>
    <row r="1224" spans="1:13" ht="15" customHeight="1" x14ac:dyDescent="0.15">
      <c r="A1224" s="6"/>
      <c r="B1224" s="66"/>
      <c r="C1224" s="66"/>
      <c r="D1224" s="66"/>
      <c r="E1224" s="66"/>
      <c r="F1224" s="66"/>
      <c r="G1224" s="66"/>
      <c r="H1224" s="66"/>
      <c r="I1224" s="66"/>
      <c r="J1224" s="66"/>
      <c r="K1224" s="66"/>
      <c r="L1224" s="66"/>
      <c r="M1224" s="66"/>
    </row>
    <row r="1225" spans="1:13" ht="15" customHeight="1" x14ac:dyDescent="0.15">
      <c r="A1225" s="6"/>
      <c r="B1225" s="66"/>
      <c r="C1225" s="66"/>
      <c r="D1225" s="66"/>
      <c r="E1225" s="66"/>
      <c r="F1225" s="66"/>
      <c r="G1225" s="66"/>
      <c r="H1225" s="66"/>
      <c r="I1225" s="66"/>
      <c r="J1225" s="66"/>
      <c r="K1225" s="66"/>
      <c r="L1225" s="66"/>
      <c r="M1225" s="66"/>
    </row>
    <row r="1226" spans="1:13" ht="15" customHeight="1" x14ac:dyDescent="0.15">
      <c r="A1226" s="6"/>
      <c r="B1226" s="66"/>
      <c r="C1226" s="66"/>
      <c r="D1226" s="66"/>
      <c r="E1226" s="66"/>
      <c r="F1226" s="66"/>
      <c r="G1226" s="66"/>
      <c r="H1226" s="66"/>
      <c r="I1226" s="66"/>
      <c r="J1226" s="66"/>
      <c r="K1226" s="66"/>
      <c r="L1226" s="66"/>
      <c r="M1226" s="66"/>
    </row>
    <row r="1227" spans="1:13" ht="15" customHeight="1" x14ac:dyDescent="0.15">
      <c r="A1227" s="6"/>
      <c r="B1227" s="66"/>
      <c r="C1227" s="66"/>
      <c r="D1227" s="66"/>
      <c r="E1227" s="66"/>
      <c r="F1227" s="66"/>
      <c r="G1227" s="66"/>
      <c r="H1227" s="66"/>
      <c r="I1227" s="66"/>
      <c r="J1227" s="66"/>
      <c r="K1227" s="66"/>
      <c r="L1227" s="66"/>
      <c r="M1227" s="66"/>
    </row>
    <row r="1228" spans="1:13" ht="15" customHeight="1" x14ac:dyDescent="0.15">
      <c r="A1228" s="6"/>
      <c r="B1228" s="6"/>
      <c r="C1228" s="6"/>
      <c r="D1228" s="6"/>
      <c r="E1228" s="6"/>
      <c r="F1228" s="6"/>
      <c r="G1228" s="6"/>
      <c r="H1228" s="6"/>
      <c r="I1228" s="6"/>
      <c r="J1228" s="6"/>
      <c r="K1228" s="6"/>
      <c r="L1228" s="6"/>
      <c r="M1228" s="6"/>
    </row>
    <row r="1229" spans="1:13" ht="15" customHeight="1" x14ac:dyDescent="0.15">
      <c r="A1229" s="8" t="s">
        <v>26</v>
      </c>
      <c r="B1229" s="9" t="s">
        <v>27</v>
      </c>
      <c r="C1229" s="6"/>
      <c r="D1229" s="6"/>
      <c r="E1229" s="6"/>
      <c r="F1229" s="6"/>
      <c r="G1229" s="6"/>
      <c r="H1229" s="6"/>
      <c r="I1229" s="6"/>
      <c r="J1229" s="6"/>
      <c r="K1229" s="6"/>
      <c r="L1229" s="6"/>
      <c r="M1229" s="6"/>
    </row>
    <row r="1230" spans="1:13" ht="15" customHeight="1" x14ac:dyDescent="0.15">
      <c r="A1230" s="12"/>
      <c r="B1230" s="66" t="s">
        <v>30</v>
      </c>
      <c r="C1230" s="66"/>
      <c r="D1230" s="66"/>
      <c r="E1230" s="66"/>
      <c r="F1230" s="66" t="s">
        <v>33</v>
      </c>
      <c r="G1230" s="66"/>
      <c r="H1230" s="66"/>
      <c r="I1230" s="66"/>
      <c r="J1230" s="66" t="s">
        <v>34</v>
      </c>
      <c r="K1230" s="66"/>
      <c r="L1230" s="66"/>
      <c r="M1230" s="66"/>
    </row>
    <row r="1231" spans="1:13" ht="15" customHeight="1" x14ac:dyDescent="0.15">
      <c r="A1231" s="6"/>
      <c r="B1231" s="66"/>
      <c r="C1231" s="66"/>
      <c r="D1231" s="66"/>
      <c r="E1231" s="66"/>
      <c r="F1231" s="66"/>
      <c r="G1231" s="66"/>
      <c r="H1231" s="66"/>
      <c r="I1231" s="66"/>
      <c r="J1231" s="66"/>
      <c r="K1231" s="66"/>
      <c r="L1231" s="66"/>
      <c r="M1231" s="66"/>
    </row>
    <row r="1232" spans="1:13" ht="15" customHeight="1" x14ac:dyDescent="0.15">
      <c r="A1232" s="6"/>
      <c r="B1232" s="66"/>
      <c r="C1232" s="66"/>
      <c r="D1232" s="66"/>
      <c r="E1232" s="66"/>
      <c r="F1232" s="66"/>
      <c r="G1232" s="66"/>
      <c r="H1232" s="66"/>
      <c r="I1232" s="66"/>
      <c r="J1232" s="66"/>
      <c r="K1232" s="66"/>
      <c r="L1232" s="66"/>
      <c r="M1232" s="66"/>
    </row>
    <row r="1233" spans="1:13" ht="15" customHeight="1" x14ac:dyDescent="0.15">
      <c r="A1233" s="6"/>
      <c r="B1233" s="66"/>
      <c r="C1233" s="66"/>
      <c r="D1233" s="66"/>
      <c r="E1233" s="66"/>
      <c r="F1233" s="66"/>
      <c r="G1233" s="66"/>
      <c r="H1233" s="66"/>
      <c r="I1233" s="66"/>
      <c r="J1233" s="66"/>
      <c r="K1233" s="66"/>
      <c r="L1233" s="66"/>
      <c r="M1233" s="66"/>
    </row>
    <row r="1234" spans="1:13" ht="15" customHeight="1" x14ac:dyDescent="0.15">
      <c r="A1234" s="6"/>
      <c r="B1234" s="66"/>
      <c r="C1234" s="66"/>
      <c r="D1234" s="66"/>
      <c r="E1234" s="66"/>
      <c r="F1234" s="66"/>
      <c r="G1234" s="66"/>
      <c r="H1234" s="66"/>
      <c r="I1234" s="66"/>
      <c r="J1234" s="66"/>
      <c r="K1234" s="66"/>
      <c r="L1234" s="66"/>
      <c r="M1234" s="66"/>
    </row>
    <row r="1235" spans="1:13" ht="15" customHeight="1" x14ac:dyDescent="0.15">
      <c r="A1235" s="6"/>
      <c r="B1235" s="66"/>
      <c r="C1235" s="66"/>
      <c r="D1235" s="66"/>
      <c r="E1235" s="66"/>
      <c r="F1235" s="66"/>
      <c r="G1235" s="66"/>
      <c r="H1235" s="66"/>
      <c r="I1235" s="66"/>
      <c r="J1235" s="66"/>
      <c r="K1235" s="66"/>
      <c r="L1235" s="66"/>
      <c r="M1235" s="66"/>
    </row>
    <row r="1236" spans="1:13" ht="15" customHeight="1" x14ac:dyDescent="0.15">
      <c r="A1236" s="6"/>
      <c r="B1236" s="6"/>
      <c r="C1236" s="6"/>
      <c r="D1236" s="6"/>
      <c r="E1236" s="6"/>
      <c r="F1236" s="6"/>
      <c r="G1236" s="6"/>
      <c r="H1236" s="6"/>
      <c r="I1236" s="6"/>
      <c r="J1236" s="6"/>
      <c r="K1236" s="6"/>
      <c r="L1236" s="6"/>
      <c r="M1236" s="6"/>
    </row>
    <row r="1237" spans="1:13" ht="15" customHeight="1" x14ac:dyDescent="0.15">
      <c r="A1237" s="8" t="s">
        <v>28</v>
      </c>
      <c r="B1237" s="9" t="s">
        <v>29</v>
      </c>
      <c r="C1237" s="6"/>
      <c r="D1237" s="6"/>
      <c r="E1237" s="6"/>
      <c r="F1237" s="6"/>
      <c r="G1237" s="6"/>
      <c r="H1237" s="6"/>
      <c r="I1237" s="6"/>
      <c r="J1237" s="6"/>
      <c r="K1237" s="6"/>
      <c r="L1237" s="6"/>
      <c r="M1237" s="6"/>
    </row>
    <row r="1238" spans="1:13" ht="15" customHeight="1" x14ac:dyDescent="0.15">
      <c r="A1238" s="6"/>
      <c r="B1238" s="6" t="s">
        <v>37</v>
      </c>
      <c r="C1238" s="6"/>
      <c r="D1238" s="6"/>
      <c r="E1238" s="6"/>
      <c r="F1238" s="6"/>
      <c r="G1238" s="6"/>
      <c r="H1238" s="6"/>
      <c r="I1238" s="6"/>
      <c r="J1238" s="6"/>
      <c r="K1238" s="6"/>
      <c r="L1238" s="6"/>
      <c r="M1238" s="6"/>
    </row>
    <row r="1239" spans="1:13" ht="15" customHeight="1" x14ac:dyDescent="0.15">
      <c r="A1239" s="6"/>
      <c r="B1239" s="6" t="s">
        <v>38</v>
      </c>
      <c r="C1239" s="65" t="s">
        <v>41</v>
      </c>
      <c r="D1239" s="65"/>
      <c r="E1239" s="65"/>
      <c r="F1239" s="65"/>
      <c r="G1239" s="65"/>
      <c r="H1239" s="65"/>
      <c r="I1239" s="65"/>
      <c r="J1239" s="65"/>
      <c r="K1239" s="65"/>
      <c r="L1239" s="65"/>
      <c r="M1239" s="65"/>
    </row>
    <row r="1240" spans="1:13" ht="15" customHeight="1" x14ac:dyDescent="0.15">
      <c r="A1240" s="6"/>
      <c r="B1240" s="6"/>
      <c r="C1240" s="65"/>
      <c r="D1240" s="65"/>
      <c r="E1240" s="65"/>
      <c r="F1240" s="65"/>
      <c r="G1240" s="65"/>
      <c r="H1240" s="65"/>
      <c r="I1240" s="65"/>
      <c r="J1240" s="65"/>
      <c r="K1240" s="65"/>
      <c r="L1240" s="65"/>
      <c r="M1240" s="65"/>
    </row>
    <row r="1241" spans="1:13" ht="15" customHeight="1" x14ac:dyDescent="0.15">
      <c r="A1241" s="6"/>
      <c r="B1241" s="6" t="s">
        <v>39</v>
      </c>
      <c r="C1241" s="64" t="s">
        <v>40</v>
      </c>
      <c r="D1241" s="64"/>
      <c r="E1241" s="64"/>
      <c r="F1241" s="64"/>
      <c r="G1241" s="64"/>
      <c r="H1241" s="64"/>
      <c r="I1241" s="64"/>
      <c r="J1241" s="64"/>
      <c r="K1241" s="64"/>
      <c r="L1241" s="64"/>
      <c r="M1241" s="64"/>
    </row>
    <row r="1242" spans="1:13" ht="15" customHeight="1" x14ac:dyDescent="0.15">
      <c r="A1242" s="6"/>
      <c r="B1242" s="6" t="s">
        <v>42</v>
      </c>
      <c r="C1242" s="64" t="s">
        <v>43</v>
      </c>
      <c r="D1242" s="64"/>
      <c r="E1242" s="64"/>
      <c r="F1242" s="64"/>
      <c r="G1242" s="64"/>
      <c r="H1242" s="64"/>
      <c r="I1242" s="64"/>
      <c r="J1242" s="64"/>
      <c r="K1242" s="64"/>
      <c r="L1242" s="64"/>
      <c r="M1242" s="64"/>
    </row>
    <row r="1243" spans="1:13" ht="15" customHeight="1" x14ac:dyDescent="0.15">
      <c r="A1243" s="6"/>
      <c r="B1243" s="6" t="s">
        <v>44</v>
      </c>
      <c r="C1243" s="64" t="s">
        <v>45</v>
      </c>
      <c r="D1243" s="64"/>
      <c r="E1243" s="64"/>
      <c r="F1243" s="64"/>
      <c r="G1243" s="64"/>
      <c r="H1243" s="64"/>
      <c r="I1243" s="64"/>
      <c r="J1243" s="64"/>
      <c r="K1243" s="64"/>
      <c r="L1243" s="64"/>
      <c r="M1243" s="64"/>
    </row>
    <row r="1244" spans="1:13" ht="15" customHeight="1" x14ac:dyDescent="0.15">
      <c r="A1244" s="6"/>
      <c r="B1244" s="6" t="s">
        <v>46</v>
      </c>
      <c r="C1244" s="64" t="s">
        <v>47</v>
      </c>
      <c r="D1244" s="64"/>
      <c r="E1244" s="64"/>
      <c r="F1244" s="64"/>
      <c r="G1244" s="64"/>
      <c r="H1244" s="64"/>
      <c r="I1244" s="64"/>
      <c r="J1244" s="64"/>
      <c r="K1244" s="64"/>
      <c r="L1244" s="64"/>
      <c r="M1244" s="64"/>
    </row>
    <row r="1245" spans="1:13" ht="15" customHeight="1" x14ac:dyDescent="0.15">
      <c r="A1245" s="6"/>
      <c r="B1245" s="6" t="s">
        <v>50</v>
      </c>
      <c r="C1245" s="64" t="s">
        <v>48</v>
      </c>
      <c r="D1245" s="64"/>
      <c r="E1245" s="64"/>
      <c r="F1245" s="64"/>
      <c r="G1245" s="64"/>
      <c r="H1245" s="64"/>
      <c r="I1245" s="64"/>
      <c r="J1245" s="64"/>
      <c r="K1245" s="64"/>
      <c r="L1245" s="64"/>
      <c r="M1245" s="64"/>
    </row>
    <row r="1246" spans="1:13" ht="15" customHeight="1" x14ac:dyDescent="0.15">
      <c r="A1246" s="6"/>
      <c r="B1246" s="6" t="s">
        <v>51</v>
      </c>
      <c r="C1246" s="64" t="s">
        <v>49</v>
      </c>
      <c r="D1246" s="64"/>
      <c r="E1246" s="64"/>
      <c r="F1246" s="64"/>
      <c r="G1246" s="64"/>
      <c r="H1246" s="64"/>
      <c r="I1246" s="64"/>
      <c r="J1246" s="64"/>
      <c r="K1246" s="64"/>
      <c r="L1246" s="64"/>
      <c r="M1246" s="64"/>
    </row>
    <row r="1247" spans="1:13" ht="15" customHeight="1" x14ac:dyDescent="0.15">
      <c r="A1247" s="6"/>
      <c r="B1247" s="6" t="s">
        <v>52</v>
      </c>
      <c r="C1247" s="64" t="s">
        <v>154</v>
      </c>
      <c r="D1247" s="64"/>
      <c r="E1247" s="64"/>
      <c r="F1247" s="64"/>
      <c r="G1247" s="64"/>
      <c r="H1247" s="64"/>
      <c r="I1247" s="64"/>
      <c r="J1247" s="64"/>
      <c r="K1247" s="64"/>
      <c r="L1247" s="64"/>
      <c r="M1247" s="64"/>
    </row>
    <row r="1248" spans="1:13" ht="15" customHeight="1" x14ac:dyDescent="0.15">
      <c r="A1248" s="6"/>
      <c r="B1248" s="6" t="s">
        <v>53</v>
      </c>
      <c r="C1248" s="65" t="s">
        <v>54</v>
      </c>
      <c r="D1248" s="65"/>
      <c r="E1248" s="65"/>
      <c r="F1248" s="65"/>
      <c r="G1248" s="65"/>
      <c r="H1248" s="65"/>
      <c r="I1248" s="65"/>
      <c r="J1248" s="65"/>
      <c r="K1248" s="65"/>
      <c r="L1248" s="65"/>
      <c r="M1248" s="65"/>
    </row>
    <row r="1249" spans="1:13" ht="15" customHeight="1" x14ac:dyDescent="0.15">
      <c r="A1249" s="6"/>
      <c r="B1249" s="6"/>
      <c r="C1249" s="65"/>
      <c r="D1249" s="65"/>
      <c r="E1249" s="65"/>
      <c r="F1249" s="65"/>
      <c r="G1249" s="65"/>
      <c r="H1249" s="65"/>
      <c r="I1249" s="65"/>
      <c r="J1249" s="65"/>
      <c r="K1249" s="65"/>
      <c r="L1249" s="65"/>
      <c r="M1249" s="65"/>
    </row>
    <row r="1250" spans="1:13" ht="15" customHeight="1" x14ac:dyDescent="0.15">
      <c r="A1250" s="6"/>
      <c r="B1250" s="6"/>
      <c r="C1250" s="6"/>
      <c r="D1250" s="6"/>
      <c r="E1250" s="6"/>
      <c r="F1250" s="6"/>
      <c r="G1250" s="6"/>
      <c r="H1250" s="6"/>
      <c r="I1250" s="6"/>
      <c r="J1250" s="6"/>
      <c r="K1250" s="6"/>
      <c r="L1250" s="6"/>
      <c r="M1250" s="6"/>
    </row>
    <row r="1251" spans="1:13" ht="15" customHeight="1" x14ac:dyDescent="0.15">
      <c r="A1251" s="6"/>
      <c r="B1251" s="6"/>
      <c r="C1251" s="6"/>
      <c r="D1251" s="6"/>
      <c r="E1251" s="6"/>
      <c r="F1251" s="6"/>
      <c r="G1251" s="6"/>
      <c r="H1251" s="6"/>
      <c r="I1251" s="6"/>
      <c r="J1251" s="6"/>
      <c r="K1251" s="6"/>
      <c r="L1251" s="6"/>
      <c r="M1251" s="13" t="str">
        <f>[94]Base_01!$C$4&amp;", …..  …........................  2026"</f>
        <v>Sorong, …..  …........................  2026</v>
      </c>
    </row>
    <row r="1252" spans="1:13" ht="15" customHeight="1" x14ac:dyDescent="0.15">
      <c r="A1252" s="6"/>
      <c r="B1252" s="6"/>
      <c r="C1252" s="6"/>
      <c r="D1252" s="6"/>
      <c r="E1252" s="6"/>
      <c r="F1252" s="6"/>
      <c r="G1252" s="6"/>
      <c r="H1252" s="6"/>
      <c r="I1252" s="6"/>
      <c r="J1252" s="6"/>
      <c r="K1252" s="6"/>
      <c r="L1252" s="6"/>
      <c r="M1252" s="6"/>
    </row>
    <row r="1253" spans="1:13" ht="15" customHeight="1" x14ac:dyDescent="0.15">
      <c r="A1253" s="6"/>
      <c r="B1253" s="63" t="s">
        <v>57</v>
      </c>
      <c r="C1253" s="63"/>
      <c r="D1253" s="63"/>
      <c r="E1253" s="63"/>
      <c r="F1253" s="63" t="s">
        <v>56</v>
      </c>
      <c r="G1253" s="63"/>
      <c r="H1253" s="63"/>
      <c r="I1253" s="63"/>
      <c r="J1253" s="6"/>
      <c r="K1253" s="6"/>
      <c r="L1253" s="6"/>
      <c r="M1253" s="6"/>
    </row>
    <row r="1254" spans="1:13" ht="15" customHeight="1" x14ac:dyDescent="0.15">
      <c r="A1254" s="6"/>
      <c r="B1254" s="63" t="s">
        <v>60</v>
      </c>
      <c r="C1254" s="63"/>
      <c r="D1254" s="63"/>
      <c r="E1254" s="63"/>
      <c r="F1254" s="63" t="s">
        <v>58</v>
      </c>
      <c r="G1254" s="63"/>
      <c r="H1254" s="63"/>
      <c r="I1254" s="63"/>
      <c r="J1254" s="63" t="s">
        <v>55</v>
      </c>
      <c r="K1254" s="63"/>
      <c r="L1254" s="63"/>
      <c r="M1254" s="63"/>
    </row>
    <row r="1255" spans="1:13" ht="15" customHeight="1" x14ac:dyDescent="0.15">
      <c r="A1255" s="6"/>
      <c r="B1255" s="63" t="str">
        <f>[94]Base_01!$B$4&amp;" "&amp;[94]Base_01!$C$4</f>
        <v>Kota Sorong</v>
      </c>
      <c r="C1255" s="63"/>
      <c r="D1255" s="63"/>
      <c r="E1255" s="63"/>
      <c r="F1255" s="63" t="s">
        <v>59</v>
      </c>
      <c r="G1255" s="63"/>
      <c r="H1255" s="63"/>
      <c r="I1255" s="63"/>
      <c r="J1255" s="6"/>
      <c r="K1255" s="6"/>
      <c r="L1255" s="6"/>
      <c r="M1255" s="6"/>
    </row>
    <row r="1256" spans="1:13" ht="15" customHeight="1" x14ac:dyDescent="0.15">
      <c r="A1256" s="6"/>
      <c r="B1256" s="14"/>
      <c r="C1256" s="14"/>
      <c r="D1256" s="14"/>
      <c r="E1256" s="14"/>
      <c r="F1256" s="14"/>
      <c r="G1256" s="14"/>
      <c r="H1256" s="14"/>
      <c r="I1256" s="6"/>
      <c r="J1256" s="6"/>
      <c r="K1256" s="6"/>
      <c r="L1256" s="6"/>
      <c r="M1256" s="6"/>
    </row>
    <row r="1257" spans="1:13" ht="15" customHeight="1" x14ac:dyDescent="0.15">
      <c r="A1257" s="6"/>
      <c r="B1257" s="14"/>
      <c r="C1257" s="14"/>
      <c r="D1257" s="14"/>
      <c r="E1257" s="14"/>
      <c r="F1257" s="14"/>
      <c r="G1257" s="14"/>
      <c r="H1257" s="14"/>
      <c r="I1257" s="6"/>
      <c r="J1257" s="6"/>
      <c r="K1257" s="6"/>
      <c r="L1257" s="6"/>
      <c r="M1257" s="6"/>
    </row>
    <row r="1258" spans="1:13" ht="15" customHeight="1" x14ac:dyDescent="0.15">
      <c r="A1258" s="6"/>
      <c r="B1258" s="6"/>
      <c r="C1258" s="6"/>
      <c r="D1258" s="6"/>
      <c r="E1258" s="6"/>
      <c r="F1258" s="6"/>
      <c r="G1258" s="6"/>
      <c r="H1258" s="6"/>
      <c r="I1258" s="6"/>
      <c r="J1258" s="6"/>
      <c r="K1258" s="6"/>
      <c r="L1258" s="6"/>
      <c r="M1258" s="6"/>
    </row>
    <row r="1259" spans="1:13" ht="15" customHeight="1" x14ac:dyDescent="0.15">
      <c r="A1259" s="6"/>
      <c r="B1259" s="6"/>
      <c r="C1259" s="6"/>
      <c r="D1259" s="6"/>
      <c r="E1259" s="6"/>
      <c r="F1259" s="6"/>
      <c r="G1259" s="6"/>
      <c r="H1259" s="6"/>
      <c r="I1259" s="6"/>
      <c r="J1259" s="6"/>
      <c r="K1259" s="6"/>
      <c r="L1259" s="6"/>
      <c r="M1259" s="6"/>
    </row>
    <row r="1260" spans="1:13" ht="15" customHeight="1" x14ac:dyDescent="0.15">
      <c r="A1260" s="6"/>
      <c r="B1260" s="63" t="str">
        <f>[94]Base_01!$C$17</f>
        <v>AfrIandi Yudhistira, S.T.</v>
      </c>
      <c r="C1260" s="63"/>
      <c r="D1260" s="63"/>
      <c r="E1260" s="63"/>
      <c r="F1260" s="63" t="str">
        <f>[94]Base_01!$C$20</f>
        <v>…...............         …...............</v>
      </c>
      <c r="G1260" s="63"/>
      <c r="H1260" s="63"/>
      <c r="I1260" s="63"/>
      <c r="J1260" s="63" t="str">
        <f>G1202</f>
        <v>Nama PB 20</v>
      </c>
      <c r="K1260" s="63"/>
      <c r="L1260" s="63"/>
      <c r="M1260" s="63"/>
    </row>
  </sheetData>
  <mergeCells count="900">
    <mergeCell ref="J63:M63"/>
    <mergeCell ref="F56:I56"/>
    <mergeCell ref="F57:I57"/>
    <mergeCell ref="F58:I58"/>
    <mergeCell ref="B63:E63"/>
    <mergeCell ref="F63:I63"/>
    <mergeCell ref="B56:E56"/>
    <mergeCell ref="B57:E57"/>
    <mergeCell ref="A1:M1"/>
    <mergeCell ref="A2:M2"/>
    <mergeCell ref="C49:M49"/>
    <mergeCell ref="C50:M50"/>
    <mergeCell ref="C51:M52"/>
    <mergeCell ref="C42:M43"/>
    <mergeCell ref="C44:M44"/>
    <mergeCell ref="C45:M45"/>
    <mergeCell ref="C46:M46"/>
    <mergeCell ref="C47:M47"/>
    <mergeCell ref="C48:M48"/>
    <mergeCell ref="F15:I15"/>
    <mergeCell ref="F16:I20"/>
    <mergeCell ref="J15:M15"/>
    <mergeCell ref="J16:M20"/>
    <mergeCell ref="H23:M23"/>
    <mergeCell ref="B34:E38"/>
    <mergeCell ref="F33:I33"/>
    <mergeCell ref="F34:I38"/>
    <mergeCell ref="B16:E20"/>
    <mergeCell ref="B15:E15"/>
    <mergeCell ref="H24:M30"/>
    <mergeCell ref="B23:G23"/>
    <mergeCell ref="B24:G30"/>
    <mergeCell ref="B58:E58"/>
    <mergeCell ref="J33:M33"/>
    <mergeCell ref="J34:M38"/>
    <mergeCell ref="J57:M57"/>
    <mergeCell ref="B5:F5"/>
    <mergeCell ref="B6:F6"/>
    <mergeCell ref="B7:F7"/>
    <mergeCell ref="B8:F8"/>
    <mergeCell ref="B9:F9"/>
    <mergeCell ref="B10:F10"/>
    <mergeCell ref="B11:F11"/>
    <mergeCell ref="B12:F12"/>
    <mergeCell ref="B33:E33"/>
    <mergeCell ref="B71:F71"/>
    <mergeCell ref="B72:F72"/>
    <mergeCell ref="B73:F73"/>
    <mergeCell ref="B74:F74"/>
    <mergeCell ref="B75:F75"/>
    <mergeCell ref="A64:M64"/>
    <mergeCell ref="A65:M65"/>
    <mergeCell ref="B68:F68"/>
    <mergeCell ref="B69:F69"/>
    <mergeCell ref="B70:F70"/>
    <mergeCell ref="B86:G86"/>
    <mergeCell ref="H86:M86"/>
    <mergeCell ref="B87:G93"/>
    <mergeCell ref="H87:M93"/>
    <mergeCell ref="B96:E96"/>
    <mergeCell ref="F96:I96"/>
    <mergeCell ref="J96:M96"/>
    <mergeCell ref="B78:E78"/>
    <mergeCell ref="F78:I78"/>
    <mergeCell ref="J78:M78"/>
    <mergeCell ref="B79:E83"/>
    <mergeCell ref="F79:I83"/>
    <mergeCell ref="J79:M83"/>
    <mergeCell ref="C108:M108"/>
    <mergeCell ref="C109:M109"/>
    <mergeCell ref="C110:M110"/>
    <mergeCell ref="C111:M111"/>
    <mergeCell ref="C112:M112"/>
    <mergeCell ref="B97:E101"/>
    <mergeCell ref="F97:I101"/>
    <mergeCell ref="J97:M101"/>
    <mergeCell ref="C105:M106"/>
    <mergeCell ref="C107:M107"/>
    <mergeCell ref="B121:E121"/>
    <mergeCell ref="F121:I121"/>
    <mergeCell ref="B126:E126"/>
    <mergeCell ref="F126:I126"/>
    <mergeCell ref="J126:M126"/>
    <mergeCell ref="C113:M113"/>
    <mergeCell ref="C114:M115"/>
    <mergeCell ref="B119:E119"/>
    <mergeCell ref="F119:I119"/>
    <mergeCell ref="B120:E120"/>
    <mergeCell ref="F120:I120"/>
    <mergeCell ref="J120:M120"/>
    <mergeCell ref="B134:F134"/>
    <mergeCell ref="B135:F135"/>
    <mergeCell ref="B136:F136"/>
    <mergeCell ref="B137:F137"/>
    <mergeCell ref="B138:F138"/>
    <mergeCell ref="A127:M127"/>
    <mergeCell ref="A128:M128"/>
    <mergeCell ref="B131:F131"/>
    <mergeCell ref="B132:F132"/>
    <mergeCell ref="B133:F133"/>
    <mergeCell ref="B149:G149"/>
    <mergeCell ref="H149:M149"/>
    <mergeCell ref="B150:G156"/>
    <mergeCell ref="H150:M156"/>
    <mergeCell ref="B159:E159"/>
    <mergeCell ref="F159:I159"/>
    <mergeCell ref="J159:M159"/>
    <mergeCell ref="B141:E141"/>
    <mergeCell ref="F141:I141"/>
    <mergeCell ref="J141:M141"/>
    <mergeCell ref="B142:E146"/>
    <mergeCell ref="F142:I146"/>
    <mergeCell ref="J142:M146"/>
    <mergeCell ref="C171:M171"/>
    <mergeCell ref="C172:M172"/>
    <mergeCell ref="C173:M173"/>
    <mergeCell ref="C174:M174"/>
    <mergeCell ref="C175:M175"/>
    <mergeCell ref="B160:E164"/>
    <mergeCell ref="F160:I164"/>
    <mergeCell ref="J160:M164"/>
    <mergeCell ref="C168:M169"/>
    <mergeCell ref="C170:M170"/>
    <mergeCell ref="B184:E184"/>
    <mergeCell ref="F184:I184"/>
    <mergeCell ref="B189:E189"/>
    <mergeCell ref="F189:I189"/>
    <mergeCell ref="J189:M189"/>
    <mergeCell ref="C176:M176"/>
    <mergeCell ref="C177:M178"/>
    <mergeCell ref="B182:E182"/>
    <mergeCell ref="F182:I182"/>
    <mergeCell ref="B183:E183"/>
    <mergeCell ref="F183:I183"/>
    <mergeCell ref="J183:M183"/>
    <mergeCell ref="B197:F197"/>
    <mergeCell ref="B198:F198"/>
    <mergeCell ref="B199:F199"/>
    <mergeCell ref="B200:F200"/>
    <mergeCell ref="B201:F201"/>
    <mergeCell ref="A190:M190"/>
    <mergeCell ref="A191:M191"/>
    <mergeCell ref="B194:F194"/>
    <mergeCell ref="B195:F195"/>
    <mergeCell ref="B196:F196"/>
    <mergeCell ref="B212:G212"/>
    <mergeCell ref="H212:M212"/>
    <mergeCell ref="B213:G219"/>
    <mergeCell ref="H213:M219"/>
    <mergeCell ref="B222:E222"/>
    <mergeCell ref="F222:I222"/>
    <mergeCell ref="J222:M222"/>
    <mergeCell ref="B204:E204"/>
    <mergeCell ref="F204:I204"/>
    <mergeCell ref="J204:M204"/>
    <mergeCell ref="B205:E209"/>
    <mergeCell ref="F205:I209"/>
    <mergeCell ref="J205:M209"/>
    <mergeCell ref="C234:M234"/>
    <mergeCell ref="C235:M235"/>
    <mergeCell ref="C236:M236"/>
    <mergeCell ref="C237:M237"/>
    <mergeCell ref="C238:M238"/>
    <mergeCell ref="B223:E227"/>
    <mergeCell ref="F223:I227"/>
    <mergeCell ref="J223:M227"/>
    <mergeCell ref="C231:M232"/>
    <mergeCell ref="C233:M233"/>
    <mergeCell ref="B247:E247"/>
    <mergeCell ref="F247:I247"/>
    <mergeCell ref="B252:E252"/>
    <mergeCell ref="F252:I252"/>
    <mergeCell ref="J252:M252"/>
    <mergeCell ref="C239:M239"/>
    <mergeCell ref="C240:M241"/>
    <mergeCell ref="B245:E245"/>
    <mergeCell ref="F245:I245"/>
    <mergeCell ref="B246:E246"/>
    <mergeCell ref="F246:I246"/>
    <mergeCell ref="J246:M246"/>
    <mergeCell ref="B260:F260"/>
    <mergeCell ref="B261:F261"/>
    <mergeCell ref="B262:F262"/>
    <mergeCell ref="B263:F263"/>
    <mergeCell ref="B264:F264"/>
    <mergeCell ref="A253:M253"/>
    <mergeCell ref="A254:M254"/>
    <mergeCell ref="B257:F257"/>
    <mergeCell ref="B258:F258"/>
    <mergeCell ref="B259:F259"/>
    <mergeCell ref="B275:G275"/>
    <mergeCell ref="H275:M275"/>
    <mergeCell ref="B276:G282"/>
    <mergeCell ref="H276:M282"/>
    <mergeCell ref="B285:E285"/>
    <mergeCell ref="F285:I285"/>
    <mergeCell ref="J285:M285"/>
    <mergeCell ref="B267:E267"/>
    <mergeCell ref="F267:I267"/>
    <mergeCell ref="J267:M267"/>
    <mergeCell ref="B268:E272"/>
    <mergeCell ref="F268:I272"/>
    <mergeCell ref="J268:M272"/>
    <mergeCell ref="C297:M297"/>
    <mergeCell ref="C298:M298"/>
    <mergeCell ref="C299:M299"/>
    <mergeCell ref="C300:M300"/>
    <mergeCell ref="C301:M301"/>
    <mergeCell ref="B286:E290"/>
    <mergeCell ref="F286:I290"/>
    <mergeCell ref="J286:M290"/>
    <mergeCell ref="C294:M295"/>
    <mergeCell ref="C296:M296"/>
    <mergeCell ref="B310:E310"/>
    <mergeCell ref="F310:I310"/>
    <mergeCell ref="B315:E315"/>
    <mergeCell ref="F315:I315"/>
    <mergeCell ref="J315:M315"/>
    <mergeCell ref="C302:M302"/>
    <mergeCell ref="C303:M304"/>
    <mergeCell ref="B308:E308"/>
    <mergeCell ref="F308:I308"/>
    <mergeCell ref="B309:E309"/>
    <mergeCell ref="F309:I309"/>
    <mergeCell ref="J309:M309"/>
    <mergeCell ref="B323:F323"/>
    <mergeCell ref="B324:F324"/>
    <mergeCell ref="B325:F325"/>
    <mergeCell ref="B326:F326"/>
    <mergeCell ref="B327:F327"/>
    <mergeCell ref="A316:M316"/>
    <mergeCell ref="A317:M317"/>
    <mergeCell ref="B320:F320"/>
    <mergeCell ref="B321:F321"/>
    <mergeCell ref="B322:F322"/>
    <mergeCell ref="B338:G338"/>
    <mergeCell ref="H338:M338"/>
    <mergeCell ref="B339:G345"/>
    <mergeCell ref="H339:M345"/>
    <mergeCell ref="B348:E348"/>
    <mergeCell ref="F348:I348"/>
    <mergeCell ref="J348:M348"/>
    <mergeCell ref="B330:E330"/>
    <mergeCell ref="F330:I330"/>
    <mergeCell ref="J330:M330"/>
    <mergeCell ref="B331:E335"/>
    <mergeCell ref="F331:I335"/>
    <mergeCell ref="J331:M335"/>
    <mergeCell ref="C360:M360"/>
    <mergeCell ref="C361:M361"/>
    <mergeCell ref="C362:M362"/>
    <mergeCell ref="C363:M363"/>
    <mergeCell ref="C364:M364"/>
    <mergeCell ref="B349:E353"/>
    <mergeCell ref="F349:I353"/>
    <mergeCell ref="J349:M353"/>
    <mergeCell ref="C357:M358"/>
    <mergeCell ref="C359:M359"/>
    <mergeCell ref="B373:E373"/>
    <mergeCell ref="F373:I373"/>
    <mergeCell ref="B378:E378"/>
    <mergeCell ref="F378:I378"/>
    <mergeCell ref="J378:M378"/>
    <mergeCell ref="C365:M365"/>
    <mergeCell ref="C366:M367"/>
    <mergeCell ref="B371:E371"/>
    <mergeCell ref="F371:I371"/>
    <mergeCell ref="B372:E372"/>
    <mergeCell ref="F372:I372"/>
    <mergeCell ref="J372:M372"/>
    <mergeCell ref="B386:F386"/>
    <mergeCell ref="B387:F387"/>
    <mergeCell ref="B388:F388"/>
    <mergeCell ref="B389:F389"/>
    <mergeCell ref="B390:F390"/>
    <mergeCell ref="A379:M379"/>
    <mergeCell ref="A380:M380"/>
    <mergeCell ref="B383:F383"/>
    <mergeCell ref="B384:F384"/>
    <mergeCell ref="B385:F385"/>
    <mergeCell ref="B401:G401"/>
    <mergeCell ref="H401:M401"/>
    <mergeCell ref="B402:G408"/>
    <mergeCell ref="H402:M408"/>
    <mergeCell ref="B411:E411"/>
    <mergeCell ref="F411:I411"/>
    <mergeCell ref="J411:M411"/>
    <mergeCell ref="B393:E393"/>
    <mergeCell ref="F393:I393"/>
    <mergeCell ref="J393:M393"/>
    <mergeCell ref="B394:E398"/>
    <mergeCell ref="F394:I398"/>
    <mergeCell ref="J394:M398"/>
    <mergeCell ref="C423:M423"/>
    <mergeCell ref="C424:M424"/>
    <mergeCell ref="C425:M425"/>
    <mergeCell ref="C426:M426"/>
    <mergeCell ref="C427:M427"/>
    <mergeCell ref="B412:E416"/>
    <mergeCell ref="F412:I416"/>
    <mergeCell ref="J412:M416"/>
    <mergeCell ref="C420:M421"/>
    <mergeCell ref="C422:M422"/>
    <mergeCell ref="B436:E436"/>
    <mergeCell ref="F436:I436"/>
    <mergeCell ref="B441:E441"/>
    <mergeCell ref="F441:I441"/>
    <mergeCell ref="J441:M441"/>
    <mergeCell ref="C428:M428"/>
    <mergeCell ref="C429:M430"/>
    <mergeCell ref="B434:E434"/>
    <mergeCell ref="F434:I434"/>
    <mergeCell ref="B435:E435"/>
    <mergeCell ref="F435:I435"/>
    <mergeCell ref="J435:M435"/>
    <mergeCell ref="B449:F449"/>
    <mergeCell ref="B450:F450"/>
    <mergeCell ref="B451:F451"/>
    <mergeCell ref="B452:F452"/>
    <mergeCell ref="B453:F453"/>
    <mergeCell ref="A442:M442"/>
    <mergeCell ref="A443:M443"/>
    <mergeCell ref="B446:F446"/>
    <mergeCell ref="B447:F447"/>
    <mergeCell ref="B448:F448"/>
    <mergeCell ref="B464:G464"/>
    <mergeCell ref="H464:M464"/>
    <mergeCell ref="B465:G471"/>
    <mergeCell ref="H465:M471"/>
    <mergeCell ref="B474:E474"/>
    <mergeCell ref="F474:I474"/>
    <mergeCell ref="J474:M474"/>
    <mergeCell ref="B456:E456"/>
    <mergeCell ref="F456:I456"/>
    <mergeCell ref="J456:M456"/>
    <mergeCell ref="B457:E461"/>
    <mergeCell ref="F457:I461"/>
    <mergeCell ref="J457:M461"/>
    <mergeCell ref="C486:M486"/>
    <mergeCell ref="C487:M487"/>
    <mergeCell ref="C488:M488"/>
    <mergeCell ref="C489:M489"/>
    <mergeCell ref="C490:M490"/>
    <mergeCell ref="B475:E479"/>
    <mergeCell ref="F475:I479"/>
    <mergeCell ref="J475:M479"/>
    <mergeCell ref="C483:M484"/>
    <mergeCell ref="C485:M485"/>
    <mergeCell ref="B499:E499"/>
    <mergeCell ref="F499:I499"/>
    <mergeCell ref="B504:E504"/>
    <mergeCell ref="F504:I504"/>
    <mergeCell ref="J504:M504"/>
    <mergeCell ref="C491:M491"/>
    <mergeCell ref="C492:M493"/>
    <mergeCell ref="B497:E497"/>
    <mergeCell ref="F497:I497"/>
    <mergeCell ref="B498:E498"/>
    <mergeCell ref="F498:I498"/>
    <mergeCell ref="J498:M498"/>
    <mergeCell ref="B512:F512"/>
    <mergeCell ref="B513:F513"/>
    <mergeCell ref="B514:F514"/>
    <mergeCell ref="B515:F515"/>
    <mergeCell ref="B516:F516"/>
    <mergeCell ref="A505:M505"/>
    <mergeCell ref="A506:M506"/>
    <mergeCell ref="B509:F509"/>
    <mergeCell ref="B510:F510"/>
    <mergeCell ref="B511:F511"/>
    <mergeCell ref="B527:G527"/>
    <mergeCell ref="H527:M527"/>
    <mergeCell ref="B528:G534"/>
    <mergeCell ref="H528:M534"/>
    <mergeCell ref="B537:E537"/>
    <mergeCell ref="F537:I537"/>
    <mergeCell ref="J537:M537"/>
    <mergeCell ref="B519:E519"/>
    <mergeCell ref="F519:I519"/>
    <mergeCell ref="J519:M519"/>
    <mergeCell ref="B520:E524"/>
    <mergeCell ref="F520:I524"/>
    <mergeCell ref="J520:M524"/>
    <mergeCell ref="C549:M549"/>
    <mergeCell ref="C550:M550"/>
    <mergeCell ref="C551:M551"/>
    <mergeCell ref="C552:M552"/>
    <mergeCell ref="C553:M553"/>
    <mergeCell ref="B538:E542"/>
    <mergeCell ref="F538:I542"/>
    <mergeCell ref="J538:M542"/>
    <mergeCell ref="C546:M547"/>
    <mergeCell ref="C548:M548"/>
    <mergeCell ref="B562:E562"/>
    <mergeCell ref="F562:I562"/>
    <mergeCell ref="B567:E567"/>
    <mergeCell ref="F567:I567"/>
    <mergeCell ref="J567:M567"/>
    <mergeCell ref="C554:M554"/>
    <mergeCell ref="C555:M556"/>
    <mergeCell ref="B560:E560"/>
    <mergeCell ref="F560:I560"/>
    <mergeCell ref="B561:E561"/>
    <mergeCell ref="F561:I561"/>
    <mergeCell ref="J561:M561"/>
    <mergeCell ref="B575:F575"/>
    <mergeCell ref="B576:F576"/>
    <mergeCell ref="B577:F577"/>
    <mergeCell ref="B578:F578"/>
    <mergeCell ref="B579:F579"/>
    <mergeCell ref="A568:M568"/>
    <mergeCell ref="A569:M569"/>
    <mergeCell ref="B572:F572"/>
    <mergeCell ref="B573:F573"/>
    <mergeCell ref="B574:F574"/>
    <mergeCell ref="B590:G590"/>
    <mergeCell ref="H590:M590"/>
    <mergeCell ref="B591:G597"/>
    <mergeCell ref="H591:M597"/>
    <mergeCell ref="B600:E600"/>
    <mergeCell ref="F600:I600"/>
    <mergeCell ref="J600:M600"/>
    <mergeCell ref="B582:E582"/>
    <mergeCell ref="F582:I582"/>
    <mergeCell ref="J582:M582"/>
    <mergeCell ref="B583:E587"/>
    <mergeCell ref="F583:I587"/>
    <mergeCell ref="J583:M587"/>
    <mergeCell ref="C612:M612"/>
    <mergeCell ref="C613:M613"/>
    <mergeCell ref="C614:M614"/>
    <mergeCell ref="C615:M615"/>
    <mergeCell ref="C616:M616"/>
    <mergeCell ref="B601:E605"/>
    <mergeCell ref="F601:I605"/>
    <mergeCell ref="J601:M605"/>
    <mergeCell ref="C609:M610"/>
    <mergeCell ref="C611:M611"/>
    <mergeCell ref="B625:E625"/>
    <mergeCell ref="F625:I625"/>
    <mergeCell ref="B630:E630"/>
    <mergeCell ref="F630:I630"/>
    <mergeCell ref="J630:M630"/>
    <mergeCell ref="C617:M617"/>
    <mergeCell ref="C618:M619"/>
    <mergeCell ref="B623:E623"/>
    <mergeCell ref="F623:I623"/>
    <mergeCell ref="B624:E624"/>
    <mergeCell ref="F624:I624"/>
    <mergeCell ref="J624:M624"/>
    <mergeCell ref="B638:F638"/>
    <mergeCell ref="B639:F639"/>
    <mergeCell ref="B640:F640"/>
    <mergeCell ref="B641:F641"/>
    <mergeCell ref="B642:F642"/>
    <mergeCell ref="A631:M631"/>
    <mergeCell ref="A632:M632"/>
    <mergeCell ref="B635:F635"/>
    <mergeCell ref="B636:F636"/>
    <mergeCell ref="B637:F637"/>
    <mergeCell ref="B653:G653"/>
    <mergeCell ref="H653:M653"/>
    <mergeCell ref="B654:G660"/>
    <mergeCell ref="H654:M660"/>
    <mergeCell ref="B663:E663"/>
    <mergeCell ref="F663:I663"/>
    <mergeCell ref="J663:M663"/>
    <mergeCell ref="B645:E645"/>
    <mergeCell ref="F645:I645"/>
    <mergeCell ref="J645:M645"/>
    <mergeCell ref="B646:E650"/>
    <mergeCell ref="F646:I650"/>
    <mergeCell ref="J646:M650"/>
    <mergeCell ref="C675:M675"/>
    <mergeCell ref="C676:M676"/>
    <mergeCell ref="C677:M677"/>
    <mergeCell ref="C678:M678"/>
    <mergeCell ref="C679:M679"/>
    <mergeCell ref="B664:E668"/>
    <mergeCell ref="F664:I668"/>
    <mergeCell ref="J664:M668"/>
    <mergeCell ref="C672:M673"/>
    <mergeCell ref="C674:M674"/>
    <mergeCell ref="B688:E688"/>
    <mergeCell ref="F688:I688"/>
    <mergeCell ref="B693:E693"/>
    <mergeCell ref="F693:I693"/>
    <mergeCell ref="J693:M693"/>
    <mergeCell ref="C680:M680"/>
    <mergeCell ref="C681:M682"/>
    <mergeCell ref="B686:E686"/>
    <mergeCell ref="F686:I686"/>
    <mergeCell ref="B687:E687"/>
    <mergeCell ref="F687:I687"/>
    <mergeCell ref="J687:M687"/>
    <mergeCell ref="B701:F701"/>
    <mergeCell ref="B702:F702"/>
    <mergeCell ref="B703:F703"/>
    <mergeCell ref="B704:F704"/>
    <mergeCell ref="B705:F705"/>
    <mergeCell ref="A694:M694"/>
    <mergeCell ref="A695:M695"/>
    <mergeCell ref="B698:F698"/>
    <mergeCell ref="B699:F699"/>
    <mergeCell ref="B700:F700"/>
    <mergeCell ref="B716:G716"/>
    <mergeCell ref="H716:M716"/>
    <mergeCell ref="B717:G723"/>
    <mergeCell ref="H717:M723"/>
    <mergeCell ref="B726:E726"/>
    <mergeCell ref="F726:I726"/>
    <mergeCell ref="J726:M726"/>
    <mergeCell ref="B708:E708"/>
    <mergeCell ref="F708:I708"/>
    <mergeCell ref="J708:M708"/>
    <mergeCell ref="B709:E713"/>
    <mergeCell ref="F709:I713"/>
    <mergeCell ref="J709:M713"/>
    <mergeCell ref="C738:M738"/>
    <mergeCell ref="C739:M739"/>
    <mergeCell ref="C740:M740"/>
    <mergeCell ref="C741:M741"/>
    <mergeCell ref="C742:M742"/>
    <mergeCell ref="B727:E731"/>
    <mergeCell ref="F727:I731"/>
    <mergeCell ref="J727:M731"/>
    <mergeCell ref="C735:M736"/>
    <mergeCell ref="C737:M737"/>
    <mergeCell ref="B751:E751"/>
    <mergeCell ref="F751:I751"/>
    <mergeCell ref="B756:E756"/>
    <mergeCell ref="F756:I756"/>
    <mergeCell ref="J756:M756"/>
    <mergeCell ref="C743:M743"/>
    <mergeCell ref="C744:M745"/>
    <mergeCell ref="B749:E749"/>
    <mergeCell ref="F749:I749"/>
    <mergeCell ref="B750:E750"/>
    <mergeCell ref="F750:I750"/>
    <mergeCell ref="J750:M750"/>
    <mergeCell ref="B764:F764"/>
    <mergeCell ref="B765:F765"/>
    <mergeCell ref="B766:F766"/>
    <mergeCell ref="B767:F767"/>
    <mergeCell ref="B768:F768"/>
    <mergeCell ref="A757:M757"/>
    <mergeCell ref="A758:M758"/>
    <mergeCell ref="B761:F761"/>
    <mergeCell ref="B762:F762"/>
    <mergeCell ref="B763:F763"/>
    <mergeCell ref="B779:G779"/>
    <mergeCell ref="H779:M779"/>
    <mergeCell ref="B780:G786"/>
    <mergeCell ref="H780:M786"/>
    <mergeCell ref="B789:E789"/>
    <mergeCell ref="F789:I789"/>
    <mergeCell ref="J789:M789"/>
    <mergeCell ref="B771:E771"/>
    <mergeCell ref="F771:I771"/>
    <mergeCell ref="J771:M771"/>
    <mergeCell ref="B772:E776"/>
    <mergeCell ref="F772:I776"/>
    <mergeCell ref="J772:M776"/>
    <mergeCell ref="C801:M801"/>
    <mergeCell ref="C802:M802"/>
    <mergeCell ref="C803:M803"/>
    <mergeCell ref="C804:M804"/>
    <mergeCell ref="C805:M805"/>
    <mergeCell ref="B790:E794"/>
    <mergeCell ref="F790:I794"/>
    <mergeCell ref="J790:M794"/>
    <mergeCell ref="C798:M799"/>
    <mergeCell ref="C800:M800"/>
    <mergeCell ref="B814:E814"/>
    <mergeCell ref="F814:I814"/>
    <mergeCell ref="B819:E819"/>
    <mergeCell ref="F819:I819"/>
    <mergeCell ref="J819:M819"/>
    <mergeCell ref="C806:M806"/>
    <mergeCell ref="C807:M808"/>
    <mergeCell ref="B812:E812"/>
    <mergeCell ref="F812:I812"/>
    <mergeCell ref="B813:E813"/>
    <mergeCell ref="F813:I813"/>
    <mergeCell ref="J813:M813"/>
    <mergeCell ref="B827:F827"/>
    <mergeCell ref="B828:F828"/>
    <mergeCell ref="B829:F829"/>
    <mergeCell ref="B830:F830"/>
    <mergeCell ref="B831:F831"/>
    <mergeCell ref="A820:M820"/>
    <mergeCell ref="A821:M821"/>
    <mergeCell ref="B824:F824"/>
    <mergeCell ref="B825:F825"/>
    <mergeCell ref="B826:F826"/>
    <mergeCell ref="B842:G842"/>
    <mergeCell ref="H842:M842"/>
    <mergeCell ref="B843:G849"/>
    <mergeCell ref="H843:M849"/>
    <mergeCell ref="B852:E852"/>
    <mergeCell ref="F852:I852"/>
    <mergeCell ref="J852:M852"/>
    <mergeCell ref="B834:E834"/>
    <mergeCell ref="F834:I834"/>
    <mergeCell ref="J834:M834"/>
    <mergeCell ref="B835:E839"/>
    <mergeCell ref="F835:I839"/>
    <mergeCell ref="J835:M839"/>
    <mergeCell ref="C864:M864"/>
    <mergeCell ref="C865:M865"/>
    <mergeCell ref="C866:M866"/>
    <mergeCell ref="C867:M867"/>
    <mergeCell ref="C868:M868"/>
    <mergeCell ref="B853:E857"/>
    <mergeCell ref="F853:I857"/>
    <mergeCell ref="J853:M857"/>
    <mergeCell ref="C861:M862"/>
    <mergeCell ref="C863:M863"/>
    <mergeCell ref="B877:E877"/>
    <mergeCell ref="F877:I877"/>
    <mergeCell ref="B882:E882"/>
    <mergeCell ref="F882:I882"/>
    <mergeCell ref="J882:M882"/>
    <mergeCell ref="C869:M869"/>
    <mergeCell ref="C870:M871"/>
    <mergeCell ref="B875:E875"/>
    <mergeCell ref="F875:I875"/>
    <mergeCell ref="B876:E876"/>
    <mergeCell ref="F876:I876"/>
    <mergeCell ref="J876:M876"/>
    <mergeCell ref="B890:F890"/>
    <mergeCell ref="B891:F891"/>
    <mergeCell ref="B892:F892"/>
    <mergeCell ref="B893:F893"/>
    <mergeCell ref="B894:F894"/>
    <mergeCell ref="A883:M883"/>
    <mergeCell ref="A884:M884"/>
    <mergeCell ref="B887:F887"/>
    <mergeCell ref="B888:F888"/>
    <mergeCell ref="B889:F889"/>
    <mergeCell ref="B905:G905"/>
    <mergeCell ref="H905:M905"/>
    <mergeCell ref="B906:G912"/>
    <mergeCell ref="H906:M912"/>
    <mergeCell ref="B915:E915"/>
    <mergeCell ref="F915:I915"/>
    <mergeCell ref="J915:M915"/>
    <mergeCell ref="B897:E897"/>
    <mergeCell ref="F897:I897"/>
    <mergeCell ref="J897:M897"/>
    <mergeCell ref="B898:E902"/>
    <mergeCell ref="F898:I902"/>
    <mergeCell ref="J898:M902"/>
    <mergeCell ref="C927:M927"/>
    <mergeCell ref="C928:M928"/>
    <mergeCell ref="C929:M929"/>
    <mergeCell ref="C930:M930"/>
    <mergeCell ref="C931:M931"/>
    <mergeCell ref="B916:E920"/>
    <mergeCell ref="F916:I920"/>
    <mergeCell ref="J916:M920"/>
    <mergeCell ref="C924:M925"/>
    <mergeCell ref="C926:M926"/>
    <mergeCell ref="B940:E940"/>
    <mergeCell ref="F940:I940"/>
    <mergeCell ref="B945:E945"/>
    <mergeCell ref="F945:I945"/>
    <mergeCell ref="J945:M945"/>
    <mergeCell ref="C932:M932"/>
    <mergeCell ref="C933:M934"/>
    <mergeCell ref="B938:E938"/>
    <mergeCell ref="F938:I938"/>
    <mergeCell ref="B939:E939"/>
    <mergeCell ref="F939:I939"/>
    <mergeCell ref="J939:M939"/>
    <mergeCell ref="B953:F953"/>
    <mergeCell ref="B954:F954"/>
    <mergeCell ref="B955:F955"/>
    <mergeCell ref="B956:F956"/>
    <mergeCell ref="B957:F957"/>
    <mergeCell ref="A946:M946"/>
    <mergeCell ref="A947:M947"/>
    <mergeCell ref="B950:F950"/>
    <mergeCell ref="B951:F951"/>
    <mergeCell ref="B952:F952"/>
    <mergeCell ref="B968:G968"/>
    <mergeCell ref="H968:M968"/>
    <mergeCell ref="B969:G975"/>
    <mergeCell ref="H969:M975"/>
    <mergeCell ref="B978:E978"/>
    <mergeCell ref="F978:I978"/>
    <mergeCell ref="J978:M978"/>
    <mergeCell ref="B960:E960"/>
    <mergeCell ref="F960:I960"/>
    <mergeCell ref="J960:M960"/>
    <mergeCell ref="B961:E965"/>
    <mergeCell ref="F961:I965"/>
    <mergeCell ref="J961:M965"/>
    <mergeCell ref="C990:M990"/>
    <mergeCell ref="C991:M991"/>
    <mergeCell ref="C992:M992"/>
    <mergeCell ref="C993:M993"/>
    <mergeCell ref="C994:M994"/>
    <mergeCell ref="B979:E983"/>
    <mergeCell ref="F979:I983"/>
    <mergeCell ref="J979:M983"/>
    <mergeCell ref="C987:M988"/>
    <mergeCell ref="C989:M989"/>
    <mergeCell ref="B1003:E1003"/>
    <mergeCell ref="F1003:I1003"/>
    <mergeCell ref="B1008:E1008"/>
    <mergeCell ref="F1008:I1008"/>
    <mergeCell ref="J1008:M1008"/>
    <mergeCell ref="C995:M995"/>
    <mergeCell ref="C996:M997"/>
    <mergeCell ref="B1001:E1001"/>
    <mergeCell ref="F1001:I1001"/>
    <mergeCell ref="B1002:E1002"/>
    <mergeCell ref="F1002:I1002"/>
    <mergeCell ref="J1002:M1002"/>
    <mergeCell ref="B1016:F1016"/>
    <mergeCell ref="B1017:F1017"/>
    <mergeCell ref="B1018:F1018"/>
    <mergeCell ref="B1019:F1019"/>
    <mergeCell ref="B1020:F1020"/>
    <mergeCell ref="A1009:M1009"/>
    <mergeCell ref="A1010:M1010"/>
    <mergeCell ref="B1013:F1013"/>
    <mergeCell ref="B1014:F1014"/>
    <mergeCell ref="B1015:F1015"/>
    <mergeCell ref="B1031:G1031"/>
    <mergeCell ref="H1031:M1031"/>
    <mergeCell ref="B1032:G1038"/>
    <mergeCell ref="H1032:M1038"/>
    <mergeCell ref="B1041:E1041"/>
    <mergeCell ref="F1041:I1041"/>
    <mergeCell ref="J1041:M1041"/>
    <mergeCell ref="B1023:E1023"/>
    <mergeCell ref="F1023:I1023"/>
    <mergeCell ref="J1023:M1023"/>
    <mergeCell ref="B1024:E1028"/>
    <mergeCell ref="F1024:I1028"/>
    <mergeCell ref="J1024:M1028"/>
    <mergeCell ref="C1053:M1053"/>
    <mergeCell ref="C1054:M1054"/>
    <mergeCell ref="C1055:M1055"/>
    <mergeCell ref="C1056:M1056"/>
    <mergeCell ref="C1057:M1057"/>
    <mergeCell ref="B1042:E1046"/>
    <mergeCell ref="F1042:I1046"/>
    <mergeCell ref="J1042:M1046"/>
    <mergeCell ref="C1050:M1051"/>
    <mergeCell ref="C1052:M1052"/>
    <mergeCell ref="B1066:E1066"/>
    <mergeCell ref="F1066:I1066"/>
    <mergeCell ref="B1071:E1071"/>
    <mergeCell ref="F1071:I1071"/>
    <mergeCell ref="J1071:M1071"/>
    <mergeCell ref="C1058:M1058"/>
    <mergeCell ref="C1059:M1060"/>
    <mergeCell ref="B1064:E1064"/>
    <mergeCell ref="F1064:I1064"/>
    <mergeCell ref="B1065:E1065"/>
    <mergeCell ref="F1065:I1065"/>
    <mergeCell ref="J1065:M1065"/>
    <mergeCell ref="B1079:F1079"/>
    <mergeCell ref="B1080:F1080"/>
    <mergeCell ref="B1081:F1081"/>
    <mergeCell ref="B1082:F1082"/>
    <mergeCell ref="B1083:F1083"/>
    <mergeCell ref="A1072:M1072"/>
    <mergeCell ref="A1073:M1073"/>
    <mergeCell ref="B1076:F1076"/>
    <mergeCell ref="B1077:F1077"/>
    <mergeCell ref="B1078:F1078"/>
    <mergeCell ref="B1094:G1094"/>
    <mergeCell ref="H1094:M1094"/>
    <mergeCell ref="B1095:G1101"/>
    <mergeCell ref="H1095:M1101"/>
    <mergeCell ref="B1104:E1104"/>
    <mergeCell ref="F1104:I1104"/>
    <mergeCell ref="J1104:M1104"/>
    <mergeCell ref="B1086:E1086"/>
    <mergeCell ref="F1086:I1086"/>
    <mergeCell ref="J1086:M1086"/>
    <mergeCell ref="B1087:E1091"/>
    <mergeCell ref="F1087:I1091"/>
    <mergeCell ref="J1087:M1091"/>
    <mergeCell ref="C1116:M1116"/>
    <mergeCell ref="C1117:M1117"/>
    <mergeCell ref="C1118:M1118"/>
    <mergeCell ref="C1119:M1119"/>
    <mergeCell ref="C1120:M1120"/>
    <mergeCell ref="B1105:E1109"/>
    <mergeCell ref="F1105:I1109"/>
    <mergeCell ref="J1105:M1109"/>
    <mergeCell ref="C1113:M1114"/>
    <mergeCell ref="C1115:M1115"/>
    <mergeCell ref="B1129:E1129"/>
    <mergeCell ref="F1129:I1129"/>
    <mergeCell ref="B1134:E1134"/>
    <mergeCell ref="F1134:I1134"/>
    <mergeCell ref="J1134:M1134"/>
    <mergeCell ref="C1121:M1121"/>
    <mergeCell ref="C1122:M1123"/>
    <mergeCell ref="B1127:E1127"/>
    <mergeCell ref="F1127:I1127"/>
    <mergeCell ref="B1128:E1128"/>
    <mergeCell ref="F1128:I1128"/>
    <mergeCell ref="J1128:M1128"/>
    <mergeCell ref="B1142:F1142"/>
    <mergeCell ref="B1143:F1143"/>
    <mergeCell ref="B1144:F1144"/>
    <mergeCell ref="B1145:F1145"/>
    <mergeCell ref="B1146:F1146"/>
    <mergeCell ref="A1135:M1135"/>
    <mergeCell ref="A1136:M1136"/>
    <mergeCell ref="B1139:F1139"/>
    <mergeCell ref="B1140:F1140"/>
    <mergeCell ref="B1141:F1141"/>
    <mergeCell ref="B1157:G1157"/>
    <mergeCell ref="H1157:M1157"/>
    <mergeCell ref="B1158:G1164"/>
    <mergeCell ref="H1158:M1164"/>
    <mergeCell ref="B1167:E1167"/>
    <mergeCell ref="F1167:I1167"/>
    <mergeCell ref="J1167:M1167"/>
    <mergeCell ref="B1149:E1149"/>
    <mergeCell ref="F1149:I1149"/>
    <mergeCell ref="J1149:M1149"/>
    <mergeCell ref="B1150:E1154"/>
    <mergeCell ref="F1150:I1154"/>
    <mergeCell ref="J1150:M1154"/>
    <mergeCell ref="C1179:M1179"/>
    <mergeCell ref="C1180:M1180"/>
    <mergeCell ref="C1181:M1181"/>
    <mergeCell ref="C1182:M1182"/>
    <mergeCell ref="C1183:M1183"/>
    <mergeCell ref="B1168:E1172"/>
    <mergeCell ref="F1168:I1172"/>
    <mergeCell ref="J1168:M1172"/>
    <mergeCell ref="C1176:M1177"/>
    <mergeCell ref="C1178:M1178"/>
    <mergeCell ref="B1192:E1192"/>
    <mergeCell ref="F1192:I1192"/>
    <mergeCell ref="B1197:E1197"/>
    <mergeCell ref="F1197:I1197"/>
    <mergeCell ref="J1197:M1197"/>
    <mergeCell ref="C1184:M1184"/>
    <mergeCell ref="C1185:M1186"/>
    <mergeCell ref="B1190:E1190"/>
    <mergeCell ref="F1190:I1190"/>
    <mergeCell ref="B1191:E1191"/>
    <mergeCell ref="F1191:I1191"/>
    <mergeCell ref="J1191:M1191"/>
    <mergeCell ref="B1205:F1205"/>
    <mergeCell ref="B1206:F1206"/>
    <mergeCell ref="B1207:F1207"/>
    <mergeCell ref="B1208:F1208"/>
    <mergeCell ref="B1209:F1209"/>
    <mergeCell ref="A1198:M1198"/>
    <mergeCell ref="A1199:M1199"/>
    <mergeCell ref="B1202:F1202"/>
    <mergeCell ref="B1203:F1203"/>
    <mergeCell ref="B1204:F1204"/>
    <mergeCell ref="B1220:G1220"/>
    <mergeCell ref="H1220:M1220"/>
    <mergeCell ref="B1221:G1227"/>
    <mergeCell ref="H1221:M1227"/>
    <mergeCell ref="B1230:E1230"/>
    <mergeCell ref="F1230:I1230"/>
    <mergeCell ref="J1230:M1230"/>
    <mergeCell ref="B1212:E1212"/>
    <mergeCell ref="F1212:I1212"/>
    <mergeCell ref="J1212:M1212"/>
    <mergeCell ref="B1213:E1217"/>
    <mergeCell ref="F1213:I1217"/>
    <mergeCell ref="J1213:M1217"/>
    <mergeCell ref="C1242:M1242"/>
    <mergeCell ref="C1243:M1243"/>
    <mergeCell ref="C1244:M1244"/>
    <mergeCell ref="C1245:M1245"/>
    <mergeCell ref="C1246:M1246"/>
    <mergeCell ref="B1231:E1235"/>
    <mergeCell ref="F1231:I1235"/>
    <mergeCell ref="J1231:M1235"/>
    <mergeCell ref="C1239:M1240"/>
    <mergeCell ref="C1241:M1241"/>
    <mergeCell ref="B1255:E1255"/>
    <mergeCell ref="F1255:I1255"/>
    <mergeCell ref="B1260:E1260"/>
    <mergeCell ref="F1260:I1260"/>
    <mergeCell ref="J1260:M1260"/>
    <mergeCell ref="C1247:M1247"/>
    <mergeCell ref="C1248:M1249"/>
    <mergeCell ref="B1253:E1253"/>
    <mergeCell ref="F1253:I1253"/>
    <mergeCell ref="B1254:E1254"/>
    <mergeCell ref="F1254:I1254"/>
    <mergeCell ref="J1254:M1254"/>
  </mergeCells>
  <printOptions horizontalCentered="1"/>
  <pageMargins left="0.59055118110236227" right="0.59055118110236227" top="0.59055118110236227" bottom="0.59055118110236227" header="0.31496062992125984" footer="0.31496062992125984"/>
  <pageSetup paperSize="9" scale="85" fitToHeight="20"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Module1.InsertFotoDiCellAktif">
                <anchor moveWithCells="1" sizeWithCells="1">
                  <from>
                    <xdr:col>1</xdr:col>
                    <xdr:colOff>38100</xdr:colOff>
                    <xdr:row>15</xdr:row>
                    <xdr:rowOff>38100</xdr:rowOff>
                  </from>
                  <to>
                    <xdr:col>1</xdr:col>
                    <xdr:colOff>177800</xdr:colOff>
                    <xdr:row>15</xdr:row>
                    <xdr:rowOff>190500</xdr:rowOff>
                  </to>
                </anchor>
              </controlPr>
            </control>
          </mc:Choice>
        </mc:AlternateContent>
        <mc:AlternateContent xmlns:mc="http://schemas.openxmlformats.org/markup-compatibility/2006">
          <mc:Choice Requires="x14">
            <control shapeId="2051" r:id="rId4" name="Button 3">
              <controlPr defaultSize="0" print="0" autoFill="0" autoPict="0" macro="[0]!Module1.InsertFotoDiCellAktif">
                <anchor moveWithCells="1" sizeWithCells="1">
                  <from>
                    <xdr:col>5</xdr:col>
                    <xdr:colOff>38100</xdr:colOff>
                    <xdr:row>15</xdr:row>
                    <xdr:rowOff>38100</xdr:rowOff>
                  </from>
                  <to>
                    <xdr:col>5</xdr:col>
                    <xdr:colOff>177800</xdr:colOff>
                    <xdr:row>16</xdr:row>
                    <xdr:rowOff>0</xdr:rowOff>
                  </to>
                </anchor>
              </controlPr>
            </control>
          </mc:Choice>
        </mc:AlternateContent>
        <mc:AlternateContent xmlns:mc="http://schemas.openxmlformats.org/markup-compatibility/2006">
          <mc:Choice Requires="x14">
            <control shapeId="2052" r:id="rId5" name="Button 4">
              <controlPr defaultSize="0" print="0" autoFill="0" autoPict="0" macro="[0]!Module1.InsertFotoDiCellAktif">
                <anchor moveWithCells="1" sizeWithCells="1">
                  <from>
                    <xdr:col>5</xdr:col>
                    <xdr:colOff>38100</xdr:colOff>
                    <xdr:row>15</xdr:row>
                    <xdr:rowOff>38100</xdr:rowOff>
                  </from>
                  <to>
                    <xdr:col>5</xdr:col>
                    <xdr:colOff>177800</xdr:colOff>
                    <xdr:row>16</xdr:row>
                    <xdr:rowOff>0</xdr:rowOff>
                  </to>
                </anchor>
              </controlPr>
            </control>
          </mc:Choice>
        </mc:AlternateContent>
        <mc:AlternateContent xmlns:mc="http://schemas.openxmlformats.org/markup-compatibility/2006">
          <mc:Choice Requires="x14">
            <control shapeId="2053" r:id="rId6" name="Button 5">
              <controlPr defaultSize="0" print="0" autoFill="0" autoPict="0" macro="[0]!Module1.InsertFotoDiCellAktif">
                <anchor moveWithCells="1" sizeWithCells="1">
                  <from>
                    <xdr:col>9</xdr:col>
                    <xdr:colOff>38100</xdr:colOff>
                    <xdr:row>15</xdr:row>
                    <xdr:rowOff>38100</xdr:rowOff>
                  </from>
                  <to>
                    <xdr:col>9</xdr:col>
                    <xdr:colOff>177800</xdr:colOff>
                    <xdr:row>16</xdr:row>
                    <xdr:rowOff>0</xdr:rowOff>
                  </to>
                </anchor>
              </controlPr>
            </control>
          </mc:Choice>
        </mc:AlternateContent>
        <mc:AlternateContent xmlns:mc="http://schemas.openxmlformats.org/markup-compatibility/2006">
          <mc:Choice Requires="x14">
            <control shapeId="2054" r:id="rId7" name="Button 6">
              <controlPr defaultSize="0" print="0" autoFill="0" autoPict="0" macro="[0]!Module1.InsertFotoDiCellAktif">
                <anchor moveWithCells="1" sizeWithCells="1">
                  <from>
                    <xdr:col>1</xdr:col>
                    <xdr:colOff>38100</xdr:colOff>
                    <xdr:row>23</xdr:row>
                    <xdr:rowOff>38100</xdr:rowOff>
                  </from>
                  <to>
                    <xdr:col>1</xdr:col>
                    <xdr:colOff>177800</xdr:colOff>
                    <xdr:row>24</xdr:row>
                    <xdr:rowOff>0</xdr:rowOff>
                  </to>
                </anchor>
              </controlPr>
            </control>
          </mc:Choice>
        </mc:AlternateContent>
        <mc:AlternateContent xmlns:mc="http://schemas.openxmlformats.org/markup-compatibility/2006">
          <mc:Choice Requires="x14">
            <control shapeId="2055" r:id="rId8" name="Button 7">
              <controlPr defaultSize="0" print="0" autoFill="0" autoPict="0" macro="[0]!Module1.InsertFotoDiCellAktif">
                <anchor moveWithCells="1" sizeWithCells="1">
                  <from>
                    <xdr:col>7</xdr:col>
                    <xdr:colOff>38100</xdr:colOff>
                    <xdr:row>23</xdr:row>
                    <xdr:rowOff>38100</xdr:rowOff>
                  </from>
                  <to>
                    <xdr:col>7</xdr:col>
                    <xdr:colOff>177800</xdr:colOff>
                    <xdr:row>24</xdr:row>
                    <xdr:rowOff>0</xdr:rowOff>
                  </to>
                </anchor>
              </controlPr>
            </control>
          </mc:Choice>
        </mc:AlternateContent>
        <mc:AlternateContent xmlns:mc="http://schemas.openxmlformats.org/markup-compatibility/2006">
          <mc:Choice Requires="x14">
            <control shapeId="2056" r:id="rId9" name="Button 8">
              <controlPr defaultSize="0" print="0" autoFill="0" autoPict="0" macro="[0]!Module1.InsertFotoDiCellAktif">
                <anchor moveWithCells="1" sizeWithCells="1">
                  <from>
                    <xdr:col>1</xdr:col>
                    <xdr:colOff>38100</xdr:colOff>
                    <xdr:row>33</xdr:row>
                    <xdr:rowOff>38100</xdr:rowOff>
                  </from>
                  <to>
                    <xdr:col>1</xdr:col>
                    <xdr:colOff>177800</xdr:colOff>
                    <xdr:row>34</xdr:row>
                    <xdr:rowOff>0</xdr:rowOff>
                  </to>
                </anchor>
              </controlPr>
            </control>
          </mc:Choice>
        </mc:AlternateContent>
        <mc:AlternateContent xmlns:mc="http://schemas.openxmlformats.org/markup-compatibility/2006">
          <mc:Choice Requires="x14">
            <control shapeId="2057" r:id="rId10" name="Button 9">
              <controlPr defaultSize="0" print="0" autoFill="0" autoPict="0" macro="[0]!Module1.InsertFotoDiCellAktif">
                <anchor moveWithCells="1" sizeWithCells="1">
                  <from>
                    <xdr:col>5</xdr:col>
                    <xdr:colOff>38100</xdr:colOff>
                    <xdr:row>33</xdr:row>
                    <xdr:rowOff>38100</xdr:rowOff>
                  </from>
                  <to>
                    <xdr:col>5</xdr:col>
                    <xdr:colOff>177800</xdr:colOff>
                    <xdr:row>34</xdr:row>
                    <xdr:rowOff>0</xdr:rowOff>
                  </to>
                </anchor>
              </controlPr>
            </control>
          </mc:Choice>
        </mc:AlternateContent>
        <mc:AlternateContent xmlns:mc="http://schemas.openxmlformats.org/markup-compatibility/2006">
          <mc:Choice Requires="x14">
            <control shapeId="2058" r:id="rId11" name="Button 10">
              <controlPr defaultSize="0" print="0" autoFill="0" autoPict="0" macro="[0]!Module1.InsertFotoDiCellAktif">
                <anchor moveWithCells="1" sizeWithCells="1">
                  <from>
                    <xdr:col>9</xdr:col>
                    <xdr:colOff>38100</xdr:colOff>
                    <xdr:row>33</xdr:row>
                    <xdr:rowOff>38100</xdr:rowOff>
                  </from>
                  <to>
                    <xdr:col>9</xdr:col>
                    <xdr:colOff>177800</xdr:colOff>
                    <xdr:row>34</xdr:row>
                    <xdr:rowOff>0</xdr:rowOff>
                  </to>
                </anchor>
              </controlPr>
            </control>
          </mc:Choice>
        </mc:AlternateContent>
        <mc:AlternateContent xmlns:mc="http://schemas.openxmlformats.org/markup-compatibility/2006">
          <mc:Choice Requires="x14">
            <control shapeId="2059" r:id="rId12" name="Button 11">
              <controlPr defaultSize="0" print="0" autoFill="0" autoPict="0" macro="[0]!Module1.InsertFotoDiCellAktif">
                <anchor moveWithCells="1" sizeWithCells="1">
                  <from>
                    <xdr:col>15</xdr:col>
                    <xdr:colOff>381000</xdr:colOff>
                    <xdr:row>15</xdr:row>
                    <xdr:rowOff>25400</xdr:rowOff>
                  </from>
                  <to>
                    <xdr:col>16</xdr:col>
                    <xdr:colOff>0</xdr:colOff>
                    <xdr:row>15</xdr:row>
                    <xdr:rowOff>177800</xdr:rowOff>
                  </to>
                </anchor>
              </controlPr>
            </control>
          </mc:Choice>
        </mc:AlternateContent>
        <mc:AlternateContent xmlns:mc="http://schemas.openxmlformats.org/markup-compatibility/2006">
          <mc:Choice Requires="x14">
            <control shapeId="2060" r:id="rId13" name="Button 12">
              <controlPr defaultSize="0" print="0" autoFill="0" autoPict="0" macro="[0]!Module1.InsertFotoDiCellAktif">
                <anchor moveWithCells="1" sizeWithCells="1">
                  <from>
                    <xdr:col>1</xdr:col>
                    <xdr:colOff>38100</xdr:colOff>
                    <xdr:row>78</xdr:row>
                    <xdr:rowOff>38100</xdr:rowOff>
                  </from>
                  <to>
                    <xdr:col>1</xdr:col>
                    <xdr:colOff>177800</xdr:colOff>
                    <xdr:row>78</xdr:row>
                    <xdr:rowOff>190500</xdr:rowOff>
                  </to>
                </anchor>
              </controlPr>
            </control>
          </mc:Choice>
        </mc:AlternateContent>
        <mc:AlternateContent xmlns:mc="http://schemas.openxmlformats.org/markup-compatibility/2006">
          <mc:Choice Requires="x14">
            <control shapeId="2061" r:id="rId14" name="Button 13">
              <controlPr defaultSize="0" print="0" autoFill="0" autoPict="0" macro="[0]!Module1.InsertFotoDiCellAktif">
                <anchor moveWithCells="1" sizeWithCells="1">
                  <from>
                    <xdr:col>5</xdr:col>
                    <xdr:colOff>38100</xdr:colOff>
                    <xdr:row>78</xdr:row>
                    <xdr:rowOff>38100</xdr:rowOff>
                  </from>
                  <to>
                    <xdr:col>5</xdr:col>
                    <xdr:colOff>177800</xdr:colOff>
                    <xdr:row>79</xdr:row>
                    <xdr:rowOff>0</xdr:rowOff>
                  </to>
                </anchor>
              </controlPr>
            </control>
          </mc:Choice>
        </mc:AlternateContent>
        <mc:AlternateContent xmlns:mc="http://schemas.openxmlformats.org/markup-compatibility/2006">
          <mc:Choice Requires="x14">
            <control shapeId="2062" r:id="rId15" name="Button 14">
              <controlPr defaultSize="0" print="0" autoFill="0" autoPict="0" macro="[0]!Module1.InsertFotoDiCellAktif">
                <anchor moveWithCells="1" sizeWithCells="1">
                  <from>
                    <xdr:col>5</xdr:col>
                    <xdr:colOff>38100</xdr:colOff>
                    <xdr:row>78</xdr:row>
                    <xdr:rowOff>38100</xdr:rowOff>
                  </from>
                  <to>
                    <xdr:col>5</xdr:col>
                    <xdr:colOff>177800</xdr:colOff>
                    <xdr:row>79</xdr:row>
                    <xdr:rowOff>0</xdr:rowOff>
                  </to>
                </anchor>
              </controlPr>
            </control>
          </mc:Choice>
        </mc:AlternateContent>
        <mc:AlternateContent xmlns:mc="http://schemas.openxmlformats.org/markup-compatibility/2006">
          <mc:Choice Requires="x14">
            <control shapeId="2063" r:id="rId16" name="Button 15">
              <controlPr defaultSize="0" print="0" autoFill="0" autoPict="0" macro="[0]!Module1.InsertFotoDiCellAktif">
                <anchor moveWithCells="1" sizeWithCells="1">
                  <from>
                    <xdr:col>9</xdr:col>
                    <xdr:colOff>38100</xdr:colOff>
                    <xdr:row>78</xdr:row>
                    <xdr:rowOff>38100</xdr:rowOff>
                  </from>
                  <to>
                    <xdr:col>9</xdr:col>
                    <xdr:colOff>177800</xdr:colOff>
                    <xdr:row>79</xdr:row>
                    <xdr:rowOff>0</xdr:rowOff>
                  </to>
                </anchor>
              </controlPr>
            </control>
          </mc:Choice>
        </mc:AlternateContent>
        <mc:AlternateContent xmlns:mc="http://schemas.openxmlformats.org/markup-compatibility/2006">
          <mc:Choice Requires="x14">
            <control shapeId="2064" r:id="rId17" name="Button 16">
              <controlPr defaultSize="0" print="0" autoFill="0" autoPict="0" macro="[0]!Module1.InsertFotoDiCellAktif">
                <anchor moveWithCells="1" sizeWithCells="1">
                  <from>
                    <xdr:col>1</xdr:col>
                    <xdr:colOff>38100</xdr:colOff>
                    <xdr:row>86</xdr:row>
                    <xdr:rowOff>38100</xdr:rowOff>
                  </from>
                  <to>
                    <xdr:col>1</xdr:col>
                    <xdr:colOff>177800</xdr:colOff>
                    <xdr:row>87</xdr:row>
                    <xdr:rowOff>0</xdr:rowOff>
                  </to>
                </anchor>
              </controlPr>
            </control>
          </mc:Choice>
        </mc:AlternateContent>
        <mc:AlternateContent xmlns:mc="http://schemas.openxmlformats.org/markup-compatibility/2006">
          <mc:Choice Requires="x14">
            <control shapeId="2065" r:id="rId18" name="Button 17">
              <controlPr defaultSize="0" print="0" autoFill="0" autoPict="0" macro="[0]!Module1.InsertFotoDiCellAktif">
                <anchor moveWithCells="1" sizeWithCells="1">
                  <from>
                    <xdr:col>7</xdr:col>
                    <xdr:colOff>38100</xdr:colOff>
                    <xdr:row>86</xdr:row>
                    <xdr:rowOff>38100</xdr:rowOff>
                  </from>
                  <to>
                    <xdr:col>7</xdr:col>
                    <xdr:colOff>177800</xdr:colOff>
                    <xdr:row>87</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Module1.InsertFotoDiCellAktif">
                <anchor moveWithCells="1" sizeWithCells="1">
                  <from>
                    <xdr:col>1</xdr:col>
                    <xdr:colOff>38100</xdr:colOff>
                    <xdr:row>96</xdr:row>
                    <xdr:rowOff>38100</xdr:rowOff>
                  </from>
                  <to>
                    <xdr:col>1</xdr:col>
                    <xdr:colOff>177800</xdr:colOff>
                    <xdr:row>97</xdr:row>
                    <xdr:rowOff>0</xdr:rowOff>
                  </to>
                </anchor>
              </controlPr>
            </control>
          </mc:Choice>
        </mc:AlternateContent>
        <mc:AlternateContent xmlns:mc="http://schemas.openxmlformats.org/markup-compatibility/2006">
          <mc:Choice Requires="x14">
            <control shapeId="2067" r:id="rId20" name="Button 19">
              <controlPr defaultSize="0" print="0" autoFill="0" autoPict="0" macro="[0]!Module1.InsertFotoDiCellAktif">
                <anchor moveWithCells="1" sizeWithCells="1">
                  <from>
                    <xdr:col>5</xdr:col>
                    <xdr:colOff>38100</xdr:colOff>
                    <xdr:row>96</xdr:row>
                    <xdr:rowOff>38100</xdr:rowOff>
                  </from>
                  <to>
                    <xdr:col>5</xdr:col>
                    <xdr:colOff>177800</xdr:colOff>
                    <xdr:row>97</xdr:row>
                    <xdr:rowOff>0</xdr:rowOff>
                  </to>
                </anchor>
              </controlPr>
            </control>
          </mc:Choice>
        </mc:AlternateContent>
        <mc:AlternateContent xmlns:mc="http://schemas.openxmlformats.org/markup-compatibility/2006">
          <mc:Choice Requires="x14">
            <control shapeId="2068" r:id="rId21" name="Button 20">
              <controlPr defaultSize="0" print="0" autoFill="0" autoPict="0" macro="[0]!Module1.InsertFotoDiCellAktif">
                <anchor moveWithCells="1" sizeWithCells="1">
                  <from>
                    <xdr:col>9</xdr:col>
                    <xdr:colOff>38100</xdr:colOff>
                    <xdr:row>96</xdr:row>
                    <xdr:rowOff>38100</xdr:rowOff>
                  </from>
                  <to>
                    <xdr:col>9</xdr:col>
                    <xdr:colOff>177800</xdr:colOff>
                    <xdr:row>97</xdr:row>
                    <xdr:rowOff>0</xdr:rowOff>
                  </to>
                </anchor>
              </controlPr>
            </control>
          </mc:Choice>
        </mc:AlternateContent>
        <mc:AlternateContent xmlns:mc="http://schemas.openxmlformats.org/markup-compatibility/2006">
          <mc:Choice Requires="x14">
            <control shapeId="2069" r:id="rId22" name="Button 21">
              <controlPr defaultSize="0" print="0" autoFill="0" autoPict="0" macro="[0]!Module1.InsertFotoDiCellAktif">
                <anchor moveWithCells="1" sizeWithCells="1">
                  <from>
                    <xdr:col>15</xdr:col>
                    <xdr:colOff>381000</xdr:colOff>
                    <xdr:row>78</xdr:row>
                    <xdr:rowOff>25400</xdr:rowOff>
                  </from>
                  <to>
                    <xdr:col>16</xdr:col>
                    <xdr:colOff>0</xdr:colOff>
                    <xdr:row>78</xdr:row>
                    <xdr:rowOff>177800</xdr:rowOff>
                  </to>
                </anchor>
              </controlPr>
            </control>
          </mc:Choice>
        </mc:AlternateContent>
        <mc:AlternateContent xmlns:mc="http://schemas.openxmlformats.org/markup-compatibility/2006">
          <mc:Choice Requires="x14">
            <control shapeId="2070" r:id="rId23" name="Button 22">
              <controlPr defaultSize="0" print="0" autoFill="0" autoPict="0" macro="[0]!Module1.InsertFotoDiCellAktif">
                <anchor moveWithCells="1" sizeWithCells="1">
                  <from>
                    <xdr:col>1</xdr:col>
                    <xdr:colOff>38100</xdr:colOff>
                    <xdr:row>141</xdr:row>
                    <xdr:rowOff>38100</xdr:rowOff>
                  </from>
                  <to>
                    <xdr:col>1</xdr:col>
                    <xdr:colOff>177800</xdr:colOff>
                    <xdr:row>141</xdr:row>
                    <xdr:rowOff>190500</xdr:rowOff>
                  </to>
                </anchor>
              </controlPr>
            </control>
          </mc:Choice>
        </mc:AlternateContent>
        <mc:AlternateContent xmlns:mc="http://schemas.openxmlformats.org/markup-compatibility/2006">
          <mc:Choice Requires="x14">
            <control shapeId="2071" r:id="rId24" name="Button 23">
              <controlPr defaultSize="0" print="0" autoFill="0" autoPict="0" macro="[0]!Module1.InsertFotoDiCellAktif">
                <anchor moveWithCells="1" sizeWithCells="1">
                  <from>
                    <xdr:col>5</xdr:col>
                    <xdr:colOff>38100</xdr:colOff>
                    <xdr:row>141</xdr:row>
                    <xdr:rowOff>38100</xdr:rowOff>
                  </from>
                  <to>
                    <xdr:col>5</xdr:col>
                    <xdr:colOff>177800</xdr:colOff>
                    <xdr:row>142</xdr:row>
                    <xdr:rowOff>0</xdr:rowOff>
                  </to>
                </anchor>
              </controlPr>
            </control>
          </mc:Choice>
        </mc:AlternateContent>
        <mc:AlternateContent xmlns:mc="http://schemas.openxmlformats.org/markup-compatibility/2006">
          <mc:Choice Requires="x14">
            <control shapeId="2072" r:id="rId25" name="Button 24">
              <controlPr defaultSize="0" print="0" autoFill="0" autoPict="0" macro="[0]!Module1.InsertFotoDiCellAktif">
                <anchor moveWithCells="1" sizeWithCells="1">
                  <from>
                    <xdr:col>5</xdr:col>
                    <xdr:colOff>38100</xdr:colOff>
                    <xdr:row>141</xdr:row>
                    <xdr:rowOff>38100</xdr:rowOff>
                  </from>
                  <to>
                    <xdr:col>5</xdr:col>
                    <xdr:colOff>177800</xdr:colOff>
                    <xdr:row>142</xdr:row>
                    <xdr:rowOff>0</xdr:rowOff>
                  </to>
                </anchor>
              </controlPr>
            </control>
          </mc:Choice>
        </mc:AlternateContent>
        <mc:AlternateContent xmlns:mc="http://schemas.openxmlformats.org/markup-compatibility/2006">
          <mc:Choice Requires="x14">
            <control shapeId="2073" r:id="rId26" name="Button 25">
              <controlPr defaultSize="0" print="0" autoFill="0" autoPict="0" macro="[0]!Module1.InsertFotoDiCellAktif">
                <anchor moveWithCells="1" sizeWithCells="1">
                  <from>
                    <xdr:col>9</xdr:col>
                    <xdr:colOff>38100</xdr:colOff>
                    <xdr:row>141</xdr:row>
                    <xdr:rowOff>38100</xdr:rowOff>
                  </from>
                  <to>
                    <xdr:col>9</xdr:col>
                    <xdr:colOff>177800</xdr:colOff>
                    <xdr:row>142</xdr:row>
                    <xdr:rowOff>0</xdr:rowOff>
                  </to>
                </anchor>
              </controlPr>
            </control>
          </mc:Choice>
        </mc:AlternateContent>
        <mc:AlternateContent xmlns:mc="http://schemas.openxmlformats.org/markup-compatibility/2006">
          <mc:Choice Requires="x14">
            <control shapeId="2074" r:id="rId27" name="Button 26">
              <controlPr defaultSize="0" print="0" autoFill="0" autoPict="0" macro="[0]!Module1.InsertFotoDiCellAktif">
                <anchor moveWithCells="1" sizeWithCells="1">
                  <from>
                    <xdr:col>1</xdr:col>
                    <xdr:colOff>38100</xdr:colOff>
                    <xdr:row>149</xdr:row>
                    <xdr:rowOff>38100</xdr:rowOff>
                  </from>
                  <to>
                    <xdr:col>1</xdr:col>
                    <xdr:colOff>177800</xdr:colOff>
                    <xdr:row>150</xdr:row>
                    <xdr:rowOff>0</xdr:rowOff>
                  </to>
                </anchor>
              </controlPr>
            </control>
          </mc:Choice>
        </mc:AlternateContent>
        <mc:AlternateContent xmlns:mc="http://schemas.openxmlformats.org/markup-compatibility/2006">
          <mc:Choice Requires="x14">
            <control shapeId="2075" r:id="rId28" name="Button 27">
              <controlPr defaultSize="0" print="0" autoFill="0" autoPict="0" macro="[0]!Module1.InsertFotoDiCellAktif">
                <anchor moveWithCells="1" sizeWithCells="1">
                  <from>
                    <xdr:col>7</xdr:col>
                    <xdr:colOff>38100</xdr:colOff>
                    <xdr:row>149</xdr:row>
                    <xdr:rowOff>38100</xdr:rowOff>
                  </from>
                  <to>
                    <xdr:col>7</xdr:col>
                    <xdr:colOff>177800</xdr:colOff>
                    <xdr:row>150</xdr:row>
                    <xdr:rowOff>0</xdr:rowOff>
                  </to>
                </anchor>
              </controlPr>
            </control>
          </mc:Choice>
        </mc:AlternateContent>
        <mc:AlternateContent xmlns:mc="http://schemas.openxmlformats.org/markup-compatibility/2006">
          <mc:Choice Requires="x14">
            <control shapeId="2076" r:id="rId29" name="Button 28">
              <controlPr defaultSize="0" print="0" autoFill="0" autoPict="0" macro="[0]!Module1.InsertFotoDiCellAktif">
                <anchor moveWithCells="1" sizeWithCells="1">
                  <from>
                    <xdr:col>1</xdr:col>
                    <xdr:colOff>38100</xdr:colOff>
                    <xdr:row>159</xdr:row>
                    <xdr:rowOff>38100</xdr:rowOff>
                  </from>
                  <to>
                    <xdr:col>1</xdr:col>
                    <xdr:colOff>177800</xdr:colOff>
                    <xdr:row>160</xdr:row>
                    <xdr:rowOff>0</xdr:rowOff>
                  </to>
                </anchor>
              </controlPr>
            </control>
          </mc:Choice>
        </mc:AlternateContent>
        <mc:AlternateContent xmlns:mc="http://schemas.openxmlformats.org/markup-compatibility/2006">
          <mc:Choice Requires="x14">
            <control shapeId="2077" r:id="rId30" name="Button 29">
              <controlPr defaultSize="0" print="0" autoFill="0" autoPict="0" macro="[0]!Module1.InsertFotoDiCellAktif">
                <anchor moveWithCells="1" sizeWithCells="1">
                  <from>
                    <xdr:col>5</xdr:col>
                    <xdr:colOff>38100</xdr:colOff>
                    <xdr:row>159</xdr:row>
                    <xdr:rowOff>38100</xdr:rowOff>
                  </from>
                  <to>
                    <xdr:col>5</xdr:col>
                    <xdr:colOff>177800</xdr:colOff>
                    <xdr:row>160</xdr:row>
                    <xdr:rowOff>0</xdr:rowOff>
                  </to>
                </anchor>
              </controlPr>
            </control>
          </mc:Choice>
        </mc:AlternateContent>
        <mc:AlternateContent xmlns:mc="http://schemas.openxmlformats.org/markup-compatibility/2006">
          <mc:Choice Requires="x14">
            <control shapeId="2078" r:id="rId31" name="Button 30">
              <controlPr defaultSize="0" print="0" autoFill="0" autoPict="0" macro="[0]!Module1.InsertFotoDiCellAktif">
                <anchor moveWithCells="1" sizeWithCells="1">
                  <from>
                    <xdr:col>9</xdr:col>
                    <xdr:colOff>38100</xdr:colOff>
                    <xdr:row>159</xdr:row>
                    <xdr:rowOff>38100</xdr:rowOff>
                  </from>
                  <to>
                    <xdr:col>9</xdr:col>
                    <xdr:colOff>177800</xdr:colOff>
                    <xdr:row>160</xdr:row>
                    <xdr:rowOff>0</xdr:rowOff>
                  </to>
                </anchor>
              </controlPr>
            </control>
          </mc:Choice>
        </mc:AlternateContent>
        <mc:AlternateContent xmlns:mc="http://schemas.openxmlformats.org/markup-compatibility/2006">
          <mc:Choice Requires="x14">
            <control shapeId="2079" r:id="rId32" name="Button 31">
              <controlPr defaultSize="0" print="0" autoFill="0" autoPict="0" macro="[0]!Module1.InsertFotoDiCellAktif">
                <anchor moveWithCells="1" sizeWithCells="1">
                  <from>
                    <xdr:col>15</xdr:col>
                    <xdr:colOff>381000</xdr:colOff>
                    <xdr:row>141</xdr:row>
                    <xdr:rowOff>25400</xdr:rowOff>
                  </from>
                  <to>
                    <xdr:col>16</xdr:col>
                    <xdr:colOff>0</xdr:colOff>
                    <xdr:row>141</xdr:row>
                    <xdr:rowOff>177800</xdr:rowOff>
                  </to>
                </anchor>
              </controlPr>
            </control>
          </mc:Choice>
        </mc:AlternateContent>
        <mc:AlternateContent xmlns:mc="http://schemas.openxmlformats.org/markup-compatibility/2006">
          <mc:Choice Requires="x14">
            <control shapeId="2080" r:id="rId33" name="Button 32">
              <controlPr defaultSize="0" print="0" autoFill="0" autoPict="0" macro="[0]!Module1.InsertFotoDiCellAktif">
                <anchor moveWithCells="1" sizeWithCells="1">
                  <from>
                    <xdr:col>1</xdr:col>
                    <xdr:colOff>38100</xdr:colOff>
                    <xdr:row>204</xdr:row>
                    <xdr:rowOff>38100</xdr:rowOff>
                  </from>
                  <to>
                    <xdr:col>1</xdr:col>
                    <xdr:colOff>177800</xdr:colOff>
                    <xdr:row>204</xdr:row>
                    <xdr:rowOff>190500</xdr:rowOff>
                  </to>
                </anchor>
              </controlPr>
            </control>
          </mc:Choice>
        </mc:AlternateContent>
        <mc:AlternateContent xmlns:mc="http://schemas.openxmlformats.org/markup-compatibility/2006">
          <mc:Choice Requires="x14">
            <control shapeId="2081" r:id="rId34" name="Button 33">
              <controlPr defaultSize="0" print="0" autoFill="0" autoPict="0" macro="[0]!Module1.InsertFotoDiCellAktif">
                <anchor moveWithCells="1" sizeWithCells="1">
                  <from>
                    <xdr:col>5</xdr:col>
                    <xdr:colOff>38100</xdr:colOff>
                    <xdr:row>204</xdr:row>
                    <xdr:rowOff>38100</xdr:rowOff>
                  </from>
                  <to>
                    <xdr:col>5</xdr:col>
                    <xdr:colOff>177800</xdr:colOff>
                    <xdr:row>205</xdr:row>
                    <xdr:rowOff>0</xdr:rowOff>
                  </to>
                </anchor>
              </controlPr>
            </control>
          </mc:Choice>
        </mc:AlternateContent>
        <mc:AlternateContent xmlns:mc="http://schemas.openxmlformats.org/markup-compatibility/2006">
          <mc:Choice Requires="x14">
            <control shapeId="2082" r:id="rId35" name="Button 34">
              <controlPr defaultSize="0" print="0" autoFill="0" autoPict="0" macro="[0]!Module1.InsertFotoDiCellAktif">
                <anchor moveWithCells="1" sizeWithCells="1">
                  <from>
                    <xdr:col>5</xdr:col>
                    <xdr:colOff>38100</xdr:colOff>
                    <xdr:row>204</xdr:row>
                    <xdr:rowOff>38100</xdr:rowOff>
                  </from>
                  <to>
                    <xdr:col>5</xdr:col>
                    <xdr:colOff>177800</xdr:colOff>
                    <xdr:row>205</xdr:row>
                    <xdr:rowOff>0</xdr:rowOff>
                  </to>
                </anchor>
              </controlPr>
            </control>
          </mc:Choice>
        </mc:AlternateContent>
        <mc:AlternateContent xmlns:mc="http://schemas.openxmlformats.org/markup-compatibility/2006">
          <mc:Choice Requires="x14">
            <control shapeId="2083" r:id="rId36" name="Button 35">
              <controlPr defaultSize="0" print="0" autoFill="0" autoPict="0" macro="[0]!Module1.InsertFotoDiCellAktif">
                <anchor moveWithCells="1" sizeWithCells="1">
                  <from>
                    <xdr:col>9</xdr:col>
                    <xdr:colOff>38100</xdr:colOff>
                    <xdr:row>204</xdr:row>
                    <xdr:rowOff>38100</xdr:rowOff>
                  </from>
                  <to>
                    <xdr:col>9</xdr:col>
                    <xdr:colOff>177800</xdr:colOff>
                    <xdr:row>205</xdr:row>
                    <xdr:rowOff>0</xdr:rowOff>
                  </to>
                </anchor>
              </controlPr>
            </control>
          </mc:Choice>
        </mc:AlternateContent>
        <mc:AlternateContent xmlns:mc="http://schemas.openxmlformats.org/markup-compatibility/2006">
          <mc:Choice Requires="x14">
            <control shapeId="2084" r:id="rId37" name="Button 36">
              <controlPr defaultSize="0" print="0" autoFill="0" autoPict="0" macro="[0]!Module1.InsertFotoDiCellAktif">
                <anchor moveWithCells="1" sizeWithCells="1">
                  <from>
                    <xdr:col>1</xdr:col>
                    <xdr:colOff>38100</xdr:colOff>
                    <xdr:row>212</xdr:row>
                    <xdr:rowOff>38100</xdr:rowOff>
                  </from>
                  <to>
                    <xdr:col>1</xdr:col>
                    <xdr:colOff>177800</xdr:colOff>
                    <xdr:row>213</xdr:row>
                    <xdr:rowOff>0</xdr:rowOff>
                  </to>
                </anchor>
              </controlPr>
            </control>
          </mc:Choice>
        </mc:AlternateContent>
        <mc:AlternateContent xmlns:mc="http://schemas.openxmlformats.org/markup-compatibility/2006">
          <mc:Choice Requires="x14">
            <control shapeId="2085" r:id="rId38" name="Button 37">
              <controlPr defaultSize="0" print="0" autoFill="0" autoPict="0" macro="[0]!Module1.InsertFotoDiCellAktif">
                <anchor moveWithCells="1" sizeWithCells="1">
                  <from>
                    <xdr:col>7</xdr:col>
                    <xdr:colOff>38100</xdr:colOff>
                    <xdr:row>212</xdr:row>
                    <xdr:rowOff>38100</xdr:rowOff>
                  </from>
                  <to>
                    <xdr:col>7</xdr:col>
                    <xdr:colOff>177800</xdr:colOff>
                    <xdr:row>213</xdr:row>
                    <xdr:rowOff>0</xdr:rowOff>
                  </to>
                </anchor>
              </controlPr>
            </control>
          </mc:Choice>
        </mc:AlternateContent>
        <mc:AlternateContent xmlns:mc="http://schemas.openxmlformats.org/markup-compatibility/2006">
          <mc:Choice Requires="x14">
            <control shapeId="2086" r:id="rId39" name="Button 38">
              <controlPr defaultSize="0" print="0" autoFill="0" autoPict="0" macro="[0]!Module1.InsertFotoDiCellAktif">
                <anchor moveWithCells="1" sizeWithCells="1">
                  <from>
                    <xdr:col>1</xdr:col>
                    <xdr:colOff>38100</xdr:colOff>
                    <xdr:row>222</xdr:row>
                    <xdr:rowOff>38100</xdr:rowOff>
                  </from>
                  <to>
                    <xdr:col>1</xdr:col>
                    <xdr:colOff>177800</xdr:colOff>
                    <xdr:row>223</xdr:row>
                    <xdr:rowOff>0</xdr:rowOff>
                  </to>
                </anchor>
              </controlPr>
            </control>
          </mc:Choice>
        </mc:AlternateContent>
        <mc:AlternateContent xmlns:mc="http://schemas.openxmlformats.org/markup-compatibility/2006">
          <mc:Choice Requires="x14">
            <control shapeId="2087" r:id="rId40" name="Button 39">
              <controlPr defaultSize="0" print="0" autoFill="0" autoPict="0" macro="[0]!Module1.InsertFotoDiCellAktif">
                <anchor moveWithCells="1" sizeWithCells="1">
                  <from>
                    <xdr:col>5</xdr:col>
                    <xdr:colOff>38100</xdr:colOff>
                    <xdr:row>222</xdr:row>
                    <xdr:rowOff>38100</xdr:rowOff>
                  </from>
                  <to>
                    <xdr:col>5</xdr:col>
                    <xdr:colOff>177800</xdr:colOff>
                    <xdr:row>223</xdr:row>
                    <xdr:rowOff>0</xdr:rowOff>
                  </to>
                </anchor>
              </controlPr>
            </control>
          </mc:Choice>
        </mc:AlternateContent>
        <mc:AlternateContent xmlns:mc="http://schemas.openxmlformats.org/markup-compatibility/2006">
          <mc:Choice Requires="x14">
            <control shapeId="2088" r:id="rId41" name="Button 40">
              <controlPr defaultSize="0" print="0" autoFill="0" autoPict="0" macro="[0]!Module1.InsertFotoDiCellAktif">
                <anchor moveWithCells="1" sizeWithCells="1">
                  <from>
                    <xdr:col>9</xdr:col>
                    <xdr:colOff>38100</xdr:colOff>
                    <xdr:row>222</xdr:row>
                    <xdr:rowOff>38100</xdr:rowOff>
                  </from>
                  <to>
                    <xdr:col>9</xdr:col>
                    <xdr:colOff>177800</xdr:colOff>
                    <xdr:row>223</xdr:row>
                    <xdr:rowOff>0</xdr:rowOff>
                  </to>
                </anchor>
              </controlPr>
            </control>
          </mc:Choice>
        </mc:AlternateContent>
        <mc:AlternateContent xmlns:mc="http://schemas.openxmlformats.org/markup-compatibility/2006">
          <mc:Choice Requires="x14">
            <control shapeId="2089" r:id="rId42" name="Button 41">
              <controlPr defaultSize="0" print="0" autoFill="0" autoPict="0" macro="[0]!Module1.InsertFotoDiCellAktif">
                <anchor moveWithCells="1" sizeWithCells="1">
                  <from>
                    <xdr:col>15</xdr:col>
                    <xdr:colOff>381000</xdr:colOff>
                    <xdr:row>204</xdr:row>
                    <xdr:rowOff>25400</xdr:rowOff>
                  </from>
                  <to>
                    <xdr:col>16</xdr:col>
                    <xdr:colOff>0</xdr:colOff>
                    <xdr:row>204</xdr:row>
                    <xdr:rowOff>177800</xdr:rowOff>
                  </to>
                </anchor>
              </controlPr>
            </control>
          </mc:Choice>
        </mc:AlternateContent>
        <mc:AlternateContent xmlns:mc="http://schemas.openxmlformats.org/markup-compatibility/2006">
          <mc:Choice Requires="x14">
            <control shapeId="2090" r:id="rId43" name="Button 42">
              <controlPr defaultSize="0" print="0" autoFill="0" autoPict="0" macro="[0]!Module1.InsertFotoDiCellAktif">
                <anchor moveWithCells="1" sizeWithCells="1">
                  <from>
                    <xdr:col>1</xdr:col>
                    <xdr:colOff>38100</xdr:colOff>
                    <xdr:row>267</xdr:row>
                    <xdr:rowOff>38100</xdr:rowOff>
                  </from>
                  <to>
                    <xdr:col>1</xdr:col>
                    <xdr:colOff>177800</xdr:colOff>
                    <xdr:row>267</xdr:row>
                    <xdr:rowOff>190500</xdr:rowOff>
                  </to>
                </anchor>
              </controlPr>
            </control>
          </mc:Choice>
        </mc:AlternateContent>
        <mc:AlternateContent xmlns:mc="http://schemas.openxmlformats.org/markup-compatibility/2006">
          <mc:Choice Requires="x14">
            <control shapeId="2091" r:id="rId44" name="Button 43">
              <controlPr defaultSize="0" print="0" autoFill="0" autoPict="0" macro="[0]!Module1.InsertFotoDiCellAktif">
                <anchor moveWithCells="1" sizeWithCells="1">
                  <from>
                    <xdr:col>5</xdr:col>
                    <xdr:colOff>38100</xdr:colOff>
                    <xdr:row>267</xdr:row>
                    <xdr:rowOff>38100</xdr:rowOff>
                  </from>
                  <to>
                    <xdr:col>5</xdr:col>
                    <xdr:colOff>177800</xdr:colOff>
                    <xdr:row>268</xdr:row>
                    <xdr:rowOff>0</xdr:rowOff>
                  </to>
                </anchor>
              </controlPr>
            </control>
          </mc:Choice>
        </mc:AlternateContent>
        <mc:AlternateContent xmlns:mc="http://schemas.openxmlformats.org/markup-compatibility/2006">
          <mc:Choice Requires="x14">
            <control shapeId="2092" r:id="rId45" name="Button 44">
              <controlPr defaultSize="0" print="0" autoFill="0" autoPict="0" macro="[0]!Module1.InsertFotoDiCellAktif">
                <anchor moveWithCells="1" sizeWithCells="1">
                  <from>
                    <xdr:col>5</xdr:col>
                    <xdr:colOff>38100</xdr:colOff>
                    <xdr:row>267</xdr:row>
                    <xdr:rowOff>38100</xdr:rowOff>
                  </from>
                  <to>
                    <xdr:col>5</xdr:col>
                    <xdr:colOff>177800</xdr:colOff>
                    <xdr:row>268</xdr:row>
                    <xdr:rowOff>0</xdr:rowOff>
                  </to>
                </anchor>
              </controlPr>
            </control>
          </mc:Choice>
        </mc:AlternateContent>
        <mc:AlternateContent xmlns:mc="http://schemas.openxmlformats.org/markup-compatibility/2006">
          <mc:Choice Requires="x14">
            <control shapeId="2093" r:id="rId46" name="Button 45">
              <controlPr defaultSize="0" print="0" autoFill="0" autoPict="0" macro="[0]!Module1.InsertFotoDiCellAktif">
                <anchor moveWithCells="1" sizeWithCells="1">
                  <from>
                    <xdr:col>9</xdr:col>
                    <xdr:colOff>38100</xdr:colOff>
                    <xdr:row>267</xdr:row>
                    <xdr:rowOff>38100</xdr:rowOff>
                  </from>
                  <to>
                    <xdr:col>9</xdr:col>
                    <xdr:colOff>177800</xdr:colOff>
                    <xdr:row>268</xdr:row>
                    <xdr:rowOff>0</xdr:rowOff>
                  </to>
                </anchor>
              </controlPr>
            </control>
          </mc:Choice>
        </mc:AlternateContent>
        <mc:AlternateContent xmlns:mc="http://schemas.openxmlformats.org/markup-compatibility/2006">
          <mc:Choice Requires="x14">
            <control shapeId="2094" r:id="rId47" name="Button 46">
              <controlPr defaultSize="0" print="0" autoFill="0" autoPict="0" macro="[0]!Module1.InsertFotoDiCellAktif">
                <anchor moveWithCells="1" sizeWithCells="1">
                  <from>
                    <xdr:col>1</xdr:col>
                    <xdr:colOff>38100</xdr:colOff>
                    <xdr:row>275</xdr:row>
                    <xdr:rowOff>38100</xdr:rowOff>
                  </from>
                  <to>
                    <xdr:col>1</xdr:col>
                    <xdr:colOff>177800</xdr:colOff>
                    <xdr:row>276</xdr:row>
                    <xdr:rowOff>0</xdr:rowOff>
                  </to>
                </anchor>
              </controlPr>
            </control>
          </mc:Choice>
        </mc:AlternateContent>
        <mc:AlternateContent xmlns:mc="http://schemas.openxmlformats.org/markup-compatibility/2006">
          <mc:Choice Requires="x14">
            <control shapeId="2095" r:id="rId48" name="Button 47">
              <controlPr defaultSize="0" print="0" autoFill="0" autoPict="0" macro="[0]!Module1.InsertFotoDiCellAktif">
                <anchor moveWithCells="1" sizeWithCells="1">
                  <from>
                    <xdr:col>7</xdr:col>
                    <xdr:colOff>38100</xdr:colOff>
                    <xdr:row>275</xdr:row>
                    <xdr:rowOff>38100</xdr:rowOff>
                  </from>
                  <to>
                    <xdr:col>7</xdr:col>
                    <xdr:colOff>177800</xdr:colOff>
                    <xdr:row>276</xdr:row>
                    <xdr:rowOff>0</xdr:rowOff>
                  </to>
                </anchor>
              </controlPr>
            </control>
          </mc:Choice>
        </mc:AlternateContent>
        <mc:AlternateContent xmlns:mc="http://schemas.openxmlformats.org/markup-compatibility/2006">
          <mc:Choice Requires="x14">
            <control shapeId="2096" r:id="rId49" name="Button 48">
              <controlPr defaultSize="0" print="0" autoFill="0" autoPict="0" macro="[0]!Module1.InsertFotoDiCellAktif">
                <anchor moveWithCells="1" sizeWithCells="1">
                  <from>
                    <xdr:col>1</xdr:col>
                    <xdr:colOff>38100</xdr:colOff>
                    <xdr:row>285</xdr:row>
                    <xdr:rowOff>38100</xdr:rowOff>
                  </from>
                  <to>
                    <xdr:col>1</xdr:col>
                    <xdr:colOff>177800</xdr:colOff>
                    <xdr:row>286</xdr:row>
                    <xdr:rowOff>0</xdr:rowOff>
                  </to>
                </anchor>
              </controlPr>
            </control>
          </mc:Choice>
        </mc:AlternateContent>
        <mc:AlternateContent xmlns:mc="http://schemas.openxmlformats.org/markup-compatibility/2006">
          <mc:Choice Requires="x14">
            <control shapeId="2097" r:id="rId50" name="Button 49">
              <controlPr defaultSize="0" print="0" autoFill="0" autoPict="0" macro="[0]!Module1.InsertFotoDiCellAktif">
                <anchor moveWithCells="1" sizeWithCells="1">
                  <from>
                    <xdr:col>5</xdr:col>
                    <xdr:colOff>38100</xdr:colOff>
                    <xdr:row>285</xdr:row>
                    <xdr:rowOff>38100</xdr:rowOff>
                  </from>
                  <to>
                    <xdr:col>5</xdr:col>
                    <xdr:colOff>177800</xdr:colOff>
                    <xdr:row>286</xdr:row>
                    <xdr:rowOff>0</xdr:rowOff>
                  </to>
                </anchor>
              </controlPr>
            </control>
          </mc:Choice>
        </mc:AlternateContent>
        <mc:AlternateContent xmlns:mc="http://schemas.openxmlformats.org/markup-compatibility/2006">
          <mc:Choice Requires="x14">
            <control shapeId="2098" r:id="rId51" name="Button 50">
              <controlPr defaultSize="0" print="0" autoFill="0" autoPict="0" macro="[0]!Module1.InsertFotoDiCellAktif">
                <anchor moveWithCells="1" sizeWithCells="1">
                  <from>
                    <xdr:col>9</xdr:col>
                    <xdr:colOff>38100</xdr:colOff>
                    <xdr:row>285</xdr:row>
                    <xdr:rowOff>38100</xdr:rowOff>
                  </from>
                  <to>
                    <xdr:col>9</xdr:col>
                    <xdr:colOff>177800</xdr:colOff>
                    <xdr:row>286</xdr:row>
                    <xdr:rowOff>0</xdr:rowOff>
                  </to>
                </anchor>
              </controlPr>
            </control>
          </mc:Choice>
        </mc:AlternateContent>
        <mc:AlternateContent xmlns:mc="http://schemas.openxmlformats.org/markup-compatibility/2006">
          <mc:Choice Requires="x14">
            <control shapeId="2099" r:id="rId52" name="Button 51">
              <controlPr defaultSize="0" print="0" autoFill="0" autoPict="0" macro="[0]!Module1.InsertFotoDiCellAktif">
                <anchor moveWithCells="1" sizeWithCells="1">
                  <from>
                    <xdr:col>15</xdr:col>
                    <xdr:colOff>381000</xdr:colOff>
                    <xdr:row>267</xdr:row>
                    <xdr:rowOff>25400</xdr:rowOff>
                  </from>
                  <to>
                    <xdr:col>16</xdr:col>
                    <xdr:colOff>0</xdr:colOff>
                    <xdr:row>267</xdr:row>
                    <xdr:rowOff>177800</xdr:rowOff>
                  </to>
                </anchor>
              </controlPr>
            </control>
          </mc:Choice>
        </mc:AlternateContent>
        <mc:AlternateContent xmlns:mc="http://schemas.openxmlformats.org/markup-compatibility/2006">
          <mc:Choice Requires="x14">
            <control shapeId="2100" r:id="rId53" name="Button 52">
              <controlPr defaultSize="0" print="0" autoFill="0" autoPict="0" macro="[0]!Module1.InsertFotoDiCellAktif">
                <anchor moveWithCells="1" sizeWithCells="1">
                  <from>
                    <xdr:col>1</xdr:col>
                    <xdr:colOff>38100</xdr:colOff>
                    <xdr:row>330</xdr:row>
                    <xdr:rowOff>38100</xdr:rowOff>
                  </from>
                  <to>
                    <xdr:col>1</xdr:col>
                    <xdr:colOff>177800</xdr:colOff>
                    <xdr:row>330</xdr:row>
                    <xdr:rowOff>190500</xdr:rowOff>
                  </to>
                </anchor>
              </controlPr>
            </control>
          </mc:Choice>
        </mc:AlternateContent>
        <mc:AlternateContent xmlns:mc="http://schemas.openxmlformats.org/markup-compatibility/2006">
          <mc:Choice Requires="x14">
            <control shapeId="2101" r:id="rId54" name="Button 53">
              <controlPr defaultSize="0" print="0" autoFill="0" autoPict="0" macro="[0]!Module1.InsertFotoDiCellAktif">
                <anchor moveWithCells="1" sizeWithCells="1">
                  <from>
                    <xdr:col>5</xdr:col>
                    <xdr:colOff>38100</xdr:colOff>
                    <xdr:row>330</xdr:row>
                    <xdr:rowOff>38100</xdr:rowOff>
                  </from>
                  <to>
                    <xdr:col>5</xdr:col>
                    <xdr:colOff>177800</xdr:colOff>
                    <xdr:row>331</xdr:row>
                    <xdr:rowOff>0</xdr:rowOff>
                  </to>
                </anchor>
              </controlPr>
            </control>
          </mc:Choice>
        </mc:AlternateContent>
        <mc:AlternateContent xmlns:mc="http://schemas.openxmlformats.org/markup-compatibility/2006">
          <mc:Choice Requires="x14">
            <control shapeId="2102" r:id="rId55" name="Button 54">
              <controlPr defaultSize="0" print="0" autoFill="0" autoPict="0" macro="[0]!Module1.InsertFotoDiCellAktif">
                <anchor moveWithCells="1" sizeWithCells="1">
                  <from>
                    <xdr:col>5</xdr:col>
                    <xdr:colOff>38100</xdr:colOff>
                    <xdr:row>330</xdr:row>
                    <xdr:rowOff>38100</xdr:rowOff>
                  </from>
                  <to>
                    <xdr:col>5</xdr:col>
                    <xdr:colOff>177800</xdr:colOff>
                    <xdr:row>331</xdr:row>
                    <xdr:rowOff>0</xdr:rowOff>
                  </to>
                </anchor>
              </controlPr>
            </control>
          </mc:Choice>
        </mc:AlternateContent>
        <mc:AlternateContent xmlns:mc="http://schemas.openxmlformats.org/markup-compatibility/2006">
          <mc:Choice Requires="x14">
            <control shapeId="2103" r:id="rId56" name="Button 55">
              <controlPr defaultSize="0" print="0" autoFill="0" autoPict="0" macro="[0]!Module1.InsertFotoDiCellAktif">
                <anchor moveWithCells="1" sizeWithCells="1">
                  <from>
                    <xdr:col>9</xdr:col>
                    <xdr:colOff>38100</xdr:colOff>
                    <xdr:row>330</xdr:row>
                    <xdr:rowOff>38100</xdr:rowOff>
                  </from>
                  <to>
                    <xdr:col>9</xdr:col>
                    <xdr:colOff>177800</xdr:colOff>
                    <xdr:row>331</xdr:row>
                    <xdr:rowOff>0</xdr:rowOff>
                  </to>
                </anchor>
              </controlPr>
            </control>
          </mc:Choice>
        </mc:AlternateContent>
        <mc:AlternateContent xmlns:mc="http://schemas.openxmlformats.org/markup-compatibility/2006">
          <mc:Choice Requires="x14">
            <control shapeId="2104" r:id="rId57" name="Button 56">
              <controlPr defaultSize="0" print="0" autoFill="0" autoPict="0" macro="[0]!Module1.InsertFotoDiCellAktif">
                <anchor moveWithCells="1" sizeWithCells="1">
                  <from>
                    <xdr:col>1</xdr:col>
                    <xdr:colOff>38100</xdr:colOff>
                    <xdr:row>338</xdr:row>
                    <xdr:rowOff>38100</xdr:rowOff>
                  </from>
                  <to>
                    <xdr:col>1</xdr:col>
                    <xdr:colOff>177800</xdr:colOff>
                    <xdr:row>339</xdr:row>
                    <xdr:rowOff>0</xdr:rowOff>
                  </to>
                </anchor>
              </controlPr>
            </control>
          </mc:Choice>
        </mc:AlternateContent>
        <mc:AlternateContent xmlns:mc="http://schemas.openxmlformats.org/markup-compatibility/2006">
          <mc:Choice Requires="x14">
            <control shapeId="2105" r:id="rId58" name="Button 57">
              <controlPr defaultSize="0" print="0" autoFill="0" autoPict="0" macro="[0]!Module1.InsertFotoDiCellAktif">
                <anchor moveWithCells="1" sizeWithCells="1">
                  <from>
                    <xdr:col>7</xdr:col>
                    <xdr:colOff>38100</xdr:colOff>
                    <xdr:row>338</xdr:row>
                    <xdr:rowOff>38100</xdr:rowOff>
                  </from>
                  <to>
                    <xdr:col>7</xdr:col>
                    <xdr:colOff>177800</xdr:colOff>
                    <xdr:row>339</xdr:row>
                    <xdr:rowOff>0</xdr:rowOff>
                  </to>
                </anchor>
              </controlPr>
            </control>
          </mc:Choice>
        </mc:AlternateContent>
        <mc:AlternateContent xmlns:mc="http://schemas.openxmlformats.org/markup-compatibility/2006">
          <mc:Choice Requires="x14">
            <control shapeId="2106" r:id="rId59" name="Button 58">
              <controlPr defaultSize="0" print="0" autoFill="0" autoPict="0" macro="[0]!Module1.InsertFotoDiCellAktif">
                <anchor moveWithCells="1" sizeWithCells="1">
                  <from>
                    <xdr:col>1</xdr:col>
                    <xdr:colOff>38100</xdr:colOff>
                    <xdr:row>348</xdr:row>
                    <xdr:rowOff>38100</xdr:rowOff>
                  </from>
                  <to>
                    <xdr:col>1</xdr:col>
                    <xdr:colOff>177800</xdr:colOff>
                    <xdr:row>349</xdr:row>
                    <xdr:rowOff>0</xdr:rowOff>
                  </to>
                </anchor>
              </controlPr>
            </control>
          </mc:Choice>
        </mc:AlternateContent>
        <mc:AlternateContent xmlns:mc="http://schemas.openxmlformats.org/markup-compatibility/2006">
          <mc:Choice Requires="x14">
            <control shapeId="2107" r:id="rId60" name="Button 59">
              <controlPr defaultSize="0" print="0" autoFill="0" autoPict="0" macro="[0]!Module1.InsertFotoDiCellAktif">
                <anchor moveWithCells="1" sizeWithCells="1">
                  <from>
                    <xdr:col>5</xdr:col>
                    <xdr:colOff>38100</xdr:colOff>
                    <xdr:row>348</xdr:row>
                    <xdr:rowOff>38100</xdr:rowOff>
                  </from>
                  <to>
                    <xdr:col>5</xdr:col>
                    <xdr:colOff>177800</xdr:colOff>
                    <xdr:row>349</xdr:row>
                    <xdr:rowOff>0</xdr:rowOff>
                  </to>
                </anchor>
              </controlPr>
            </control>
          </mc:Choice>
        </mc:AlternateContent>
        <mc:AlternateContent xmlns:mc="http://schemas.openxmlformats.org/markup-compatibility/2006">
          <mc:Choice Requires="x14">
            <control shapeId="2108" r:id="rId61" name="Button 60">
              <controlPr defaultSize="0" print="0" autoFill="0" autoPict="0" macro="[0]!Module1.InsertFotoDiCellAktif">
                <anchor moveWithCells="1" sizeWithCells="1">
                  <from>
                    <xdr:col>9</xdr:col>
                    <xdr:colOff>38100</xdr:colOff>
                    <xdr:row>348</xdr:row>
                    <xdr:rowOff>38100</xdr:rowOff>
                  </from>
                  <to>
                    <xdr:col>9</xdr:col>
                    <xdr:colOff>177800</xdr:colOff>
                    <xdr:row>349</xdr:row>
                    <xdr:rowOff>0</xdr:rowOff>
                  </to>
                </anchor>
              </controlPr>
            </control>
          </mc:Choice>
        </mc:AlternateContent>
        <mc:AlternateContent xmlns:mc="http://schemas.openxmlformats.org/markup-compatibility/2006">
          <mc:Choice Requires="x14">
            <control shapeId="2109" r:id="rId62" name="Button 61">
              <controlPr defaultSize="0" print="0" autoFill="0" autoPict="0" macro="[0]!Module1.InsertFotoDiCellAktif">
                <anchor moveWithCells="1" sizeWithCells="1">
                  <from>
                    <xdr:col>15</xdr:col>
                    <xdr:colOff>381000</xdr:colOff>
                    <xdr:row>330</xdr:row>
                    <xdr:rowOff>25400</xdr:rowOff>
                  </from>
                  <to>
                    <xdr:col>16</xdr:col>
                    <xdr:colOff>0</xdr:colOff>
                    <xdr:row>330</xdr:row>
                    <xdr:rowOff>177800</xdr:rowOff>
                  </to>
                </anchor>
              </controlPr>
            </control>
          </mc:Choice>
        </mc:AlternateContent>
        <mc:AlternateContent xmlns:mc="http://schemas.openxmlformats.org/markup-compatibility/2006">
          <mc:Choice Requires="x14">
            <control shapeId="2110" r:id="rId63" name="Button 62">
              <controlPr defaultSize="0" print="0" autoFill="0" autoPict="0" macro="[0]!Module1.InsertFotoDiCellAktif">
                <anchor moveWithCells="1" sizeWithCells="1">
                  <from>
                    <xdr:col>1</xdr:col>
                    <xdr:colOff>38100</xdr:colOff>
                    <xdr:row>393</xdr:row>
                    <xdr:rowOff>38100</xdr:rowOff>
                  </from>
                  <to>
                    <xdr:col>1</xdr:col>
                    <xdr:colOff>177800</xdr:colOff>
                    <xdr:row>393</xdr:row>
                    <xdr:rowOff>190500</xdr:rowOff>
                  </to>
                </anchor>
              </controlPr>
            </control>
          </mc:Choice>
        </mc:AlternateContent>
        <mc:AlternateContent xmlns:mc="http://schemas.openxmlformats.org/markup-compatibility/2006">
          <mc:Choice Requires="x14">
            <control shapeId="2111" r:id="rId64" name="Button 63">
              <controlPr defaultSize="0" print="0" autoFill="0" autoPict="0" macro="[0]!Module1.InsertFotoDiCellAktif">
                <anchor moveWithCells="1" sizeWithCells="1">
                  <from>
                    <xdr:col>5</xdr:col>
                    <xdr:colOff>38100</xdr:colOff>
                    <xdr:row>393</xdr:row>
                    <xdr:rowOff>38100</xdr:rowOff>
                  </from>
                  <to>
                    <xdr:col>5</xdr:col>
                    <xdr:colOff>177800</xdr:colOff>
                    <xdr:row>394</xdr:row>
                    <xdr:rowOff>0</xdr:rowOff>
                  </to>
                </anchor>
              </controlPr>
            </control>
          </mc:Choice>
        </mc:AlternateContent>
        <mc:AlternateContent xmlns:mc="http://schemas.openxmlformats.org/markup-compatibility/2006">
          <mc:Choice Requires="x14">
            <control shapeId="2112" r:id="rId65" name="Button 64">
              <controlPr defaultSize="0" print="0" autoFill="0" autoPict="0" macro="[0]!Module1.InsertFotoDiCellAktif">
                <anchor moveWithCells="1" sizeWithCells="1">
                  <from>
                    <xdr:col>5</xdr:col>
                    <xdr:colOff>38100</xdr:colOff>
                    <xdr:row>393</xdr:row>
                    <xdr:rowOff>38100</xdr:rowOff>
                  </from>
                  <to>
                    <xdr:col>5</xdr:col>
                    <xdr:colOff>177800</xdr:colOff>
                    <xdr:row>394</xdr:row>
                    <xdr:rowOff>0</xdr:rowOff>
                  </to>
                </anchor>
              </controlPr>
            </control>
          </mc:Choice>
        </mc:AlternateContent>
        <mc:AlternateContent xmlns:mc="http://schemas.openxmlformats.org/markup-compatibility/2006">
          <mc:Choice Requires="x14">
            <control shapeId="2113" r:id="rId66" name="Button 65">
              <controlPr defaultSize="0" print="0" autoFill="0" autoPict="0" macro="[0]!Module1.InsertFotoDiCellAktif">
                <anchor moveWithCells="1" sizeWithCells="1">
                  <from>
                    <xdr:col>9</xdr:col>
                    <xdr:colOff>38100</xdr:colOff>
                    <xdr:row>393</xdr:row>
                    <xdr:rowOff>38100</xdr:rowOff>
                  </from>
                  <to>
                    <xdr:col>9</xdr:col>
                    <xdr:colOff>177800</xdr:colOff>
                    <xdr:row>394</xdr:row>
                    <xdr:rowOff>0</xdr:rowOff>
                  </to>
                </anchor>
              </controlPr>
            </control>
          </mc:Choice>
        </mc:AlternateContent>
        <mc:AlternateContent xmlns:mc="http://schemas.openxmlformats.org/markup-compatibility/2006">
          <mc:Choice Requires="x14">
            <control shapeId="2114" r:id="rId67" name="Button 66">
              <controlPr defaultSize="0" print="0" autoFill="0" autoPict="0" macro="[0]!Module1.InsertFotoDiCellAktif">
                <anchor moveWithCells="1" sizeWithCells="1">
                  <from>
                    <xdr:col>1</xdr:col>
                    <xdr:colOff>38100</xdr:colOff>
                    <xdr:row>401</xdr:row>
                    <xdr:rowOff>38100</xdr:rowOff>
                  </from>
                  <to>
                    <xdr:col>1</xdr:col>
                    <xdr:colOff>177800</xdr:colOff>
                    <xdr:row>402</xdr:row>
                    <xdr:rowOff>0</xdr:rowOff>
                  </to>
                </anchor>
              </controlPr>
            </control>
          </mc:Choice>
        </mc:AlternateContent>
        <mc:AlternateContent xmlns:mc="http://schemas.openxmlformats.org/markup-compatibility/2006">
          <mc:Choice Requires="x14">
            <control shapeId="2115" r:id="rId68" name="Button 67">
              <controlPr defaultSize="0" print="0" autoFill="0" autoPict="0" macro="[0]!Module1.InsertFotoDiCellAktif">
                <anchor moveWithCells="1" sizeWithCells="1">
                  <from>
                    <xdr:col>7</xdr:col>
                    <xdr:colOff>38100</xdr:colOff>
                    <xdr:row>401</xdr:row>
                    <xdr:rowOff>38100</xdr:rowOff>
                  </from>
                  <to>
                    <xdr:col>7</xdr:col>
                    <xdr:colOff>177800</xdr:colOff>
                    <xdr:row>402</xdr:row>
                    <xdr:rowOff>0</xdr:rowOff>
                  </to>
                </anchor>
              </controlPr>
            </control>
          </mc:Choice>
        </mc:AlternateContent>
        <mc:AlternateContent xmlns:mc="http://schemas.openxmlformats.org/markup-compatibility/2006">
          <mc:Choice Requires="x14">
            <control shapeId="2116" r:id="rId69" name="Button 68">
              <controlPr defaultSize="0" print="0" autoFill="0" autoPict="0" macro="[0]!Module1.InsertFotoDiCellAktif">
                <anchor moveWithCells="1" sizeWithCells="1">
                  <from>
                    <xdr:col>1</xdr:col>
                    <xdr:colOff>38100</xdr:colOff>
                    <xdr:row>411</xdr:row>
                    <xdr:rowOff>38100</xdr:rowOff>
                  </from>
                  <to>
                    <xdr:col>1</xdr:col>
                    <xdr:colOff>177800</xdr:colOff>
                    <xdr:row>412</xdr:row>
                    <xdr:rowOff>0</xdr:rowOff>
                  </to>
                </anchor>
              </controlPr>
            </control>
          </mc:Choice>
        </mc:AlternateContent>
        <mc:AlternateContent xmlns:mc="http://schemas.openxmlformats.org/markup-compatibility/2006">
          <mc:Choice Requires="x14">
            <control shapeId="2117" r:id="rId70" name="Button 69">
              <controlPr defaultSize="0" print="0" autoFill="0" autoPict="0" macro="[0]!Module1.InsertFotoDiCellAktif">
                <anchor moveWithCells="1" sizeWithCells="1">
                  <from>
                    <xdr:col>5</xdr:col>
                    <xdr:colOff>38100</xdr:colOff>
                    <xdr:row>411</xdr:row>
                    <xdr:rowOff>38100</xdr:rowOff>
                  </from>
                  <to>
                    <xdr:col>5</xdr:col>
                    <xdr:colOff>177800</xdr:colOff>
                    <xdr:row>412</xdr:row>
                    <xdr:rowOff>0</xdr:rowOff>
                  </to>
                </anchor>
              </controlPr>
            </control>
          </mc:Choice>
        </mc:AlternateContent>
        <mc:AlternateContent xmlns:mc="http://schemas.openxmlformats.org/markup-compatibility/2006">
          <mc:Choice Requires="x14">
            <control shapeId="2118" r:id="rId71" name="Button 70">
              <controlPr defaultSize="0" print="0" autoFill="0" autoPict="0" macro="[0]!Module1.InsertFotoDiCellAktif">
                <anchor moveWithCells="1" sizeWithCells="1">
                  <from>
                    <xdr:col>9</xdr:col>
                    <xdr:colOff>38100</xdr:colOff>
                    <xdr:row>411</xdr:row>
                    <xdr:rowOff>38100</xdr:rowOff>
                  </from>
                  <to>
                    <xdr:col>9</xdr:col>
                    <xdr:colOff>177800</xdr:colOff>
                    <xdr:row>412</xdr:row>
                    <xdr:rowOff>0</xdr:rowOff>
                  </to>
                </anchor>
              </controlPr>
            </control>
          </mc:Choice>
        </mc:AlternateContent>
        <mc:AlternateContent xmlns:mc="http://schemas.openxmlformats.org/markup-compatibility/2006">
          <mc:Choice Requires="x14">
            <control shapeId="2119" r:id="rId72" name="Button 71">
              <controlPr defaultSize="0" print="0" autoFill="0" autoPict="0" macro="[0]!Module1.InsertFotoDiCellAktif">
                <anchor moveWithCells="1" sizeWithCells="1">
                  <from>
                    <xdr:col>15</xdr:col>
                    <xdr:colOff>381000</xdr:colOff>
                    <xdr:row>393</xdr:row>
                    <xdr:rowOff>25400</xdr:rowOff>
                  </from>
                  <to>
                    <xdr:col>16</xdr:col>
                    <xdr:colOff>0</xdr:colOff>
                    <xdr:row>393</xdr:row>
                    <xdr:rowOff>177800</xdr:rowOff>
                  </to>
                </anchor>
              </controlPr>
            </control>
          </mc:Choice>
        </mc:AlternateContent>
        <mc:AlternateContent xmlns:mc="http://schemas.openxmlformats.org/markup-compatibility/2006">
          <mc:Choice Requires="x14">
            <control shapeId="2120" r:id="rId73" name="Button 72">
              <controlPr defaultSize="0" print="0" autoFill="0" autoPict="0" macro="[0]!Module1.InsertFotoDiCellAktif">
                <anchor moveWithCells="1" sizeWithCells="1">
                  <from>
                    <xdr:col>1</xdr:col>
                    <xdr:colOff>38100</xdr:colOff>
                    <xdr:row>456</xdr:row>
                    <xdr:rowOff>38100</xdr:rowOff>
                  </from>
                  <to>
                    <xdr:col>1</xdr:col>
                    <xdr:colOff>177800</xdr:colOff>
                    <xdr:row>456</xdr:row>
                    <xdr:rowOff>190500</xdr:rowOff>
                  </to>
                </anchor>
              </controlPr>
            </control>
          </mc:Choice>
        </mc:AlternateContent>
        <mc:AlternateContent xmlns:mc="http://schemas.openxmlformats.org/markup-compatibility/2006">
          <mc:Choice Requires="x14">
            <control shapeId="2121" r:id="rId74" name="Button 73">
              <controlPr defaultSize="0" print="0" autoFill="0" autoPict="0" macro="[0]!Module1.InsertFotoDiCellAktif">
                <anchor moveWithCells="1" sizeWithCells="1">
                  <from>
                    <xdr:col>5</xdr:col>
                    <xdr:colOff>38100</xdr:colOff>
                    <xdr:row>456</xdr:row>
                    <xdr:rowOff>38100</xdr:rowOff>
                  </from>
                  <to>
                    <xdr:col>5</xdr:col>
                    <xdr:colOff>177800</xdr:colOff>
                    <xdr:row>457</xdr:row>
                    <xdr:rowOff>0</xdr:rowOff>
                  </to>
                </anchor>
              </controlPr>
            </control>
          </mc:Choice>
        </mc:AlternateContent>
        <mc:AlternateContent xmlns:mc="http://schemas.openxmlformats.org/markup-compatibility/2006">
          <mc:Choice Requires="x14">
            <control shapeId="2122" r:id="rId75" name="Button 74">
              <controlPr defaultSize="0" print="0" autoFill="0" autoPict="0" macro="[0]!Module1.InsertFotoDiCellAktif">
                <anchor moveWithCells="1" sizeWithCells="1">
                  <from>
                    <xdr:col>5</xdr:col>
                    <xdr:colOff>38100</xdr:colOff>
                    <xdr:row>456</xdr:row>
                    <xdr:rowOff>38100</xdr:rowOff>
                  </from>
                  <to>
                    <xdr:col>5</xdr:col>
                    <xdr:colOff>177800</xdr:colOff>
                    <xdr:row>457</xdr:row>
                    <xdr:rowOff>0</xdr:rowOff>
                  </to>
                </anchor>
              </controlPr>
            </control>
          </mc:Choice>
        </mc:AlternateContent>
        <mc:AlternateContent xmlns:mc="http://schemas.openxmlformats.org/markup-compatibility/2006">
          <mc:Choice Requires="x14">
            <control shapeId="2123" r:id="rId76" name="Button 75">
              <controlPr defaultSize="0" print="0" autoFill="0" autoPict="0" macro="[0]!Module1.InsertFotoDiCellAktif">
                <anchor moveWithCells="1" sizeWithCells="1">
                  <from>
                    <xdr:col>9</xdr:col>
                    <xdr:colOff>38100</xdr:colOff>
                    <xdr:row>456</xdr:row>
                    <xdr:rowOff>38100</xdr:rowOff>
                  </from>
                  <to>
                    <xdr:col>9</xdr:col>
                    <xdr:colOff>177800</xdr:colOff>
                    <xdr:row>457</xdr:row>
                    <xdr:rowOff>0</xdr:rowOff>
                  </to>
                </anchor>
              </controlPr>
            </control>
          </mc:Choice>
        </mc:AlternateContent>
        <mc:AlternateContent xmlns:mc="http://schemas.openxmlformats.org/markup-compatibility/2006">
          <mc:Choice Requires="x14">
            <control shapeId="2124" r:id="rId77" name="Button 76">
              <controlPr defaultSize="0" print="0" autoFill="0" autoPict="0" macro="[0]!Module1.InsertFotoDiCellAktif">
                <anchor moveWithCells="1" sizeWithCells="1">
                  <from>
                    <xdr:col>1</xdr:col>
                    <xdr:colOff>38100</xdr:colOff>
                    <xdr:row>464</xdr:row>
                    <xdr:rowOff>38100</xdr:rowOff>
                  </from>
                  <to>
                    <xdr:col>1</xdr:col>
                    <xdr:colOff>177800</xdr:colOff>
                    <xdr:row>465</xdr:row>
                    <xdr:rowOff>0</xdr:rowOff>
                  </to>
                </anchor>
              </controlPr>
            </control>
          </mc:Choice>
        </mc:AlternateContent>
        <mc:AlternateContent xmlns:mc="http://schemas.openxmlformats.org/markup-compatibility/2006">
          <mc:Choice Requires="x14">
            <control shapeId="2125" r:id="rId78" name="Button 77">
              <controlPr defaultSize="0" print="0" autoFill="0" autoPict="0" macro="[0]!Module1.InsertFotoDiCellAktif">
                <anchor moveWithCells="1" sizeWithCells="1">
                  <from>
                    <xdr:col>7</xdr:col>
                    <xdr:colOff>38100</xdr:colOff>
                    <xdr:row>464</xdr:row>
                    <xdr:rowOff>38100</xdr:rowOff>
                  </from>
                  <to>
                    <xdr:col>7</xdr:col>
                    <xdr:colOff>177800</xdr:colOff>
                    <xdr:row>465</xdr:row>
                    <xdr:rowOff>0</xdr:rowOff>
                  </to>
                </anchor>
              </controlPr>
            </control>
          </mc:Choice>
        </mc:AlternateContent>
        <mc:AlternateContent xmlns:mc="http://schemas.openxmlformats.org/markup-compatibility/2006">
          <mc:Choice Requires="x14">
            <control shapeId="2126" r:id="rId79" name="Button 78">
              <controlPr defaultSize="0" print="0" autoFill="0" autoPict="0" macro="[0]!Module1.InsertFotoDiCellAktif">
                <anchor moveWithCells="1" sizeWithCells="1">
                  <from>
                    <xdr:col>1</xdr:col>
                    <xdr:colOff>38100</xdr:colOff>
                    <xdr:row>474</xdr:row>
                    <xdr:rowOff>38100</xdr:rowOff>
                  </from>
                  <to>
                    <xdr:col>1</xdr:col>
                    <xdr:colOff>177800</xdr:colOff>
                    <xdr:row>475</xdr:row>
                    <xdr:rowOff>0</xdr:rowOff>
                  </to>
                </anchor>
              </controlPr>
            </control>
          </mc:Choice>
        </mc:AlternateContent>
        <mc:AlternateContent xmlns:mc="http://schemas.openxmlformats.org/markup-compatibility/2006">
          <mc:Choice Requires="x14">
            <control shapeId="2127" r:id="rId80" name="Button 79">
              <controlPr defaultSize="0" print="0" autoFill="0" autoPict="0" macro="[0]!Module1.InsertFotoDiCellAktif">
                <anchor moveWithCells="1" sizeWithCells="1">
                  <from>
                    <xdr:col>5</xdr:col>
                    <xdr:colOff>38100</xdr:colOff>
                    <xdr:row>474</xdr:row>
                    <xdr:rowOff>38100</xdr:rowOff>
                  </from>
                  <to>
                    <xdr:col>5</xdr:col>
                    <xdr:colOff>177800</xdr:colOff>
                    <xdr:row>475</xdr:row>
                    <xdr:rowOff>0</xdr:rowOff>
                  </to>
                </anchor>
              </controlPr>
            </control>
          </mc:Choice>
        </mc:AlternateContent>
        <mc:AlternateContent xmlns:mc="http://schemas.openxmlformats.org/markup-compatibility/2006">
          <mc:Choice Requires="x14">
            <control shapeId="2128" r:id="rId81" name="Button 80">
              <controlPr defaultSize="0" print="0" autoFill="0" autoPict="0" macro="[0]!Module1.InsertFotoDiCellAktif">
                <anchor moveWithCells="1" sizeWithCells="1">
                  <from>
                    <xdr:col>9</xdr:col>
                    <xdr:colOff>38100</xdr:colOff>
                    <xdr:row>474</xdr:row>
                    <xdr:rowOff>38100</xdr:rowOff>
                  </from>
                  <to>
                    <xdr:col>9</xdr:col>
                    <xdr:colOff>177800</xdr:colOff>
                    <xdr:row>475</xdr:row>
                    <xdr:rowOff>0</xdr:rowOff>
                  </to>
                </anchor>
              </controlPr>
            </control>
          </mc:Choice>
        </mc:AlternateContent>
        <mc:AlternateContent xmlns:mc="http://schemas.openxmlformats.org/markup-compatibility/2006">
          <mc:Choice Requires="x14">
            <control shapeId="2129" r:id="rId82" name="Button 81">
              <controlPr defaultSize="0" print="0" autoFill="0" autoPict="0" macro="[0]!Module1.InsertFotoDiCellAktif">
                <anchor moveWithCells="1" sizeWithCells="1">
                  <from>
                    <xdr:col>15</xdr:col>
                    <xdr:colOff>381000</xdr:colOff>
                    <xdr:row>456</xdr:row>
                    <xdr:rowOff>25400</xdr:rowOff>
                  </from>
                  <to>
                    <xdr:col>16</xdr:col>
                    <xdr:colOff>0</xdr:colOff>
                    <xdr:row>456</xdr:row>
                    <xdr:rowOff>177800</xdr:rowOff>
                  </to>
                </anchor>
              </controlPr>
            </control>
          </mc:Choice>
        </mc:AlternateContent>
        <mc:AlternateContent xmlns:mc="http://schemas.openxmlformats.org/markup-compatibility/2006">
          <mc:Choice Requires="x14">
            <control shapeId="2130" r:id="rId83" name="Button 82">
              <controlPr defaultSize="0" print="0" autoFill="0" autoPict="0" macro="[0]!Module1.InsertFotoDiCellAktif">
                <anchor moveWithCells="1" sizeWithCells="1">
                  <from>
                    <xdr:col>1</xdr:col>
                    <xdr:colOff>38100</xdr:colOff>
                    <xdr:row>519</xdr:row>
                    <xdr:rowOff>38100</xdr:rowOff>
                  </from>
                  <to>
                    <xdr:col>1</xdr:col>
                    <xdr:colOff>177800</xdr:colOff>
                    <xdr:row>519</xdr:row>
                    <xdr:rowOff>190500</xdr:rowOff>
                  </to>
                </anchor>
              </controlPr>
            </control>
          </mc:Choice>
        </mc:AlternateContent>
        <mc:AlternateContent xmlns:mc="http://schemas.openxmlformats.org/markup-compatibility/2006">
          <mc:Choice Requires="x14">
            <control shapeId="2131" r:id="rId84" name="Button 83">
              <controlPr defaultSize="0" print="0" autoFill="0" autoPict="0" macro="[0]!Module1.InsertFotoDiCellAktif">
                <anchor moveWithCells="1" sizeWithCells="1">
                  <from>
                    <xdr:col>5</xdr:col>
                    <xdr:colOff>38100</xdr:colOff>
                    <xdr:row>519</xdr:row>
                    <xdr:rowOff>38100</xdr:rowOff>
                  </from>
                  <to>
                    <xdr:col>5</xdr:col>
                    <xdr:colOff>177800</xdr:colOff>
                    <xdr:row>520</xdr:row>
                    <xdr:rowOff>0</xdr:rowOff>
                  </to>
                </anchor>
              </controlPr>
            </control>
          </mc:Choice>
        </mc:AlternateContent>
        <mc:AlternateContent xmlns:mc="http://schemas.openxmlformats.org/markup-compatibility/2006">
          <mc:Choice Requires="x14">
            <control shapeId="2132" r:id="rId85" name="Button 84">
              <controlPr defaultSize="0" print="0" autoFill="0" autoPict="0" macro="[0]!Module1.InsertFotoDiCellAktif">
                <anchor moveWithCells="1" sizeWithCells="1">
                  <from>
                    <xdr:col>5</xdr:col>
                    <xdr:colOff>38100</xdr:colOff>
                    <xdr:row>519</xdr:row>
                    <xdr:rowOff>38100</xdr:rowOff>
                  </from>
                  <to>
                    <xdr:col>5</xdr:col>
                    <xdr:colOff>177800</xdr:colOff>
                    <xdr:row>520</xdr:row>
                    <xdr:rowOff>0</xdr:rowOff>
                  </to>
                </anchor>
              </controlPr>
            </control>
          </mc:Choice>
        </mc:AlternateContent>
        <mc:AlternateContent xmlns:mc="http://schemas.openxmlformats.org/markup-compatibility/2006">
          <mc:Choice Requires="x14">
            <control shapeId="2133" r:id="rId86" name="Button 85">
              <controlPr defaultSize="0" print="0" autoFill="0" autoPict="0" macro="[0]!Module1.InsertFotoDiCellAktif">
                <anchor moveWithCells="1" sizeWithCells="1">
                  <from>
                    <xdr:col>9</xdr:col>
                    <xdr:colOff>38100</xdr:colOff>
                    <xdr:row>519</xdr:row>
                    <xdr:rowOff>38100</xdr:rowOff>
                  </from>
                  <to>
                    <xdr:col>9</xdr:col>
                    <xdr:colOff>177800</xdr:colOff>
                    <xdr:row>520</xdr:row>
                    <xdr:rowOff>0</xdr:rowOff>
                  </to>
                </anchor>
              </controlPr>
            </control>
          </mc:Choice>
        </mc:AlternateContent>
        <mc:AlternateContent xmlns:mc="http://schemas.openxmlformats.org/markup-compatibility/2006">
          <mc:Choice Requires="x14">
            <control shapeId="2134" r:id="rId87" name="Button 86">
              <controlPr defaultSize="0" print="0" autoFill="0" autoPict="0" macro="[0]!Module1.InsertFotoDiCellAktif">
                <anchor moveWithCells="1" sizeWithCells="1">
                  <from>
                    <xdr:col>1</xdr:col>
                    <xdr:colOff>38100</xdr:colOff>
                    <xdr:row>527</xdr:row>
                    <xdr:rowOff>38100</xdr:rowOff>
                  </from>
                  <to>
                    <xdr:col>1</xdr:col>
                    <xdr:colOff>177800</xdr:colOff>
                    <xdr:row>528</xdr:row>
                    <xdr:rowOff>0</xdr:rowOff>
                  </to>
                </anchor>
              </controlPr>
            </control>
          </mc:Choice>
        </mc:AlternateContent>
        <mc:AlternateContent xmlns:mc="http://schemas.openxmlformats.org/markup-compatibility/2006">
          <mc:Choice Requires="x14">
            <control shapeId="2135" r:id="rId88" name="Button 87">
              <controlPr defaultSize="0" print="0" autoFill="0" autoPict="0" macro="[0]!Module1.InsertFotoDiCellAktif">
                <anchor moveWithCells="1" sizeWithCells="1">
                  <from>
                    <xdr:col>7</xdr:col>
                    <xdr:colOff>38100</xdr:colOff>
                    <xdr:row>527</xdr:row>
                    <xdr:rowOff>38100</xdr:rowOff>
                  </from>
                  <to>
                    <xdr:col>7</xdr:col>
                    <xdr:colOff>177800</xdr:colOff>
                    <xdr:row>528</xdr:row>
                    <xdr:rowOff>0</xdr:rowOff>
                  </to>
                </anchor>
              </controlPr>
            </control>
          </mc:Choice>
        </mc:AlternateContent>
        <mc:AlternateContent xmlns:mc="http://schemas.openxmlformats.org/markup-compatibility/2006">
          <mc:Choice Requires="x14">
            <control shapeId="2136" r:id="rId89" name="Button 88">
              <controlPr defaultSize="0" print="0" autoFill="0" autoPict="0" macro="[0]!Module1.InsertFotoDiCellAktif">
                <anchor moveWithCells="1" sizeWithCells="1">
                  <from>
                    <xdr:col>1</xdr:col>
                    <xdr:colOff>38100</xdr:colOff>
                    <xdr:row>537</xdr:row>
                    <xdr:rowOff>38100</xdr:rowOff>
                  </from>
                  <to>
                    <xdr:col>1</xdr:col>
                    <xdr:colOff>177800</xdr:colOff>
                    <xdr:row>538</xdr:row>
                    <xdr:rowOff>0</xdr:rowOff>
                  </to>
                </anchor>
              </controlPr>
            </control>
          </mc:Choice>
        </mc:AlternateContent>
        <mc:AlternateContent xmlns:mc="http://schemas.openxmlformats.org/markup-compatibility/2006">
          <mc:Choice Requires="x14">
            <control shapeId="2137" r:id="rId90" name="Button 89">
              <controlPr defaultSize="0" print="0" autoFill="0" autoPict="0" macro="[0]!Module1.InsertFotoDiCellAktif">
                <anchor moveWithCells="1" sizeWithCells="1">
                  <from>
                    <xdr:col>5</xdr:col>
                    <xdr:colOff>38100</xdr:colOff>
                    <xdr:row>537</xdr:row>
                    <xdr:rowOff>38100</xdr:rowOff>
                  </from>
                  <to>
                    <xdr:col>5</xdr:col>
                    <xdr:colOff>177800</xdr:colOff>
                    <xdr:row>538</xdr:row>
                    <xdr:rowOff>0</xdr:rowOff>
                  </to>
                </anchor>
              </controlPr>
            </control>
          </mc:Choice>
        </mc:AlternateContent>
        <mc:AlternateContent xmlns:mc="http://schemas.openxmlformats.org/markup-compatibility/2006">
          <mc:Choice Requires="x14">
            <control shapeId="2138" r:id="rId91" name="Button 90">
              <controlPr defaultSize="0" print="0" autoFill="0" autoPict="0" macro="[0]!Module1.InsertFotoDiCellAktif">
                <anchor moveWithCells="1" sizeWithCells="1">
                  <from>
                    <xdr:col>9</xdr:col>
                    <xdr:colOff>38100</xdr:colOff>
                    <xdr:row>537</xdr:row>
                    <xdr:rowOff>38100</xdr:rowOff>
                  </from>
                  <to>
                    <xdr:col>9</xdr:col>
                    <xdr:colOff>177800</xdr:colOff>
                    <xdr:row>538</xdr:row>
                    <xdr:rowOff>0</xdr:rowOff>
                  </to>
                </anchor>
              </controlPr>
            </control>
          </mc:Choice>
        </mc:AlternateContent>
        <mc:AlternateContent xmlns:mc="http://schemas.openxmlformats.org/markup-compatibility/2006">
          <mc:Choice Requires="x14">
            <control shapeId="2139" r:id="rId92" name="Button 91">
              <controlPr defaultSize="0" print="0" autoFill="0" autoPict="0" macro="[0]!Module1.InsertFotoDiCellAktif">
                <anchor moveWithCells="1" sizeWithCells="1">
                  <from>
                    <xdr:col>15</xdr:col>
                    <xdr:colOff>381000</xdr:colOff>
                    <xdr:row>519</xdr:row>
                    <xdr:rowOff>25400</xdr:rowOff>
                  </from>
                  <to>
                    <xdr:col>16</xdr:col>
                    <xdr:colOff>0</xdr:colOff>
                    <xdr:row>519</xdr:row>
                    <xdr:rowOff>177800</xdr:rowOff>
                  </to>
                </anchor>
              </controlPr>
            </control>
          </mc:Choice>
        </mc:AlternateContent>
        <mc:AlternateContent xmlns:mc="http://schemas.openxmlformats.org/markup-compatibility/2006">
          <mc:Choice Requires="x14">
            <control shapeId="2140" r:id="rId93" name="Button 92">
              <controlPr defaultSize="0" print="0" autoFill="0" autoPict="0" macro="[0]!Module1.InsertFotoDiCellAktif">
                <anchor moveWithCells="1" sizeWithCells="1">
                  <from>
                    <xdr:col>1</xdr:col>
                    <xdr:colOff>38100</xdr:colOff>
                    <xdr:row>582</xdr:row>
                    <xdr:rowOff>38100</xdr:rowOff>
                  </from>
                  <to>
                    <xdr:col>1</xdr:col>
                    <xdr:colOff>177800</xdr:colOff>
                    <xdr:row>582</xdr:row>
                    <xdr:rowOff>190500</xdr:rowOff>
                  </to>
                </anchor>
              </controlPr>
            </control>
          </mc:Choice>
        </mc:AlternateContent>
        <mc:AlternateContent xmlns:mc="http://schemas.openxmlformats.org/markup-compatibility/2006">
          <mc:Choice Requires="x14">
            <control shapeId="2141" r:id="rId94" name="Button 93">
              <controlPr defaultSize="0" print="0" autoFill="0" autoPict="0" macro="[0]!Module1.InsertFotoDiCellAktif">
                <anchor moveWithCells="1" sizeWithCells="1">
                  <from>
                    <xdr:col>5</xdr:col>
                    <xdr:colOff>38100</xdr:colOff>
                    <xdr:row>582</xdr:row>
                    <xdr:rowOff>38100</xdr:rowOff>
                  </from>
                  <to>
                    <xdr:col>5</xdr:col>
                    <xdr:colOff>177800</xdr:colOff>
                    <xdr:row>583</xdr:row>
                    <xdr:rowOff>0</xdr:rowOff>
                  </to>
                </anchor>
              </controlPr>
            </control>
          </mc:Choice>
        </mc:AlternateContent>
        <mc:AlternateContent xmlns:mc="http://schemas.openxmlformats.org/markup-compatibility/2006">
          <mc:Choice Requires="x14">
            <control shapeId="2142" r:id="rId95" name="Button 94">
              <controlPr defaultSize="0" print="0" autoFill="0" autoPict="0" macro="[0]!Module1.InsertFotoDiCellAktif">
                <anchor moveWithCells="1" sizeWithCells="1">
                  <from>
                    <xdr:col>5</xdr:col>
                    <xdr:colOff>38100</xdr:colOff>
                    <xdr:row>582</xdr:row>
                    <xdr:rowOff>38100</xdr:rowOff>
                  </from>
                  <to>
                    <xdr:col>5</xdr:col>
                    <xdr:colOff>177800</xdr:colOff>
                    <xdr:row>583</xdr:row>
                    <xdr:rowOff>0</xdr:rowOff>
                  </to>
                </anchor>
              </controlPr>
            </control>
          </mc:Choice>
        </mc:AlternateContent>
        <mc:AlternateContent xmlns:mc="http://schemas.openxmlformats.org/markup-compatibility/2006">
          <mc:Choice Requires="x14">
            <control shapeId="2143" r:id="rId96" name="Button 95">
              <controlPr defaultSize="0" print="0" autoFill="0" autoPict="0" macro="[0]!Module1.InsertFotoDiCellAktif">
                <anchor moveWithCells="1" sizeWithCells="1">
                  <from>
                    <xdr:col>9</xdr:col>
                    <xdr:colOff>38100</xdr:colOff>
                    <xdr:row>582</xdr:row>
                    <xdr:rowOff>38100</xdr:rowOff>
                  </from>
                  <to>
                    <xdr:col>9</xdr:col>
                    <xdr:colOff>177800</xdr:colOff>
                    <xdr:row>583</xdr:row>
                    <xdr:rowOff>0</xdr:rowOff>
                  </to>
                </anchor>
              </controlPr>
            </control>
          </mc:Choice>
        </mc:AlternateContent>
        <mc:AlternateContent xmlns:mc="http://schemas.openxmlformats.org/markup-compatibility/2006">
          <mc:Choice Requires="x14">
            <control shapeId="2144" r:id="rId97" name="Button 96">
              <controlPr defaultSize="0" print="0" autoFill="0" autoPict="0" macro="[0]!Module1.InsertFotoDiCellAktif">
                <anchor moveWithCells="1" sizeWithCells="1">
                  <from>
                    <xdr:col>1</xdr:col>
                    <xdr:colOff>38100</xdr:colOff>
                    <xdr:row>590</xdr:row>
                    <xdr:rowOff>38100</xdr:rowOff>
                  </from>
                  <to>
                    <xdr:col>1</xdr:col>
                    <xdr:colOff>177800</xdr:colOff>
                    <xdr:row>591</xdr:row>
                    <xdr:rowOff>0</xdr:rowOff>
                  </to>
                </anchor>
              </controlPr>
            </control>
          </mc:Choice>
        </mc:AlternateContent>
        <mc:AlternateContent xmlns:mc="http://schemas.openxmlformats.org/markup-compatibility/2006">
          <mc:Choice Requires="x14">
            <control shapeId="2145" r:id="rId98" name="Button 97">
              <controlPr defaultSize="0" print="0" autoFill="0" autoPict="0" macro="[0]!Module1.InsertFotoDiCellAktif">
                <anchor moveWithCells="1" sizeWithCells="1">
                  <from>
                    <xdr:col>7</xdr:col>
                    <xdr:colOff>38100</xdr:colOff>
                    <xdr:row>590</xdr:row>
                    <xdr:rowOff>38100</xdr:rowOff>
                  </from>
                  <to>
                    <xdr:col>7</xdr:col>
                    <xdr:colOff>177800</xdr:colOff>
                    <xdr:row>591</xdr:row>
                    <xdr:rowOff>0</xdr:rowOff>
                  </to>
                </anchor>
              </controlPr>
            </control>
          </mc:Choice>
        </mc:AlternateContent>
        <mc:AlternateContent xmlns:mc="http://schemas.openxmlformats.org/markup-compatibility/2006">
          <mc:Choice Requires="x14">
            <control shapeId="2146" r:id="rId99" name="Button 98">
              <controlPr defaultSize="0" print="0" autoFill="0" autoPict="0" macro="[0]!Module1.InsertFotoDiCellAktif">
                <anchor moveWithCells="1" sizeWithCells="1">
                  <from>
                    <xdr:col>1</xdr:col>
                    <xdr:colOff>38100</xdr:colOff>
                    <xdr:row>600</xdr:row>
                    <xdr:rowOff>38100</xdr:rowOff>
                  </from>
                  <to>
                    <xdr:col>1</xdr:col>
                    <xdr:colOff>177800</xdr:colOff>
                    <xdr:row>601</xdr:row>
                    <xdr:rowOff>0</xdr:rowOff>
                  </to>
                </anchor>
              </controlPr>
            </control>
          </mc:Choice>
        </mc:AlternateContent>
        <mc:AlternateContent xmlns:mc="http://schemas.openxmlformats.org/markup-compatibility/2006">
          <mc:Choice Requires="x14">
            <control shapeId="2147" r:id="rId100" name="Button 99">
              <controlPr defaultSize="0" print="0" autoFill="0" autoPict="0" macro="[0]!Module1.InsertFotoDiCellAktif">
                <anchor moveWithCells="1" sizeWithCells="1">
                  <from>
                    <xdr:col>5</xdr:col>
                    <xdr:colOff>38100</xdr:colOff>
                    <xdr:row>600</xdr:row>
                    <xdr:rowOff>38100</xdr:rowOff>
                  </from>
                  <to>
                    <xdr:col>5</xdr:col>
                    <xdr:colOff>177800</xdr:colOff>
                    <xdr:row>601</xdr:row>
                    <xdr:rowOff>0</xdr:rowOff>
                  </to>
                </anchor>
              </controlPr>
            </control>
          </mc:Choice>
        </mc:AlternateContent>
        <mc:AlternateContent xmlns:mc="http://schemas.openxmlformats.org/markup-compatibility/2006">
          <mc:Choice Requires="x14">
            <control shapeId="2148" r:id="rId101" name="Button 100">
              <controlPr defaultSize="0" print="0" autoFill="0" autoPict="0" macro="[0]!Module1.InsertFotoDiCellAktif">
                <anchor moveWithCells="1" sizeWithCells="1">
                  <from>
                    <xdr:col>9</xdr:col>
                    <xdr:colOff>38100</xdr:colOff>
                    <xdr:row>600</xdr:row>
                    <xdr:rowOff>38100</xdr:rowOff>
                  </from>
                  <to>
                    <xdr:col>9</xdr:col>
                    <xdr:colOff>177800</xdr:colOff>
                    <xdr:row>601</xdr:row>
                    <xdr:rowOff>0</xdr:rowOff>
                  </to>
                </anchor>
              </controlPr>
            </control>
          </mc:Choice>
        </mc:AlternateContent>
        <mc:AlternateContent xmlns:mc="http://schemas.openxmlformats.org/markup-compatibility/2006">
          <mc:Choice Requires="x14">
            <control shapeId="2149" r:id="rId102" name="Button 101">
              <controlPr defaultSize="0" print="0" autoFill="0" autoPict="0" macro="[0]!Module1.InsertFotoDiCellAktif">
                <anchor moveWithCells="1" sizeWithCells="1">
                  <from>
                    <xdr:col>15</xdr:col>
                    <xdr:colOff>381000</xdr:colOff>
                    <xdr:row>582</xdr:row>
                    <xdr:rowOff>25400</xdr:rowOff>
                  </from>
                  <to>
                    <xdr:col>16</xdr:col>
                    <xdr:colOff>0</xdr:colOff>
                    <xdr:row>582</xdr:row>
                    <xdr:rowOff>177800</xdr:rowOff>
                  </to>
                </anchor>
              </controlPr>
            </control>
          </mc:Choice>
        </mc:AlternateContent>
        <mc:AlternateContent xmlns:mc="http://schemas.openxmlformats.org/markup-compatibility/2006">
          <mc:Choice Requires="x14">
            <control shapeId="2150" r:id="rId103" name="Button 102">
              <controlPr defaultSize="0" print="0" autoFill="0" autoPict="0" macro="[0]!Module1.InsertFotoDiCellAktif">
                <anchor moveWithCells="1" sizeWithCells="1">
                  <from>
                    <xdr:col>1</xdr:col>
                    <xdr:colOff>38100</xdr:colOff>
                    <xdr:row>645</xdr:row>
                    <xdr:rowOff>38100</xdr:rowOff>
                  </from>
                  <to>
                    <xdr:col>1</xdr:col>
                    <xdr:colOff>177800</xdr:colOff>
                    <xdr:row>645</xdr:row>
                    <xdr:rowOff>190500</xdr:rowOff>
                  </to>
                </anchor>
              </controlPr>
            </control>
          </mc:Choice>
        </mc:AlternateContent>
        <mc:AlternateContent xmlns:mc="http://schemas.openxmlformats.org/markup-compatibility/2006">
          <mc:Choice Requires="x14">
            <control shapeId="2151" r:id="rId104" name="Button 103">
              <controlPr defaultSize="0" print="0" autoFill="0" autoPict="0" macro="[0]!Module1.InsertFotoDiCellAktif">
                <anchor moveWithCells="1" sizeWithCells="1">
                  <from>
                    <xdr:col>5</xdr:col>
                    <xdr:colOff>38100</xdr:colOff>
                    <xdr:row>645</xdr:row>
                    <xdr:rowOff>38100</xdr:rowOff>
                  </from>
                  <to>
                    <xdr:col>5</xdr:col>
                    <xdr:colOff>177800</xdr:colOff>
                    <xdr:row>646</xdr:row>
                    <xdr:rowOff>0</xdr:rowOff>
                  </to>
                </anchor>
              </controlPr>
            </control>
          </mc:Choice>
        </mc:AlternateContent>
        <mc:AlternateContent xmlns:mc="http://schemas.openxmlformats.org/markup-compatibility/2006">
          <mc:Choice Requires="x14">
            <control shapeId="2152" r:id="rId105" name="Button 104">
              <controlPr defaultSize="0" print="0" autoFill="0" autoPict="0" macro="[0]!Module1.InsertFotoDiCellAktif">
                <anchor moveWithCells="1" sizeWithCells="1">
                  <from>
                    <xdr:col>5</xdr:col>
                    <xdr:colOff>38100</xdr:colOff>
                    <xdr:row>645</xdr:row>
                    <xdr:rowOff>38100</xdr:rowOff>
                  </from>
                  <to>
                    <xdr:col>5</xdr:col>
                    <xdr:colOff>177800</xdr:colOff>
                    <xdr:row>646</xdr:row>
                    <xdr:rowOff>0</xdr:rowOff>
                  </to>
                </anchor>
              </controlPr>
            </control>
          </mc:Choice>
        </mc:AlternateContent>
        <mc:AlternateContent xmlns:mc="http://schemas.openxmlformats.org/markup-compatibility/2006">
          <mc:Choice Requires="x14">
            <control shapeId="2153" r:id="rId106" name="Button 105">
              <controlPr defaultSize="0" print="0" autoFill="0" autoPict="0" macro="[0]!Module1.InsertFotoDiCellAktif">
                <anchor moveWithCells="1" sizeWithCells="1">
                  <from>
                    <xdr:col>9</xdr:col>
                    <xdr:colOff>38100</xdr:colOff>
                    <xdr:row>645</xdr:row>
                    <xdr:rowOff>38100</xdr:rowOff>
                  </from>
                  <to>
                    <xdr:col>9</xdr:col>
                    <xdr:colOff>177800</xdr:colOff>
                    <xdr:row>646</xdr:row>
                    <xdr:rowOff>0</xdr:rowOff>
                  </to>
                </anchor>
              </controlPr>
            </control>
          </mc:Choice>
        </mc:AlternateContent>
        <mc:AlternateContent xmlns:mc="http://schemas.openxmlformats.org/markup-compatibility/2006">
          <mc:Choice Requires="x14">
            <control shapeId="2154" r:id="rId107" name="Button 106">
              <controlPr defaultSize="0" print="0" autoFill="0" autoPict="0" macro="[0]!Module1.InsertFotoDiCellAktif">
                <anchor moveWithCells="1" sizeWithCells="1">
                  <from>
                    <xdr:col>1</xdr:col>
                    <xdr:colOff>38100</xdr:colOff>
                    <xdr:row>653</xdr:row>
                    <xdr:rowOff>38100</xdr:rowOff>
                  </from>
                  <to>
                    <xdr:col>1</xdr:col>
                    <xdr:colOff>177800</xdr:colOff>
                    <xdr:row>654</xdr:row>
                    <xdr:rowOff>0</xdr:rowOff>
                  </to>
                </anchor>
              </controlPr>
            </control>
          </mc:Choice>
        </mc:AlternateContent>
        <mc:AlternateContent xmlns:mc="http://schemas.openxmlformats.org/markup-compatibility/2006">
          <mc:Choice Requires="x14">
            <control shapeId="2155" r:id="rId108" name="Button 107">
              <controlPr defaultSize="0" print="0" autoFill="0" autoPict="0" macro="[0]!Module1.InsertFotoDiCellAktif">
                <anchor moveWithCells="1" sizeWithCells="1">
                  <from>
                    <xdr:col>7</xdr:col>
                    <xdr:colOff>38100</xdr:colOff>
                    <xdr:row>653</xdr:row>
                    <xdr:rowOff>38100</xdr:rowOff>
                  </from>
                  <to>
                    <xdr:col>7</xdr:col>
                    <xdr:colOff>177800</xdr:colOff>
                    <xdr:row>654</xdr:row>
                    <xdr:rowOff>0</xdr:rowOff>
                  </to>
                </anchor>
              </controlPr>
            </control>
          </mc:Choice>
        </mc:AlternateContent>
        <mc:AlternateContent xmlns:mc="http://schemas.openxmlformats.org/markup-compatibility/2006">
          <mc:Choice Requires="x14">
            <control shapeId="2156" r:id="rId109" name="Button 108">
              <controlPr defaultSize="0" print="0" autoFill="0" autoPict="0" macro="[0]!Module1.InsertFotoDiCellAktif">
                <anchor moveWithCells="1" sizeWithCells="1">
                  <from>
                    <xdr:col>1</xdr:col>
                    <xdr:colOff>38100</xdr:colOff>
                    <xdr:row>663</xdr:row>
                    <xdr:rowOff>38100</xdr:rowOff>
                  </from>
                  <to>
                    <xdr:col>1</xdr:col>
                    <xdr:colOff>177800</xdr:colOff>
                    <xdr:row>664</xdr:row>
                    <xdr:rowOff>0</xdr:rowOff>
                  </to>
                </anchor>
              </controlPr>
            </control>
          </mc:Choice>
        </mc:AlternateContent>
        <mc:AlternateContent xmlns:mc="http://schemas.openxmlformats.org/markup-compatibility/2006">
          <mc:Choice Requires="x14">
            <control shapeId="2157" r:id="rId110" name="Button 109">
              <controlPr defaultSize="0" print="0" autoFill="0" autoPict="0" macro="[0]!Module1.InsertFotoDiCellAktif">
                <anchor moveWithCells="1" sizeWithCells="1">
                  <from>
                    <xdr:col>5</xdr:col>
                    <xdr:colOff>38100</xdr:colOff>
                    <xdr:row>663</xdr:row>
                    <xdr:rowOff>38100</xdr:rowOff>
                  </from>
                  <to>
                    <xdr:col>5</xdr:col>
                    <xdr:colOff>177800</xdr:colOff>
                    <xdr:row>664</xdr:row>
                    <xdr:rowOff>0</xdr:rowOff>
                  </to>
                </anchor>
              </controlPr>
            </control>
          </mc:Choice>
        </mc:AlternateContent>
        <mc:AlternateContent xmlns:mc="http://schemas.openxmlformats.org/markup-compatibility/2006">
          <mc:Choice Requires="x14">
            <control shapeId="2158" r:id="rId111" name="Button 110">
              <controlPr defaultSize="0" print="0" autoFill="0" autoPict="0" macro="[0]!Module1.InsertFotoDiCellAktif">
                <anchor moveWithCells="1" sizeWithCells="1">
                  <from>
                    <xdr:col>9</xdr:col>
                    <xdr:colOff>38100</xdr:colOff>
                    <xdr:row>663</xdr:row>
                    <xdr:rowOff>38100</xdr:rowOff>
                  </from>
                  <to>
                    <xdr:col>9</xdr:col>
                    <xdr:colOff>177800</xdr:colOff>
                    <xdr:row>664</xdr:row>
                    <xdr:rowOff>0</xdr:rowOff>
                  </to>
                </anchor>
              </controlPr>
            </control>
          </mc:Choice>
        </mc:AlternateContent>
        <mc:AlternateContent xmlns:mc="http://schemas.openxmlformats.org/markup-compatibility/2006">
          <mc:Choice Requires="x14">
            <control shapeId="2159" r:id="rId112" name="Button 111">
              <controlPr defaultSize="0" print="0" autoFill="0" autoPict="0" macro="[0]!Module1.InsertFotoDiCellAktif">
                <anchor moveWithCells="1" sizeWithCells="1">
                  <from>
                    <xdr:col>15</xdr:col>
                    <xdr:colOff>381000</xdr:colOff>
                    <xdr:row>645</xdr:row>
                    <xdr:rowOff>25400</xdr:rowOff>
                  </from>
                  <to>
                    <xdr:col>16</xdr:col>
                    <xdr:colOff>0</xdr:colOff>
                    <xdr:row>645</xdr:row>
                    <xdr:rowOff>177800</xdr:rowOff>
                  </to>
                </anchor>
              </controlPr>
            </control>
          </mc:Choice>
        </mc:AlternateContent>
        <mc:AlternateContent xmlns:mc="http://schemas.openxmlformats.org/markup-compatibility/2006">
          <mc:Choice Requires="x14">
            <control shapeId="2160" r:id="rId113" name="Button 112">
              <controlPr defaultSize="0" print="0" autoFill="0" autoPict="0" macro="[0]!Module1.InsertFotoDiCellAktif">
                <anchor moveWithCells="1" sizeWithCells="1">
                  <from>
                    <xdr:col>1</xdr:col>
                    <xdr:colOff>38100</xdr:colOff>
                    <xdr:row>708</xdr:row>
                    <xdr:rowOff>38100</xdr:rowOff>
                  </from>
                  <to>
                    <xdr:col>1</xdr:col>
                    <xdr:colOff>177800</xdr:colOff>
                    <xdr:row>708</xdr:row>
                    <xdr:rowOff>190500</xdr:rowOff>
                  </to>
                </anchor>
              </controlPr>
            </control>
          </mc:Choice>
        </mc:AlternateContent>
        <mc:AlternateContent xmlns:mc="http://schemas.openxmlformats.org/markup-compatibility/2006">
          <mc:Choice Requires="x14">
            <control shapeId="2161" r:id="rId114" name="Button 113">
              <controlPr defaultSize="0" print="0" autoFill="0" autoPict="0" macro="[0]!Module1.InsertFotoDiCellAktif">
                <anchor moveWithCells="1" sizeWithCells="1">
                  <from>
                    <xdr:col>5</xdr:col>
                    <xdr:colOff>38100</xdr:colOff>
                    <xdr:row>708</xdr:row>
                    <xdr:rowOff>38100</xdr:rowOff>
                  </from>
                  <to>
                    <xdr:col>5</xdr:col>
                    <xdr:colOff>177800</xdr:colOff>
                    <xdr:row>709</xdr:row>
                    <xdr:rowOff>0</xdr:rowOff>
                  </to>
                </anchor>
              </controlPr>
            </control>
          </mc:Choice>
        </mc:AlternateContent>
        <mc:AlternateContent xmlns:mc="http://schemas.openxmlformats.org/markup-compatibility/2006">
          <mc:Choice Requires="x14">
            <control shapeId="2162" r:id="rId115" name="Button 114">
              <controlPr defaultSize="0" print="0" autoFill="0" autoPict="0" macro="[0]!Module1.InsertFotoDiCellAktif">
                <anchor moveWithCells="1" sizeWithCells="1">
                  <from>
                    <xdr:col>5</xdr:col>
                    <xdr:colOff>38100</xdr:colOff>
                    <xdr:row>708</xdr:row>
                    <xdr:rowOff>38100</xdr:rowOff>
                  </from>
                  <to>
                    <xdr:col>5</xdr:col>
                    <xdr:colOff>177800</xdr:colOff>
                    <xdr:row>709</xdr:row>
                    <xdr:rowOff>0</xdr:rowOff>
                  </to>
                </anchor>
              </controlPr>
            </control>
          </mc:Choice>
        </mc:AlternateContent>
        <mc:AlternateContent xmlns:mc="http://schemas.openxmlformats.org/markup-compatibility/2006">
          <mc:Choice Requires="x14">
            <control shapeId="2163" r:id="rId116" name="Button 115">
              <controlPr defaultSize="0" print="0" autoFill="0" autoPict="0" macro="[0]!Module1.InsertFotoDiCellAktif">
                <anchor moveWithCells="1" sizeWithCells="1">
                  <from>
                    <xdr:col>9</xdr:col>
                    <xdr:colOff>38100</xdr:colOff>
                    <xdr:row>708</xdr:row>
                    <xdr:rowOff>38100</xdr:rowOff>
                  </from>
                  <to>
                    <xdr:col>9</xdr:col>
                    <xdr:colOff>177800</xdr:colOff>
                    <xdr:row>709</xdr:row>
                    <xdr:rowOff>0</xdr:rowOff>
                  </to>
                </anchor>
              </controlPr>
            </control>
          </mc:Choice>
        </mc:AlternateContent>
        <mc:AlternateContent xmlns:mc="http://schemas.openxmlformats.org/markup-compatibility/2006">
          <mc:Choice Requires="x14">
            <control shapeId="2164" r:id="rId117" name="Button 116">
              <controlPr defaultSize="0" print="0" autoFill="0" autoPict="0" macro="[0]!Module1.InsertFotoDiCellAktif">
                <anchor moveWithCells="1" sizeWithCells="1">
                  <from>
                    <xdr:col>1</xdr:col>
                    <xdr:colOff>38100</xdr:colOff>
                    <xdr:row>716</xdr:row>
                    <xdr:rowOff>38100</xdr:rowOff>
                  </from>
                  <to>
                    <xdr:col>1</xdr:col>
                    <xdr:colOff>177800</xdr:colOff>
                    <xdr:row>717</xdr:row>
                    <xdr:rowOff>0</xdr:rowOff>
                  </to>
                </anchor>
              </controlPr>
            </control>
          </mc:Choice>
        </mc:AlternateContent>
        <mc:AlternateContent xmlns:mc="http://schemas.openxmlformats.org/markup-compatibility/2006">
          <mc:Choice Requires="x14">
            <control shapeId="2165" r:id="rId118" name="Button 117">
              <controlPr defaultSize="0" print="0" autoFill="0" autoPict="0" macro="[0]!Module1.InsertFotoDiCellAktif">
                <anchor moveWithCells="1" sizeWithCells="1">
                  <from>
                    <xdr:col>7</xdr:col>
                    <xdr:colOff>38100</xdr:colOff>
                    <xdr:row>716</xdr:row>
                    <xdr:rowOff>38100</xdr:rowOff>
                  </from>
                  <to>
                    <xdr:col>7</xdr:col>
                    <xdr:colOff>177800</xdr:colOff>
                    <xdr:row>717</xdr:row>
                    <xdr:rowOff>0</xdr:rowOff>
                  </to>
                </anchor>
              </controlPr>
            </control>
          </mc:Choice>
        </mc:AlternateContent>
        <mc:AlternateContent xmlns:mc="http://schemas.openxmlformats.org/markup-compatibility/2006">
          <mc:Choice Requires="x14">
            <control shapeId="2166" r:id="rId119" name="Button 118">
              <controlPr defaultSize="0" print="0" autoFill="0" autoPict="0" macro="[0]!Module1.InsertFotoDiCellAktif">
                <anchor moveWithCells="1" sizeWithCells="1">
                  <from>
                    <xdr:col>1</xdr:col>
                    <xdr:colOff>38100</xdr:colOff>
                    <xdr:row>726</xdr:row>
                    <xdr:rowOff>38100</xdr:rowOff>
                  </from>
                  <to>
                    <xdr:col>1</xdr:col>
                    <xdr:colOff>177800</xdr:colOff>
                    <xdr:row>727</xdr:row>
                    <xdr:rowOff>0</xdr:rowOff>
                  </to>
                </anchor>
              </controlPr>
            </control>
          </mc:Choice>
        </mc:AlternateContent>
        <mc:AlternateContent xmlns:mc="http://schemas.openxmlformats.org/markup-compatibility/2006">
          <mc:Choice Requires="x14">
            <control shapeId="2167" r:id="rId120" name="Button 119">
              <controlPr defaultSize="0" print="0" autoFill="0" autoPict="0" macro="[0]!Module1.InsertFotoDiCellAktif">
                <anchor moveWithCells="1" sizeWithCells="1">
                  <from>
                    <xdr:col>5</xdr:col>
                    <xdr:colOff>38100</xdr:colOff>
                    <xdr:row>726</xdr:row>
                    <xdr:rowOff>38100</xdr:rowOff>
                  </from>
                  <to>
                    <xdr:col>5</xdr:col>
                    <xdr:colOff>177800</xdr:colOff>
                    <xdr:row>727</xdr:row>
                    <xdr:rowOff>0</xdr:rowOff>
                  </to>
                </anchor>
              </controlPr>
            </control>
          </mc:Choice>
        </mc:AlternateContent>
        <mc:AlternateContent xmlns:mc="http://schemas.openxmlformats.org/markup-compatibility/2006">
          <mc:Choice Requires="x14">
            <control shapeId="2168" r:id="rId121" name="Button 120">
              <controlPr defaultSize="0" print="0" autoFill="0" autoPict="0" macro="[0]!Module1.InsertFotoDiCellAktif">
                <anchor moveWithCells="1" sizeWithCells="1">
                  <from>
                    <xdr:col>9</xdr:col>
                    <xdr:colOff>38100</xdr:colOff>
                    <xdr:row>726</xdr:row>
                    <xdr:rowOff>38100</xdr:rowOff>
                  </from>
                  <to>
                    <xdr:col>9</xdr:col>
                    <xdr:colOff>177800</xdr:colOff>
                    <xdr:row>727</xdr:row>
                    <xdr:rowOff>0</xdr:rowOff>
                  </to>
                </anchor>
              </controlPr>
            </control>
          </mc:Choice>
        </mc:AlternateContent>
        <mc:AlternateContent xmlns:mc="http://schemas.openxmlformats.org/markup-compatibility/2006">
          <mc:Choice Requires="x14">
            <control shapeId="2169" r:id="rId122" name="Button 121">
              <controlPr defaultSize="0" print="0" autoFill="0" autoPict="0" macro="[0]!Module1.InsertFotoDiCellAktif">
                <anchor moveWithCells="1" sizeWithCells="1">
                  <from>
                    <xdr:col>15</xdr:col>
                    <xdr:colOff>381000</xdr:colOff>
                    <xdr:row>708</xdr:row>
                    <xdr:rowOff>25400</xdr:rowOff>
                  </from>
                  <to>
                    <xdr:col>16</xdr:col>
                    <xdr:colOff>0</xdr:colOff>
                    <xdr:row>708</xdr:row>
                    <xdr:rowOff>177800</xdr:rowOff>
                  </to>
                </anchor>
              </controlPr>
            </control>
          </mc:Choice>
        </mc:AlternateContent>
        <mc:AlternateContent xmlns:mc="http://schemas.openxmlformats.org/markup-compatibility/2006">
          <mc:Choice Requires="x14">
            <control shapeId="2170" r:id="rId123" name="Button 122">
              <controlPr defaultSize="0" print="0" autoFill="0" autoPict="0" macro="[0]!Module1.InsertFotoDiCellAktif">
                <anchor moveWithCells="1" sizeWithCells="1">
                  <from>
                    <xdr:col>1</xdr:col>
                    <xdr:colOff>38100</xdr:colOff>
                    <xdr:row>771</xdr:row>
                    <xdr:rowOff>38100</xdr:rowOff>
                  </from>
                  <to>
                    <xdr:col>1</xdr:col>
                    <xdr:colOff>177800</xdr:colOff>
                    <xdr:row>771</xdr:row>
                    <xdr:rowOff>190500</xdr:rowOff>
                  </to>
                </anchor>
              </controlPr>
            </control>
          </mc:Choice>
        </mc:AlternateContent>
        <mc:AlternateContent xmlns:mc="http://schemas.openxmlformats.org/markup-compatibility/2006">
          <mc:Choice Requires="x14">
            <control shapeId="2171" r:id="rId124" name="Button 123">
              <controlPr defaultSize="0" print="0" autoFill="0" autoPict="0" macro="[0]!Module1.InsertFotoDiCellAktif">
                <anchor moveWithCells="1" sizeWithCells="1">
                  <from>
                    <xdr:col>5</xdr:col>
                    <xdr:colOff>38100</xdr:colOff>
                    <xdr:row>771</xdr:row>
                    <xdr:rowOff>38100</xdr:rowOff>
                  </from>
                  <to>
                    <xdr:col>5</xdr:col>
                    <xdr:colOff>177800</xdr:colOff>
                    <xdr:row>772</xdr:row>
                    <xdr:rowOff>0</xdr:rowOff>
                  </to>
                </anchor>
              </controlPr>
            </control>
          </mc:Choice>
        </mc:AlternateContent>
        <mc:AlternateContent xmlns:mc="http://schemas.openxmlformats.org/markup-compatibility/2006">
          <mc:Choice Requires="x14">
            <control shapeId="2172" r:id="rId125" name="Button 124">
              <controlPr defaultSize="0" print="0" autoFill="0" autoPict="0" macro="[0]!Module1.InsertFotoDiCellAktif">
                <anchor moveWithCells="1" sizeWithCells="1">
                  <from>
                    <xdr:col>5</xdr:col>
                    <xdr:colOff>38100</xdr:colOff>
                    <xdr:row>771</xdr:row>
                    <xdr:rowOff>38100</xdr:rowOff>
                  </from>
                  <to>
                    <xdr:col>5</xdr:col>
                    <xdr:colOff>177800</xdr:colOff>
                    <xdr:row>772</xdr:row>
                    <xdr:rowOff>0</xdr:rowOff>
                  </to>
                </anchor>
              </controlPr>
            </control>
          </mc:Choice>
        </mc:AlternateContent>
        <mc:AlternateContent xmlns:mc="http://schemas.openxmlformats.org/markup-compatibility/2006">
          <mc:Choice Requires="x14">
            <control shapeId="2173" r:id="rId126" name="Button 125">
              <controlPr defaultSize="0" print="0" autoFill="0" autoPict="0" macro="[0]!Module1.InsertFotoDiCellAktif">
                <anchor moveWithCells="1" sizeWithCells="1">
                  <from>
                    <xdr:col>9</xdr:col>
                    <xdr:colOff>38100</xdr:colOff>
                    <xdr:row>771</xdr:row>
                    <xdr:rowOff>38100</xdr:rowOff>
                  </from>
                  <to>
                    <xdr:col>9</xdr:col>
                    <xdr:colOff>177800</xdr:colOff>
                    <xdr:row>772</xdr:row>
                    <xdr:rowOff>0</xdr:rowOff>
                  </to>
                </anchor>
              </controlPr>
            </control>
          </mc:Choice>
        </mc:AlternateContent>
        <mc:AlternateContent xmlns:mc="http://schemas.openxmlformats.org/markup-compatibility/2006">
          <mc:Choice Requires="x14">
            <control shapeId="2174" r:id="rId127" name="Button 126">
              <controlPr defaultSize="0" print="0" autoFill="0" autoPict="0" macro="[0]!Module1.InsertFotoDiCellAktif">
                <anchor moveWithCells="1" sizeWithCells="1">
                  <from>
                    <xdr:col>1</xdr:col>
                    <xdr:colOff>38100</xdr:colOff>
                    <xdr:row>779</xdr:row>
                    <xdr:rowOff>38100</xdr:rowOff>
                  </from>
                  <to>
                    <xdr:col>1</xdr:col>
                    <xdr:colOff>177800</xdr:colOff>
                    <xdr:row>780</xdr:row>
                    <xdr:rowOff>0</xdr:rowOff>
                  </to>
                </anchor>
              </controlPr>
            </control>
          </mc:Choice>
        </mc:AlternateContent>
        <mc:AlternateContent xmlns:mc="http://schemas.openxmlformats.org/markup-compatibility/2006">
          <mc:Choice Requires="x14">
            <control shapeId="2175" r:id="rId128" name="Button 127">
              <controlPr defaultSize="0" print="0" autoFill="0" autoPict="0" macro="[0]!Module1.InsertFotoDiCellAktif">
                <anchor moveWithCells="1" sizeWithCells="1">
                  <from>
                    <xdr:col>7</xdr:col>
                    <xdr:colOff>38100</xdr:colOff>
                    <xdr:row>779</xdr:row>
                    <xdr:rowOff>38100</xdr:rowOff>
                  </from>
                  <to>
                    <xdr:col>7</xdr:col>
                    <xdr:colOff>177800</xdr:colOff>
                    <xdr:row>780</xdr:row>
                    <xdr:rowOff>0</xdr:rowOff>
                  </to>
                </anchor>
              </controlPr>
            </control>
          </mc:Choice>
        </mc:AlternateContent>
        <mc:AlternateContent xmlns:mc="http://schemas.openxmlformats.org/markup-compatibility/2006">
          <mc:Choice Requires="x14">
            <control shapeId="2176" r:id="rId129" name="Button 128">
              <controlPr defaultSize="0" print="0" autoFill="0" autoPict="0" macro="[0]!Module1.InsertFotoDiCellAktif">
                <anchor moveWithCells="1" sizeWithCells="1">
                  <from>
                    <xdr:col>1</xdr:col>
                    <xdr:colOff>38100</xdr:colOff>
                    <xdr:row>789</xdr:row>
                    <xdr:rowOff>38100</xdr:rowOff>
                  </from>
                  <to>
                    <xdr:col>1</xdr:col>
                    <xdr:colOff>177800</xdr:colOff>
                    <xdr:row>790</xdr:row>
                    <xdr:rowOff>0</xdr:rowOff>
                  </to>
                </anchor>
              </controlPr>
            </control>
          </mc:Choice>
        </mc:AlternateContent>
        <mc:AlternateContent xmlns:mc="http://schemas.openxmlformats.org/markup-compatibility/2006">
          <mc:Choice Requires="x14">
            <control shapeId="2177" r:id="rId130" name="Button 129">
              <controlPr defaultSize="0" print="0" autoFill="0" autoPict="0" macro="[0]!Module1.InsertFotoDiCellAktif">
                <anchor moveWithCells="1" sizeWithCells="1">
                  <from>
                    <xdr:col>5</xdr:col>
                    <xdr:colOff>38100</xdr:colOff>
                    <xdr:row>789</xdr:row>
                    <xdr:rowOff>38100</xdr:rowOff>
                  </from>
                  <to>
                    <xdr:col>5</xdr:col>
                    <xdr:colOff>177800</xdr:colOff>
                    <xdr:row>790</xdr:row>
                    <xdr:rowOff>0</xdr:rowOff>
                  </to>
                </anchor>
              </controlPr>
            </control>
          </mc:Choice>
        </mc:AlternateContent>
        <mc:AlternateContent xmlns:mc="http://schemas.openxmlformats.org/markup-compatibility/2006">
          <mc:Choice Requires="x14">
            <control shapeId="2178" r:id="rId131" name="Button 130">
              <controlPr defaultSize="0" print="0" autoFill="0" autoPict="0" macro="[0]!Module1.InsertFotoDiCellAktif">
                <anchor moveWithCells="1" sizeWithCells="1">
                  <from>
                    <xdr:col>9</xdr:col>
                    <xdr:colOff>38100</xdr:colOff>
                    <xdr:row>789</xdr:row>
                    <xdr:rowOff>38100</xdr:rowOff>
                  </from>
                  <to>
                    <xdr:col>9</xdr:col>
                    <xdr:colOff>177800</xdr:colOff>
                    <xdr:row>790</xdr:row>
                    <xdr:rowOff>0</xdr:rowOff>
                  </to>
                </anchor>
              </controlPr>
            </control>
          </mc:Choice>
        </mc:AlternateContent>
        <mc:AlternateContent xmlns:mc="http://schemas.openxmlformats.org/markup-compatibility/2006">
          <mc:Choice Requires="x14">
            <control shapeId="2179" r:id="rId132" name="Button 131">
              <controlPr defaultSize="0" print="0" autoFill="0" autoPict="0" macro="[0]!Module1.InsertFotoDiCellAktif">
                <anchor moveWithCells="1" sizeWithCells="1">
                  <from>
                    <xdr:col>15</xdr:col>
                    <xdr:colOff>381000</xdr:colOff>
                    <xdr:row>771</xdr:row>
                    <xdr:rowOff>25400</xdr:rowOff>
                  </from>
                  <to>
                    <xdr:col>16</xdr:col>
                    <xdr:colOff>0</xdr:colOff>
                    <xdr:row>771</xdr:row>
                    <xdr:rowOff>177800</xdr:rowOff>
                  </to>
                </anchor>
              </controlPr>
            </control>
          </mc:Choice>
        </mc:AlternateContent>
        <mc:AlternateContent xmlns:mc="http://schemas.openxmlformats.org/markup-compatibility/2006">
          <mc:Choice Requires="x14">
            <control shapeId="2180" r:id="rId133" name="Button 132">
              <controlPr defaultSize="0" print="0" autoFill="0" autoPict="0" macro="[0]!Module1.InsertFotoDiCellAktif">
                <anchor moveWithCells="1" sizeWithCells="1">
                  <from>
                    <xdr:col>1</xdr:col>
                    <xdr:colOff>38100</xdr:colOff>
                    <xdr:row>834</xdr:row>
                    <xdr:rowOff>38100</xdr:rowOff>
                  </from>
                  <to>
                    <xdr:col>1</xdr:col>
                    <xdr:colOff>177800</xdr:colOff>
                    <xdr:row>834</xdr:row>
                    <xdr:rowOff>190500</xdr:rowOff>
                  </to>
                </anchor>
              </controlPr>
            </control>
          </mc:Choice>
        </mc:AlternateContent>
        <mc:AlternateContent xmlns:mc="http://schemas.openxmlformats.org/markup-compatibility/2006">
          <mc:Choice Requires="x14">
            <control shapeId="2181" r:id="rId134" name="Button 133">
              <controlPr defaultSize="0" print="0" autoFill="0" autoPict="0" macro="[0]!Module1.InsertFotoDiCellAktif">
                <anchor moveWithCells="1" sizeWithCells="1">
                  <from>
                    <xdr:col>5</xdr:col>
                    <xdr:colOff>38100</xdr:colOff>
                    <xdr:row>834</xdr:row>
                    <xdr:rowOff>38100</xdr:rowOff>
                  </from>
                  <to>
                    <xdr:col>5</xdr:col>
                    <xdr:colOff>177800</xdr:colOff>
                    <xdr:row>835</xdr:row>
                    <xdr:rowOff>0</xdr:rowOff>
                  </to>
                </anchor>
              </controlPr>
            </control>
          </mc:Choice>
        </mc:AlternateContent>
        <mc:AlternateContent xmlns:mc="http://schemas.openxmlformats.org/markup-compatibility/2006">
          <mc:Choice Requires="x14">
            <control shapeId="2182" r:id="rId135" name="Button 134">
              <controlPr defaultSize="0" print="0" autoFill="0" autoPict="0" macro="[0]!Module1.InsertFotoDiCellAktif">
                <anchor moveWithCells="1" sizeWithCells="1">
                  <from>
                    <xdr:col>5</xdr:col>
                    <xdr:colOff>38100</xdr:colOff>
                    <xdr:row>834</xdr:row>
                    <xdr:rowOff>38100</xdr:rowOff>
                  </from>
                  <to>
                    <xdr:col>5</xdr:col>
                    <xdr:colOff>177800</xdr:colOff>
                    <xdr:row>835</xdr:row>
                    <xdr:rowOff>0</xdr:rowOff>
                  </to>
                </anchor>
              </controlPr>
            </control>
          </mc:Choice>
        </mc:AlternateContent>
        <mc:AlternateContent xmlns:mc="http://schemas.openxmlformats.org/markup-compatibility/2006">
          <mc:Choice Requires="x14">
            <control shapeId="2183" r:id="rId136" name="Button 135">
              <controlPr defaultSize="0" print="0" autoFill="0" autoPict="0" macro="[0]!Module1.InsertFotoDiCellAktif">
                <anchor moveWithCells="1" sizeWithCells="1">
                  <from>
                    <xdr:col>9</xdr:col>
                    <xdr:colOff>38100</xdr:colOff>
                    <xdr:row>834</xdr:row>
                    <xdr:rowOff>38100</xdr:rowOff>
                  </from>
                  <to>
                    <xdr:col>9</xdr:col>
                    <xdr:colOff>177800</xdr:colOff>
                    <xdr:row>835</xdr:row>
                    <xdr:rowOff>0</xdr:rowOff>
                  </to>
                </anchor>
              </controlPr>
            </control>
          </mc:Choice>
        </mc:AlternateContent>
        <mc:AlternateContent xmlns:mc="http://schemas.openxmlformats.org/markup-compatibility/2006">
          <mc:Choice Requires="x14">
            <control shapeId="2184" r:id="rId137" name="Button 136">
              <controlPr defaultSize="0" print="0" autoFill="0" autoPict="0" macro="[0]!Module1.InsertFotoDiCellAktif">
                <anchor moveWithCells="1" sizeWithCells="1">
                  <from>
                    <xdr:col>1</xdr:col>
                    <xdr:colOff>38100</xdr:colOff>
                    <xdr:row>842</xdr:row>
                    <xdr:rowOff>38100</xdr:rowOff>
                  </from>
                  <to>
                    <xdr:col>1</xdr:col>
                    <xdr:colOff>177800</xdr:colOff>
                    <xdr:row>843</xdr:row>
                    <xdr:rowOff>0</xdr:rowOff>
                  </to>
                </anchor>
              </controlPr>
            </control>
          </mc:Choice>
        </mc:AlternateContent>
        <mc:AlternateContent xmlns:mc="http://schemas.openxmlformats.org/markup-compatibility/2006">
          <mc:Choice Requires="x14">
            <control shapeId="2185" r:id="rId138" name="Button 137">
              <controlPr defaultSize="0" print="0" autoFill="0" autoPict="0" macro="[0]!Module1.InsertFotoDiCellAktif">
                <anchor moveWithCells="1" sizeWithCells="1">
                  <from>
                    <xdr:col>7</xdr:col>
                    <xdr:colOff>38100</xdr:colOff>
                    <xdr:row>842</xdr:row>
                    <xdr:rowOff>38100</xdr:rowOff>
                  </from>
                  <to>
                    <xdr:col>7</xdr:col>
                    <xdr:colOff>177800</xdr:colOff>
                    <xdr:row>843</xdr:row>
                    <xdr:rowOff>0</xdr:rowOff>
                  </to>
                </anchor>
              </controlPr>
            </control>
          </mc:Choice>
        </mc:AlternateContent>
        <mc:AlternateContent xmlns:mc="http://schemas.openxmlformats.org/markup-compatibility/2006">
          <mc:Choice Requires="x14">
            <control shapeId="2186" r:id="rId139" name="Button 138">
              <controlPr defaultSize="0" print="0" autoFill="0" autoPict="0" macro="[0]!Module1.InsertFotoDiCellAktif">
                <anchor moveWithCells="1" sizeWithCells="1">
                  <from>
                    <xdr:col>1</xdr:col>
                    <xdr:colOff>38100</xdr:colOff>
                    <xdr:row>852</xdr:row>
                    <xdr:rowOff>38100</xdr:rowOff>
                  </from>
                  <to>
                    <xdr:col>1</xdr:col>
                    <xdr:colOff>177800</xdr:colOff>
                    <xdr:row>853</xdr:row>
                    <xdr:rowOff>0</xdr:rowOff>
                  </to>
                </anchor>
              </controlPr>
            </control>
          </mc:Choice>
        </mc:AlternateContent>
        <mc:AlternateContent xmlns:mc="http://schemas.openxmlformats.org/markup-compatibility/2006">
          <mc:Choice Requires="x14">
            <control shapeId="2187" r:id="rId140" name="Button 139">
              <controlPr defaultSize="0" print="0" autoFill="0" autoPict="0" macro="[0]!Module1.InsertFotoDiCellAktif">
                <anchor moveWithCells="1" sizeWithCells="1">
                  <from>
                    <xdr:col>5</xdr:col>
                    <xdr:colOff>38100</xdr:colOff>
                    <xdr:row>852</xdr:row>
                    <xdr:rowOff>38100</xdr:rowOff>
                  </from>
                  <to>
                    <xdr:col>5</xdr:col>
                    <xdr:colOff>177800</xdr:colOff>
                    <xdr:row>853</xdr:row>
                    <xdr:rowOff>0</xdr:rowOff>
                  </to>
                </anchor>
              </controlPr>
            </control>
          </mc:Choice>
        </mc:AlternateContent>
        <mc:AlternateContent xmlns:mc="http://schemas.openxmlformats.org/markup-compatibility/2006">
          <mc:Choice Requires="x14">
            <control shapeId="2188" r:id="rId141" name="Button 140">
              <controlPr defaultSize="0" print="0" autoFill="0" autoPict="0" macro="[0]!Module1.InsertFotoDiCellAktif">
                <anchor moveWithCells="1" sizeWithCells="1">
                  <from>
                    <xdr:col>9</xdr:col>
                    <xdr:colOff>38100</xdr:colOff>
                    <xdr:row>852</xdr:row>
                    <xdr:rowOff>38100</xdr:rowOff>
                  </from>
                  <to>
                    <xdr:col>9</xdr:col>
                    <xdr:colOff>177800</xdr:colOff>
                    <xdr:row>853</xdr:row>
                    <xdr:rowOff>0</xdr:rowOff>
                  </to>
                </anchor>
              </controlPr>
            </control>
          </mc:Choice>
        </mc:AlternateContent>
        <mc:AlternateContent xmlns:mc="http://schemas.openxmlformats.org/markup-compatibility/2006">
          <mc:Choice Requires="x14">
            <control shapeId="2189" r:id="rId142" name="Button 141">
              <controlPr defaultSize="0" print="0" autoFill="0" autoPict="0" macro="[0]!Module1.InsertFotoDiCellAktif">
                <anchor moveWithCells="1" sizeWithCells="1">
                  <from>
                    <xdr:col>15</xdr:col>
                    <xdr:colOff>381000</xdr:colOff>
                    <xdr:row>834</xdr:row>
                    <xdr:rowOff>25400</xdr:rowOff>
                  </from>
                  <to>
                    <xdr:col>16</xdr:col>
                    <xdr:colOff>0</xdr:colOff>
                    <xdr:row>834</xdr:row>
                    <xdr:rowOff>177800</xdr:rowOff>
                  </to>
                </anchor>
              </controlPr>
            </control>
          </mc:Choice>
        </mc:AlternateContent>
        <mc:AlternateContent xmlns:mc="http://schemas.openxmlformats.org/markup-compatibility/2006">
          <mc:Choice Requires="x14">
            <control shapeId="2190" r:id="rId143" name="Button 142">
              <controlPr defaultSize="0" print="0" autoFill="0" autoPict="0" macro="[0]!Module1.InsertFotoDiCellAktif">
                <anchor moveWithCells="1" sizeWithCells="1">
                  <from>
                    <xdr:col>1</xdr:col>
                    <xdr:colOff>38100</xdr:colOff>
                    <xdr:row>897</xdr:row>
                    <xdr:rowOff>38100</xdr:rowOff>
                  </from>
                  <to>
                    <xdr:col>1</xdr:col>
                    <xdr:colOff>177800</xdr:colOff>
                    <xdr:row>897</xdr:row>
                    <xdr:rowOff>190500</xdr:rowOff>
                  </to>
                </anchor>
              </controlPr>
            </control>
          </mc:Choice>
        </mc:AlternateContent>
        <mc:AlternateContent xmlns:mc="http://schemas.openxmlformats.org/markup-compatibility/2006">
          <mc:Choice Requires="x14">
            <control shapeId="2191" r:id="rId144" name="Button 143">
              <controlPr defaultSize="0" print="0" autoFill="0" autoPict="0" macro="[0]!Module1.InsertFotoDiCellAktif">
                <anchor moveWithCells="1" sizeWithCells="1">
                  <from>
                    <xdr:col>5</xdr:col>
                    <xdr:colOff>38100</xdr:colOff>
                    <xdr:row>897</xdr:row>
                    <xdr:rowOff>38100</xdr:rowOff>
                  </from>
                  <to>
                    <xdr:col>5</xdr:col>
                    <xdr:colOff>177800</xdr:colOff>
                    <xdr:row>898</xdr:row>
                    <xdr:rowOff>0</xdr:rowOff>
                  </to>
                </anchor>
              </controlPr>
            </control>
          </mc:Choice>
        </mc:AlternateContent>
        <mc:AlternateContent xmlns:mc="http://schemas.openxmlformats.org/markup-compatibility/2006">
          <mc:Choice Requires="x14">
            <control shapeId="2192" r:id="rId145" name="Button 144">
              <controlPr defaultSize="0" print="0" autoFill="0" autoPict="0" macro="[0]!Module1.InsertFotoDiCellAktif">
                <anchor moveWithCells="1" sizeWithCells="1">
                  <from>
                    <xdr:col>5</xdr:col>
                    <xdr:colOff>38100</xdr:colOff>
                    <xdr:row>897</xdr:row>
                    <xdr:rowOff>38100</xdr:rowOff>
                  </from>
                  <to>
                    <xdr:col>5</xdr:col>
                    <xdr:colOff>177800</xdr:colOff>
                    <xdr:row>898</xdr:row>
                    <xdr:rowOff>0</xdr:rowOff>
                  </to>
                </anchor>
              </controlPr>
            </control>
          </mc:Choice>
        </mc:AlternateContent>
        <mc:AlternateContent xmlns:mc="http://schemas.openxmlformats.org/markup-compatibility/2006">
          <mc:Choice Requires="x14">
            <control shapeId="2193" r:id="rId146" name="Button 145">
              <controlPr defaultSize="0" print="0" autoFill="0" autoPict="0" macro="[0]!Module1.InsertFotoDiCellAktif">
                <anchor moveWithCells="1" sizeWithCells="1">
                  <from>
                    <xdr:col>9</xdr:col>
                    <xdr:colOff>38100</xdr:colOff>
                    <xdr:row>897</xdr:row>
                    <xdr:rowOff>38100</xdr:rowOff>
                  </from>
                  <to>
                    <xdr:col>9</xdr:col>
                    <xdr:colOff>177800</xdr:colOff>
                    <xdr:row>898</xdr:row>
                    <xdr:rowOff>0</xdr:rowOff>
                  </to>
                </anchor>
              </controlPr>
            </control>
          </mc:Choice>
        </mc:AlternateContent>
        <mc:AlternateContent xmlns:mc="http://schemas.openxmlformats.org/markup-compatibility/2006">
          <mc:Choice Requires="x14">
            <control shapeId="2194" r:id="rId147" name="Button 146">
              <controlPr defaultSize="0" print="0" autoFill="0" autoPict="0" macro="[0]!Module1.InsertFotoDiCellAktif">
                <anchor moveWithCells="1" sizeWithCells="1">
                  <from>
                    <xdr:col>1</xdr:col>
                    <xdr:colOff>38100</xdr:colOff>
                    <xdr:row>905</xdr:row>
                    <xdr:rowOff>38100</xdr:rowOff>
                  </from>
                  <to>
                    <xdr:col>1</xdr:col>
                    <xdr:colOff>177800</xdr:colOff>
                    <xdr:row>906</xdr:row>
                    <xdr:rowOff>0</xdr:rowOff>
                  </to>
                </anchor>
              </controlPr>
            </control>
          </mc:Choice>
        </mc:AlternateContent>
        <mc:AlternateContent xmlns:mc="http://schemas.openxmlformats.org/markup-compatibility/2006">
          <mc:Choice Requires="x14">
            <control shapeId="2195" r:id="rId148" name="Button 147">
              <controlPr defaultSize="0" print="0" autoFill="0" autoPict="0" macro="[0]!Module1.InsertFotoDiCellAktif">
                <anchor moveWithCells="1" sizeWithCells="1">
                  <from>
                    <xdr:col>7</xdr:col>
                    <xdr:colOff>38100</xdr:colOff>
                    <xdr:row>905</xdr:row>
                    <xdr:rowOff>38100</xdr:rowOff>
                  </from>
                  <to>
                    <xdr:col>7</xdr:col>
                    <xdr:colOff>177800</xdr:colOff>
                    <xdr:row>906</xdr:row>
                    <xdr:rowOff>0</xdr:rowOff>
                  </to>
                </anchor>
              </controlPr>
            </control>
          </mc:Choice>
        </mc:AlternateContent>
        <mc:AlternateContent xmlns:mc="http://schemas.openxmlformats.org/markup-compatibility/2006">
          <mc:Choice Requires="x14">
            <control shapeId="2196" r:id="rId149" name="Button 148">
              <controlPr defaultSize="0" print="0" autoFill="0" autoPict="0" macro="[0]!Module1.InsertFotoDiCellAktif">
                <anchor moveWithCells="1" sizeWithCells="1">
                  <from>
                    <xdr:col>1</xdr:col>
                    <xdr:colOff>38100</xdr:colOff>
                    <xdr:row>915</xdr:row>
                    <xdr:rowOff>38100</xdr:rowOff>
                  </from>
                  <to>
                    <xdr:col>1</xdr:col>
                    <xdr:colOff>177800</xdr:colOff>
                    <xdr:row>916</xdr:row>
                    <xdr:rowOff>0</xdr:rowOff>
                  </to>
                </anchor>
              </controlPr>
            </control>
          </mc:Choice>
        </mc:AlternateContent>
        <mc:AlternateContent xmlns:mc="http://schemas.openxmlformats.org/markup-compatibility/2006">
          <mc:Choice Requires="x14">
            <control shapeId="2197" r:id="rId150" name="Button 149">
              <controlPr defaultSize="0" print="0" autoFill="0" autoPict="0" macro="[0]!Module1.InsertFotoDiCellAktif">
                <anchor moveWithCells="1" sizeWithCells="1">
                  <from>
                    <xdr:col>5</xdr:col>
                    <xdr:colOff>38100</xdr:colOff>
                    <xdr:row>915</xdr:row>
                    <xdr:rowOff>38100</xdr:rowOff>
                  </from>
                  <to>
                    <xdr:col>5</xdr:col>
                    <xdr:colOff>177800</xdr:colOff>
                    <xdr:row>916</xdr:row>
                    <xdr:rowOff>0</xdr:rowOff>
                  </to>
                </anchor>
              </controlPr>
            </control>
          </mc:Choice>
        </mc:AlternateContent>
        <mc:AlternateContent xmlns:mc="http://schemas.openxmlformats.org/markup-compatibility/2006">
          <mc:Choice Requires="x14">
            <control shapeId="2198" r:id="rId151" name="Button 150">
              <controlPr defaultSize="0" print="0" autoFill="0" autoPict="0" macro="[0]!Module1.InsertFotoDiCellAktif">
                <anchor moveWithCells="1" sizeWithCells="1">
                  <from>
                    <xdr:col>9</xdr:col>
                    <xdr:colOff>38100</xdr:colOff>
                    <xdr:row>915</xdr:row>
                    <xdr:rowOff>38100</xdr:rowOff>
                  </from>
                  <to>
                    <xdr:col>9</xdr:col>
                    <xdr:colOff>177800</xdr:colOff>
                    <xdr:row>916</xdr:row>
                    <xdr:rowOff>0</xdr:rowOff>
                  </to>
                </anchor>
              </controlPr>
            </control>
          </mc:Choice>
        </mc:AlternateContent>
        <mc:AlternateContent xmlns:mc="http://schemas.openxmlformats.org/markup-compatibility/2006">
          <mc:Choice Requires="x14">
            <control shapeId="2199" r:id="rId152" name="Button 151">
              <controlPr defaultSize="0" print="0" autoFill="0" autoPict="0" macro="[0]!Module1.InsertFotoDiCellAktif">
                <anchor moveWithCells="1" sizeWithCells="1">
                  <from>
                    <xdr:col>15</xdr:col>
                    <xdr:colOff>381000</xdr:colOff>
                    <xdr:row>897</xdr:row>
                    <xdr:rowOff>25400</xdr:rowOff>
                  </from>
                  <to>
                    <xdr:col>16</xdr:col>
                    <xdr:colOff>0</xdr:colOff>
                    <xdr:row>897</xdr:row>
                    <xdr:rowOff>177800</xdr:rowOff>
                  </to>
                </anchor>
              </controlPr>
            </control>
          </mc:Choice>
        </mc:AlternateContent>
        <mc:AlternateContent xmlns:mc="http://schemas.openxmlformats.org/markup-compatibility/2006">
          <mc:Choice Requires="x14">
            <control shapeId="2200" r:id="rId153" name="Button 152">
              <controlPr defaultSize="0" print="0" autoFill="0" autoPict="0" macro="[0]!Module1.InsertFotoDiCellAktif">
                <anchor moveWithCells="1" sizeWithCells="1">
                  <from>
                    <xdr:col>1</xdr:col>
                    <xdr:colOff>38100</xdr:colOff>
                    <xdr:row>960</xdr:row>
                    <xdr:rowOff>38100</xdr:rowOff>
                  </from>
                  <to>
                    <xdr:col>1</xdr:col>
                    <xdr:colOff>177800</xdr:colOff>
                    <xdr:row>960</xdr:row>
                    <xdr:rowOff>190500</xdr:rowOff>
                  </to>
                </anchor>
              </controlPr>
            </control>
          </mc:Choice>
        </mc:AlternateContent>
        <mc:AlternateContent xmlns:mc="http://schemas.openxmlformats.org/markup-compatibility/2006">
          <mc:Choice Requires="x14">
            <control shapeId="2201" r:id="rId154" name="Button 153">
              <controlPr defaultSize="0" print="0" autoFill="0" autoPict="0" macro="[0]!Module1.InsertFotoDiCellAktif">
                <anchor moveWithCells="1" sizeWithCells="1">
                  <from>
                    <xdr:col>5</xdr:col>
                    <xdr:colOff>38100</xdr:colOff>
                    <xdr:row>960</xdr:row>
                    <xdr:rowOff>38100</xdr:rowOff>
                  </from>
                  <to>
                    <xdr:col>5</xdr:col>
                    <xdr:colOff>177800</xdr:colOff>
                    <xdr:row>961</xdr:row>
                    <xdr:rowOff>0</xdr:rowOff>
                  </to>
                </anchor>
              </controlPr>
            </control>
          </mc:Choice>
        </mc:AlternateContent>
        <mc:AlternateContent xmlns:mc="http://schemas.openxmlformats.org/markup-compatibility/2006">
          <mc:Choice Requires="x14">
            <control shapeId="2202" r:id="rId155" name="Button 154">
              <controlPr defaultSize="0" print="0" autoFill="0" autoPict="0" macro="[0]!Module1.InsertFotoDiCellAktif">
                <anchor moveWithCells="1" sizeWithCells="1">
                  <from>
                    <xdr:col>5</xdr:col>
                    <xdr:colOff>38100</xdr:colOff>
                    <xdr:row>960</xdr:row>
                    <xdr:rowOff>38100</xdr:rowOff>
                  </from>
                  <to>
                    <xdr:col>5</xdr:col>
                    <xdr:colOff>177800</xdr:colOff>
                    <xdr:row>961</xdr:row>
                    <xdr:rowOff>0</xdr:rowOff>
                  </to>
                </anchor>
              </controlPr>
            </control>
          </mc:Choice>
        </mc:AlternateContent>
        <mc:AlternateContent xmlns:mc="http://schemas.openxmlformats.org/markup-compatibility/2006">
          <mc:Choice Requires="x14">
            <control shapeId="2203" r:id="rId156" name="Button 155">
              <controlPr defaultSize="0" print="0" autoFill="0" autoPict="0" macro="[0]!Module1.InsertFotoDiCellAktif">
                <anchor moveWithCells="1" sizeWithCells="1">
                  <from>
                    <xdr:col>9</xdr:col>
                    <xdr:colOff>38100</xdr:colOff>
                    <xdr:row>960</xdr:row>
                    <xdr:rowOff>38100</xdr:rowOff>
                  </from>
                  <to>
                    <xdr:col>9</xdr:col>
                    <xdr:colOff>177800</xdr:colOff>
                    <xdr:row>961</xdr:row>
                    <xdr:rowOff>0</xdr:rowOff>
                  </to>
                </anchor>
              </controlPr>
            </control>
          </mc:Choice>
        </mc:AlternateContent>
        <mc:AlternateContent xmlns:mc="http://schemas.openxmlformats.org/markup-compatibility/2006">
          <mc:Choice Requires="x14">
            <control shapeId="2204" r:id="rId157" name="Button 156">
              <controlPr defaultSize="0" print="0" autoFill="0" autoPict="0" macro="[0]!Module1.InsertFotoDiCellAktif">
                <anchor moveWithCells="1" sizeWithCells="1">
                  <from>
                    <xdr:col>1</xdr:col>
                    <xdr:colOff>38100</xdr:colOff>
                    <xdr:row>968</xdr:row>
                    <xdr:rowOff>38100</xdr:rowOff>
                  </from>
                  <to>
                    <xdr:col>1</xdr:col>
                    <xdr:colOff>177800</xdr:colOff>
                    <xdr:row>969</xdr:row>
                    <xdr:rowOff>0</xdr:rowOff>
                  </to>
                </anchor>
              </controlPr>
            </control>
          </mc:Choice>
        </mc:AlternateContent>
        <mc:AlternateContent xmlns:mc="http://schemas.openxmlformats.org/markup-compatibility/2006">
          <mc:Choice Requires="x14">
            <control shapeId="2205" r:id="rId158" name="Button 157">
              <controlPr defaultSize="0" print="0" autoFill="0" autoPict="0" macro="[0]!Module1.InsertFotoDiCellAktif">
                <anchor moveWithCells="1" sizeWithCells="1">
                  <from>
                    <xdr:col>7</xdr:col>
                    <xdr:colOff>38100</xdr:colOff>
                    <xdr:row>968</xdr:row>
                    <xdr:rowOff>38100</xdr:rowOff>
                  </from>
                  <to>
                    <xdr:col>7</xdr:col>
                    <xdr:colOff>177800</xdr:colOff>
                    <xdr:row>969</xdr:row>
                    <xdr:rowOff>0</xdr:rowOff>
                  </to>
                </anchor>
              </controlPr>
            </control>
          </mc:Choice>
        </mc:AlternateContent>
        <mc:AlternateContent xmlns:mc="http://schemas.openxmlformats.org/markup-compatibility/2006">
          <mc:Choice Requires="x14">
            <control shapeId="2206" r:id="rId159" name="Button 158">
              <controlPr defaultSize="0" print="0" autoFill="0" autoPict="0" macro="[0]!Module1.InsertFotoDiCellAktif">
                <anchor moveWithCells="1" sizeWithCells="1">
                  <from>
                    <xdr:col>1</xdr:col>
                    <xdr:colOff>38100</xdr:colOff>
                    <xdr:row>978</xdr:row>
                    <xdr:rowOff>38100</xdr:rowOff>
                  </from>
                  <to>
                    <xdr:col>1</xdr:col>
                    <xdr:colOff>177800</xdr:colOff>
                    <xdr:row>979</xdr:row>
                    <xdr:rowOff>0</xdr:rowOff>
                  </to>
                </anchor>
              </controlPr>
            </control>
          </mc:Choice>
        </mc:AlternateContent>
        <mc:AlternateContent xmlns:mc="http://schemas.openxmlformats.org/markup-compatibility/2006">
          <mc:Choice Requires="x14">
            <control shapeId="2207" r:id="rId160" name="Button 159">
              <controlPr defaultSize="0" print="0" autoFill="0" autoPict="0" macro="[0]!Module1.InsertFotoDiCellAktif">
                <anchor moveWithCells="1" sizeWithCells="1">
                  <from>
                    <xdr:col>5</xdr:col>
                    <xdr:colOff>38100</xdr:colOff>
                    <xdr:row>978</xdr:row>
                    <xdr:rowOff>38100</xdr:rowOff>
                  </from>
                  <to>
                    <xdr:col>5</xdr:col>
                    <xdr:colOff>177800</xdr:colOff>
                    <xdr:row>979</xdr:row>
                    <xdr:rowOff>0</xdr:rowOff>
                  </to>
                </anchor>
              </controlPr>
            </control>
          </mc:Choice>
        </mc:AlternateContent>
        <mc:AlternateContent xmlns:mc="http://schemas.openxmlformats.org/markup-compatibility/2006">
          <mc:Choice Requires="x14">
            <control shapeId="2208" r:id="rId161" name="Button 160">
              <controlPr defaultSize="0" print="0" autoFill="0" autoPict="0" macro="[0]!Module1.InsertFotoDiCellAktif">
                <anchor moveWithCells="1" sizeWithCells="1">
                  <from>
                    <xdr:col>9</xdr:col>
                    <xdr:colOff>38100</xdr:colOff>
                    <xdr:row>978</xdr:row>
                    <xdr:rowOff>38100</xdr:rowOff>
                  </from>
                  <to>
                    <xdr:col>9</xdr:col>
                    <xdr:colOff>177800</xdr:colOff>
                    <xdr:row>979</xdr:row>
                    <xdr:rowOff>0</xdr:rowOff>
                  </to>
                </anchor>
              </controlPr>
            </control>
          </mc:Choice>
        </mc:AlternateContent>
        <mc:AlternateContent xmlns:mc="http://schemas.openxmlformats.org/markup-compatibility/2006">
          <mc:Choice Requires="x14">
            <control shapeId="2209" r:id="rId162" name="Button 161">
              <controlPr defaultSize="0" print="0" autoFill="0" autoPict="0" macro="[0]!Module1.InsertFotoDiCellAktif">
                <anchor moveWithCells="1" sizeWithCells="1">
                  <from>
                    <xdr:col>15</xdr:col>
                    <xdr:colOff>381000</xdr:colOff>
                    <xdr:row>960</xdr:row>
                    <xdr:rowOff>25400</xdr:rowOff>
                  </from>
                  <to>
                    <xdr:col>16</xdr:col>
                    <xdr:colOff>0</xdr:colOff>
                    <xdr:row>960</xdr:row>
                    <xdr:rowOff>177800</xdr:rowOff>
                  </to>
                </anchor>
              </controlPr>
            </control>
          </mc:Choice>
        </mc:AlternateContent>
        <mc:AlternateContent xmlns:mc="http://schemas.openxmlformats.org/markup-compatibility/2006">
          <mc:Choice Requires="x14">
            <control shapeId="2210" r:id="rId163" name="Button 162">
              <controlPr defaultSize="0" print="0" autoFill="0" autoPict="0" macro="[0]!Module1.InsertFotoDiCellAktif">
                <anchor moveWithCells="1" sizeWithCells="1">
                  <from>
                    <xdr:col>1</xdr:col>
                    <xdr:colOff>38100</xdr:colOff>
                    <xdr:row>1023</xdr:row>
                    <xdr:rowOff>38100</xdr:rowOff>
                  </from>
                  <to>
                    <xdr:col>1</xdr:col>
                    <xdr:colOff>177800</xdr:colOff>
                    <xdr:row>1023</xdr:row>
                    <xdr:rowOff>190500</xdr:rowOff>
                  </to>
                </anchor>
              </controlPr>
            </control>
          </mc:Choice>
        </mc:AlternateContent>
        <mc:AlternateContent xmlns:mc="http://schemas.openxmlformats.org/markup-compatibility/2006">
          <mc:Choice Requires="x14">
            <control shapeId="2211" r:id="rId164" name="Button 163">
              <controlPr defaultSize="0" print="0" autoFill="0" autoPict="0" macro="[0]!Module1.InsertFotoDiCellAktif">
                <anchor moveWithCells="1" sizeWithCells="1">
                  <from>
                    <xdr:col>5</xdr:col>
                    <xdr:colOff>38100</xdr:colOff>
                    <xdr:row>1023</xdr:row>
                    <xdr:rowOff>38100</xdr:rowOff>
                  </from>
                  <to>
                    <xdr:col>5</xdr:col>
                    <xdr:colOff>177800</xdr:colOff>
                    <xdr:row>1024</xdr:row>
                    <xdr:rowOff>0</xdr:rowOff>
                  </to>
                </anchor>
              </controlPr>
            </control>
          </mc:Choice>
        </mc:AlternateContent>
        <mc:AlternateContent xmlns:mc="http://schemas.openxmlformats.org/markup-compatibility/2006">
          <mc:Choice Requires="x14">
            <control shapeId="2212" r:id="rId165" name="Button 164">
              <controlPr defaultSize="0" print="0" autoFill="0" autoPict="0" macro="[0]!Module1.InsertFotoDiCellAktif">
                <anchor moveWithCells="1" sizeWithCells="1">
                  <from>
                    <xdr:col>5</xdr:col>
                    <xdr:colOff>38100</xdr:colOff>
                    <xdr:row>1023</xdr:row>
                    <xdr:rowOff>38100</xdr:rowOff>
                  </from>
                  <to>
                    <xdr:col>5</xdr:col>
                    <xdr:colOff>177800</xdr:colOff>
                    <xdr:row>1024</xdr:row>
                    <xdr:rowOff>0</xdr:rowOff>
                  </to>
                </anchor>
              </controlPr>
            </control>
          </mc:Choice>
        </mc:AlternateContent>
        <mc:AlternateContent xmlns:mc="http://schemas.openxmlformats.org/markup-compatibility/2006">
          <mc:Choice Requires="x14">
            <control shapeId="2213" r:id="rId166" name="Button 165">
              <controlPr defaultSize="0" print="0" autoFill="0" autoPict="0" macro="[0]!Module1.InsertFotoDiCellAktif">
                <anchor moveWithCells="1" sizeWithCells="1">
                  <from>
                    <xdr:col>9</xdr:col>
                    <xdr:colOff>38100</xdr:colOff>
                    <xdr:row>1023</xdr:row>
                    <xdr:rowOff>38100</xdr:rowOff>
                  </from>
                  <to>
                    <xdr:col>9</xdr:col>
                    <xdr:colOff>177800</xdr:colOff>
                    <xdr:row>1024</xdr:row>
                    <xdr:rowOff>0</xdr:rowOff>
                  </to>
                </anchor>
              </controlPr>
            </control>
          </mc:Choice>
        </mc:AlternateContent>
        <mc:AlternateContent xmlns:mc="http://schemas.openxmlformats.org/markup-compatibility/2006">
          <mc:Choice Requires="x14">
            <control shapeId="2214" r:id="rId167" name="Button 166">
              <controlPr defaultSize="0" print="0" autoFill="0" autoPict="0" macro="[0]!Module1.InsertFotoDiCellAktif">
                <anchor moveWithCells="1" sizeWithCells="1">
                  <from>
                    <xdr:col>1</xdr:col>
                    <xdr:colOff>38100</xdr:colOff>
                    <xdr:row>1031</xdr:row>
                    <xdr:rowOff>38100</xdr:rowOff>
                  </from>
                  <to>
                    <xdr:col>1</xdr:col>
                    <xdr:colOff>177800</xdr:colOff>
                    <xdr:row>1032</xdr:row>
                    <xdr:rowOff>0</xdr:rowOff>
                  </to>
                </anchor>
              </controlPr>
            </control>
          </mc:Choice>
        </mc:AlternateContent>
        <mc:AlternateContent xmlns:mc="http://schemas.openxmlformats.org/markup-compatibility/2006">
          <mc:Choice Requires="x14">
            <control shapeId="2215" r:id="rId168" name="Button 167">
              <controlPr defaultSize="0" print="0" autoFill="0" autoPict="0" macro="[0]!Module1.InsertFotoDiCellAktif">
                <anchor moveWithCells="1" sizeWithCells="1">
                  <from>
                    <xdr:col>7</xdr:col>
                    <xdr:colOff>38100</xdr:colOff>
                    <xdr:row>1031</xdr:row>
                    <xdr:rowOff>38100</xdr:rowOff>
                  </from>
                  <to>
                    <xdr:col>7</xdr:col>
                    <xdr:colOff>177800</xdr:colOff>
                    <xdr:row>1032</xdr:row>
                    <xdr:rowOff>0</xdr:rowOff>
                  </to>
                </anchor>
              </controlPr>
            </control>
          </mc:Choice>
        </mc:AlternateContent>
        <mc:AlternateContent xmlns:mc="http://schemas.openxmlformats.org/markup-compatibility/2006">
          <mc:Choice Requires="x14">
            <control shapeId="2216" r:id="rId169" name="Button 168">
              <controlPr defaultSize="0" print="0" autoFill="0" autoPict="0" macro="[0]!Module1.InsertFotoDiCellAktif">
                <anchor moveWithCells="1" sizeWithCells="1">
                  <from>
                    <xdr:col>1</xdr:col>
                    <xdr:colOff>38100</xdr:colOff>
                    <xdr:row>1041</xdr:row>
                    <xdr:rowOff>38100</xdr:rowOff>
                  </from>
                  <to>
                    <xdr:col>1</xdr:col>
                    <xdr:colOff>177800</xdr:colOff>
                    <xdr:row>1042</xdr:row>
                    <xdr:rowOff>0</xdr:rowOff>
                  </to>
                </anchor>
              </controlPr>
            </control>
          </mc:Choice>
        </mc:AlternateContent>
        <mc:AlternateContent xmlns:mc="http://schemas.openxmlformats.org/markup-compatibility/2006">
          <mc:Choice Requires="x14">
            <control shapeId="2217" r:id="rId170" name="Button 169">
              <controlPr defaultSize="0" print="0" autoFill="0" autoPict="0" macro="[0]!Module1.InsertFotoDiCellAktif">
                <anchor moveWithCells="1" sizeWithCells="1">
                  <from>
                    <xdr:col>5</xdr:col>
                    <xdr:colOff>38100</xdr:colOff>
                    <xdr:row>1041</xdr:row>
                    <xdr:rowOff>38100</xdr:rowOff>
                  </from>
                  <to>
                    <xdr:col>5</xdr:col>
                    <xdr:colOff>177800</xdr:colOff>
                    <xdr:row>1042</xdr:row>
                    <xdr:rowOff>0</xdr:rowOff>
                  </to>
                </anchor>
              </controlPr>
            </control>
          </mc:Choice>
        </mc:AlternateContent>
        <mc:AlternateContent xmlns:mc="http://schemas.openxmlformats.org/markup-compatibility/2006">
          <mc:Choice Requires="x14">
            <control shapeId="2218" r:id="rId171" name="Button 170">
              <controlPr defaultSize="0" print="0" autoFill="0" autoPict="0" macro="[0]!Module1.InsertFotoDiCellAktif">
                <anchor moveWithCells="1" sizeWithCells="1">
                  <from>
                    <xdr:col>9</xdr:col>
                    <xdr:colOff>38100</xdr:colOff>
                    <xdr:row>1041</xdr:row>
                    <xdr:rowOff>38100</xdr:rowOff>
                  </from>
                  <to>
                    <xdr:col>9</xdr:col>
                    <xdr:colOff>177800</xdr:colOff>
                    <xdr:row>1042</xdr:row>
                    <xdr:rowOff>0</xdr:rowOff>
                  </to>
                </anchor>
              </controlPr>
            </control>
          </mc:Choice>
        </mc:AlternateContent>
        <mc:AlternateContent xmlns:mc="http://schemas.openxmlformats.org/markup-compatibility/2006">
          <mc:Choice Requires="x14">
            <control shapeId="2219" r:id="rId172" name="Button 171">
              <controlPr defaultSize="0" print="0" autoFill="0" autoPict="0" macro="[0]!Module1.InsertFotoDiCellAktif">
                <anchor moveWithCells="1" sizeWithCells="1">
                  <from>
                    <xdr:col>15</xdr:col>
                    <xdr:colOff>381000</xdr:colOff>
                    <xdr:row>1023</xdr:row>
                    <xdr:rowOff>25400</xdr:rowOff>
                  </from>
                  <to>
                    <xdr:col>16</xdr:col>
                    <xdr:colOff>0</xdr:colOff>
                    <xdr:row>1023</xdr:row>
                    <xdr:rowOff>177800</xdr:rowOff>
                  </to>
                </anchor>
              </controlPr>
            </control>
          </mc:Choice>
        </mc:AlternateContent>
        <mc:AlternateContent xmlns:mc="http://schemas.openxmlformats.org/markup-compatibility/2006">
          <mc:Choice Requires="x14">
            <control shapeId="2220" r:id="rId173" name="Button 172">
              <controlPr defaultSize="0" print="0" autoFill="0" autoPict="0" macro="[0]!Module1.InsertFotoDiCellAktif">
                <anchor moveWithCells="1" sizeWithCells="1">
                  <from>
                    <xdr:col>1</xdr:col>
                    <xdr:colOff>38100</xdr:colOff>
                    <xdr:row>1086</xdr:row>
                    <xdr:rowOff>38100</xdr:rowOff>
                  </from>
                  <to>
                    <xdr:col>1</xdr:col>
                    <xdr:colOff>177800</xdr:colOff>
                    <xdr:row>1086</xdr:row>
                    <xdr:rowOff>190500</xdr:rowOff>
                  </to>
                </anchor>
              </controlPr>
            </control>
          </mc:Choice>
        </mc:AlternateContent>
        <mc:AlternateContent xmlns:mc="http://schemas.openxmlformats.org/markup-compatibility/2006">
          <mc:Choice Requires="x14">
            <control shapeId="2221" r:id="rId174" name="Button 173">
              <controlPr defaultSize="0" print="0" autoFill="0" autoPict="0" macro="[0]!Module1.InsertFotoDiCellAktif">
                <anchor moveWithCells="1" sizeWithCells="1">
                  <from>
                    <xdr:col>5</xdr:col>
                    <xdr:colOff>38100</xdr:colOff>
                    <xdr:row>1086</xdr:row>
                    <xdr:rowOff>38100</xdr:rowOff>
                  </from>
                  <to>
                    <xdr:col>5</xdr:col>
                    <xdr:colOff>177800</xdr:colOff>
                    <xdr:row>1087</xdr:row>
                    <xdr:rowOff>0</xdr:rowOff>
                  </to>
                </anchor>
              </controlPr>
            </control>
          </mc:Choice>
        </mc:AlternateContent>
        <mc:AlternateContent xmlns:mc="http://schemas.openxmlformats.org/markup-compatibility/2006">
          <mc:Choice Requires="x14">
            <control shapeId="2222" r:id="rId175" name="Button 174">
              <controlPr defaultSize="0" print="0" autoFill="0" autoPict="0" macro="[0]!Module1.InsertFotoDiCellAktif">
                <anchor moveWithCells="1" sizeWithCells="1">
                  <from>
                    <xdr:col>5</xdr:col>
                    <xdr:colOff>38100</xdr:colOff>
                    <xdr:row>1086</xdr:row>
                    <xdr:rowOff>38100</xdr:rowOff>
                  </from>
                  <to>
                    <xdr:col>5</xdr:col>
                    <xdr:colOff>177800</xdr:colOff>
                    <xdr:row>1087</xdr:row>
                    <xdr:rowOff>0</xdr:rowOff>
                  </to>
                </anchor>
              </controlPr>
            </control>
          </mc:Choice>
        </mc:AlternateContent>
        <mc:AlternateContent xmlns:mc="http://schemas.openxmlformats.org/markup-compatibility/2006">
          <mc:Choice Requires="x14">
            <control shapeId="2223" r:id="rId176" name="Button 175">
              <controlPr defaultSize="0" print="0" autoFill="0" autoPict="0" macro="[0]!Module1.InsertFotoDiCellAktif">
                <anchor moveWithCells="1" sizeWithCells="1">
                  <from>
                    <xdr:col>9</xdr:col>
                    <xdr:colOff>38100</xdr:colOff>
                    <xdr:row>1086</xdr:row>
                    <xdr:rowOff>38100</xdr:rowOff>
                  </from>
                  <to>
                    <xdr:col>9</xdr:col>
                    <xdr:colOff>177800</xdr:colOff>
                    <xdr:row>1087</xdr:row>
                    <xdr:rowOff>0</xdr:rowOff>
                  </to>
                </anchor>
              </controlPr>
            </control>
          </mc:Choice>
        </mc:AlternateContent>
        <mc:AlternateContent xmlns:mc="http://schemas.openxmlformats.org/markup-compatibility/2006">
          <mc:Choice Requires="x14">
            <control shapeId="2224" r:id="rId177" name="Button 176">
              <controlPr defaultSize="0" print="0" autoFill="0" autoPict="0" macro="[0]!Module1.InsertFotoDiCellAktif">
                <anchor moveWithCells="1" sizeWithCells="1">
                  <from>
                    <xdr:col>1</xdr:col>
                    <xdr:colOff>38100</xdr:colOff>
                    <xdr:row>1094</xdr:row>
                    <xdr:rowOff>38100</xdr:rowOff>
                  </from>
                  <to>
                    <xdr:col>1</xdr:col>
                    <xdr:colOff>177800</xdr:colOff>
                    <xdr:row>1095</xdr:row>
                    <xdr:rowOff>0</xdr:rowOff>
                  </to>
                </anchor>
              </controlPr>
            </control>
          </mc:Choice>
        </mc:AlternateContent>
        <mc:AlternateContent xmlns:mc="http://schemas.openxmlformats.org/markup-compatibility/2006">
          <mc:Choice Requires="x14">
            <control shapeId="2225" r:id="rId178" name="Button 177">
              <controlPr defaultSize="0" print="0" autoFill="0" autoPict="0" macro="[0]!Module1.InsertFotoDiCellAktif">
                <anchor moveWithCells="1" sizeWithCells="1">
                  <from>
                    <xdr:col>7</xdr:col>
                    <xdr:colOff>38100</xdr:colOff>
                    <xdr:row>1094</xdr:row>
                    <xdr:rowOff>38100</xdr:rowOff>
                  </from>
                  <to>
                    <xdr:col>7</xdr:col>
                    <xdr:colOff>177800</xdr:colOff>
                    <xdr:row>1095</xdr:row>
                    <xdr:rowOff>0</xdr:rowOff>
                  </to>
                </anchor>
              </controlPr>
            </control>
          </mc:Choice>
        </mc:AlternateContent>
        <mc:AlternateContent xmlns:mc="http://schemas.openxmlformats.org/markup-compatibility/2006">
          <mc:Choice Requires="x14">
            <control shapeId="2226" r:id="rId179" name="Button 178">
              <controlPr defaultSize="0" print="0" autoFill="0" autoPict="0" macro="[0]!Module1.InsertFotoDiCellAktif">
                <anchor moveWithCells="1" sizeWithCells="1">
                  <from>
                    <xdr:col>1</xdr:col>
                    <xdr:colOff>38100</xdr:colOff>
                    <xdr:row>1104</xdr:row>
                    <xdr:rowOff>38100</xdr:rowOff>
                  </from>
                  <to>
                    <xdr:col>1</xdr:col>
                    <xdr:colOff>177800</xdr:colOff>
                    <xdr:row>1105</xdr:row>
                    <xdr:rowOff>0</xdr:rowOff>
                  </to>
                </anchor>
              </controlPr>
            </control>
          </mc:Choice>
        </mc:AlternateContent>
        <mc:AlternateContent xmlns:mc="http://schemas.openxmlformats.org/markup-compatibility/2006">
          <mc:Choice Requires="x14">
            <control shapeId="2227" r:id="rId180" name="Button 179">
              <controlPr defaultSize="0" print="0" autoFill="0" autoPict="0" macro="[0]!Module1.InsertFotoDiCellAktif">
                <anchor moveWithCells="1" sizeWithCells="1">
                  <from>
                    <xdr:col>5</xdr:col>
                    <xdr:colOff>38100</xdr:colOff>
                    <xdr:row>1104</xdr:row>
                    <xdr:rowOff>38100</xdr:rowOff>
                  </from>
                  <to>
                    <xdr:col>5</xdr:col>
                    <xdr:colOff>177800</xdr:colOff>
                    <xdr:row>1105</xdr:row>
                    <xdr:rowOff>0</xdr:rowOff>
                  </to>
                </anchor>
              </controlPr>
            </control>
          </mc:Choice>
        </mc:AlternateContent>
        <mc:AlternateContent xmlns:mc="http://schemas.openxmlformats.org/markup-compatibility/2006">
          <mc:Choice Requires="x14">
            <control shapeId="2228" r:id="rId181" name="Button 180">
              <controlPr defaultSize="0" print="0" autoFill="0" autoPict="0" macro="[0]!Module1.InsertFotoDiCellAktif">
                <anchor moveWithCells="1" sizeWithCells="1">
                  <from>
                    <xdr:col>9</xdr:col>
                    <xdr:colOff>38100</xdr:colOff>
                    <xdr:row>1104</xdr:row>
                    <xdr:rowOff>38100</xdr:rowOff>
                  </from>
                  <to>
                    <xdr:col>9</xdr:col>
                    <xdr:colOff>177800</xdr:colOff>
                    <xdr:row>1105</xdr:row>
                    <xdr:rowOff>0</xdr:rowOff>
                  </to>
                </anchor>
              </controlPr>
            </control>
          </mc:Choice>
        </mc:AlternateContent>
        <mc:AlternateContent xmlns:mc="http://schemas.openxmlformats.org/markup-compatibility/2006">
          <mc:Choice Requires="x14">
            <control shapeId="2229" r:id="rId182" name="Button 181">
              <controlPr defaultSize="0" print="0" autoFill="0" autoPict="0" macro="[0]!Module1.InsertFotoDiCellAktif">
                <anchor moveWithCells="1" sizeWithCells="1">
                  <from>
                    <xdr:col>15</xdr:col>
                    <xdr:colOff>381000</xdr:colOff>
                    <xdr:row>1086</xdr:row>
                    <xdr:rowOff>25400</xdr:rowOff>
                  </from>
                  <to>
                    <xdr:col>16</xdr:col>
                    <xdr:colOff>0</xdr:colOff>
                    <xdr:row>1086</xdr:row>
                    <xdr:rowOff>177800</xdr:rowOff>
                  </to>
                </anchor>
              </controlPr>
            </control>
          </mc:Choice>
        </mc:AlternateContent>
        <mc:AlternateContent xmlns:mc="http://schemas.openxmlformats.org/markup-compatibility/2006">
          <mc:Choice Requires="x14">
            <control shapeId="2230" r:id="rId183" name="Button 182">
              <controlPr defaultSize="0" print="0" autoFill="0" autoPict="0" macro="[0]!Module1.InsertFotoDiCellAktif">
                <anchor moveWithCells="1" sizeWithCells="1">
                  <from>
                    <xdr:col>1</xdr:col>
                    <xdr:colOff>38100</xdr:colOff>
                    <xdr:row>1149</xdr:row>
                    <xdr:rowOff>38100</xdr:rowOff>
                  </from>
                  <to>
                    <xdr:col>1</xdr:col>
                    <xdr:colOff>177800</xdr:colOff>
                    <xdr:row>1149</xdr:row>
                    <xdr:rowOff>190500</xdr:rowOff>
                  </to>
                </anchor>
              </controlPr>
            </control>
          </mc:Choice>
        </mc:AlternateContent>
        <mc:AlternateContent xmlns:mc="http://schemas.openxmlformats.org/markup-compatibility/2006">
          <mc:Choice Requires="x14">
            <control shapeId="2231" r:id="rId184" name="Button 183">
              <controlPr defaultSize="0" print="0" autoFill="0" autoPict="0" macro="[0]!Module1.InsertFotoDiCellAktif">
                <anchor moveWithCells="1" sizeWithCells="1">
                  <from>
                    <xdr:col>5</xdr:col>
                    <xdr:colOff>38100</xdr:colOff>
                    <xdr:row>1149</xdr:row>
                    <xdr:rowOff>38100</xdr:rowOff>
                  </from>
                  <to>
                    <xdr:col>5</xdr:col>
                    <xdr:colOff>177800</xdr:colOff>
                    <xdr:row>1150</xdr:row>
                    <xdr:rowOff>0</xdr:rowOff>
                  </to>
                </anchor>
              </controlPr>
            </control>
          </mc:Choice>
        </mc:AlternateContent>
        <mc:AlternateContent xmlns:mc="http://schemas.openxmlformats.org/markup-compatibility/2006">
          <mc:Choice Requires="x14">
            <control shapeId="2232" r:id="rId185" name="Button 184">
              <controlPr defaultSize="0" print="0" autoFill="0" autoPict="0" macro="[0]!Module1.InsertFotoDiCellAktif">
                <anchor moveWithCells="1" sizeWithCells="1">
                  <from>
                    <xdr:col>5</xdr:col>
                    <xdr:colOff>38100</xdr:colOff>
                    <xdr:row>1149</xdr:row>
                    <xdr:rowOff>38100</xdr:rowOff>
                  </from>
                  <to>
                    <xdr:col>5</xdr:col>
                    <xdr:colOff>177800</xdr:colOff>
                    <xdr:row>1150</xdr:row>
                    <xdr:rowOff>0</xdr:rowOff>
                  </to>
                </anchor>
              </controlPr>
            </control>
          </mc:Choice>
        </mc:AlternateContent>
        <mc:AlternateContent xmlns:mc="http://schemas.openxmlformats.org/markup-compatibility/2006">
          <mc:Choice Requires="x14">
            <control shapeId="2233" r:id="rId186" name="Button 185">
              <controlPr defaultSize="0" print="0" autoFill="0" autoPict="0" macro="[0]!Module1.InsertFotoDiCellAktif">
                <anchor moveWithCells="1" sizeWithCells="1">
                  <from>
                    <xdr:col>9</xdr:col>
                    <xdr:colOff>38100</xdr:colOff>
                    <xdr:row>1149</xdr:row>
                    <xdr:rowOff>38100</xdr:rowOff>
                  </from>
                  <to>
                    <xdr:col>9</xdr:col>
                    <xdr:colOff>177800</xdr:colOff>
                    <xdr:row>1150</xdr:row>
                    <xdr:rowOff>0</xdr:rowOff>
                  </to>
                </anchor>
              </controlPr>
            </control>
          </mc:Choice>
        </mc:AlternateContent>
        <mc:AlternateContent xmlns:mc="http://schemas.openxmlformats.org/markup-compatibility/2006">
          <mc:Choice Requires="x14">
            <control shapeId="2234" r:id="rId187" name="Button 186">
              <controlPr defaultSize="0" print="0" autoFill="0" autoPict="0" macro="[0]!Module1.InsertFotoDiCellAktif">
                <anchor moveWithCells="1" sizeWithCells="1">
                  <from>
                    <xdr:col>1</xdr:col>
                    <xdr:colOff>38100</xdr:colOff>
                    <xdr:row>1157</xdr:row>
                    <xdr:rowOff>38100</xdr:rowOff>
                  </from>
                  <to>
                    <xdr:col>1</xdr:col>
                    <xdr:colOff>177800</xdr:colOff>
                    <xdr:row>1158</xdr:row>
                    <xdr:rowOff>0</xdr:rowOff>
                  </to>
                </anchor>
              </controlPr>
            </control>
          </mc:Choice>
        </mc:AlternateContent>
        <mc:AlternateContent xmlns:mc="http://schemas.openxmlformats.org/markup-compatibility/2006">
          <mc:Choice Requires="x14">
            <control shapeId="2235" r:id="rId188" name="Button 187">
              <controlPr defaultSize="0" print="0" autoFill="0" autoPict="0" macro="[0]!Module1.InsertFotoDiCellAktif">
                <anchor moveWithCells="1" sizeWithCells="1">
                  <from>
                    <xdr:col>7</xdr:col>
                    <xdr:colOff>38100</xdr:colOff>
                    <xdr:row>1157</xdr:row>
                    <xdr:rowOff>38100</xdr:rowOff>
                  </from>
                  <to>
                    <xdr:col>7</xdr:col>
                    <xdr:colOff>177800</xdr:colOff>
                    <xdr:row>1158</xdr:row>
                    <xdr:rowOff>0</xdr:rowOff>
                  </to>
                </anchor>
              </controlPr>
            </control>
          </mc:Choice>
        </mc:AlternateContent>
        <mc:AlternateContent xmlns:mc="http://schemas.openxmlformats.org/markup-compatibility/2006">
          <mc:Choice Requires="x14">
            <control shapeId="2236" r:id="rId189" name="Button 188">
              <controlPr defaultSize="0" print="0" autoFill="0" autoPict="0" macro="[0]!Module1.InsertFotoDiCellAktif">
                <anchor moveWithCells="1" sizeWithCells="1">
                  <from>
                    <xdr:col>1</xdr:col>
                    <xdr:colOff>38100</xdr:colOff>
                    <xdr:row>1167</xdr:row>
                    <xdr:rowOff>38100</xdr:rowOff>
                  </from>
                  <to>
                    <xdr:col>1</xdr:col>
                    <xdr:colOff>177800</xdr:colOff>
                    <xdr:row>1168</xdr:row>
                    <xdr:rowOff>0</xdr:rowOff>
                  </to>
                </anchor>
              </controlPr>
            </control>
          </mc:Choice>
        </mc:AlternateContent>
        <mc:AlternateContent xmlns:mc="http://schemas.openxmlformats.org/markup-compatibility/2006">
          <mc:Choice Requires="x14">
            <control shapeId="2237" r:id="rId190" name="Button 189">
              <controlPr defaultSize="0" print="0" autoFill="0" autoPict="0" macro="[0]!Module1.InsertFotoDiCellAktif">
                <anchor moveWithCells="1" sizeWithCells="1">
                  <from>
                    <xdr:col>5</xdr:col>
                    <xdr:colOff>38100</xdr:colOff>
                    <xdr:row>1167</xdr:row>
                    <xdr:rowOff>38100</xdr:rowOff>
                  </from>
                  <to>
                    <xdr:col>5</xdr:col>
                    <xdr:colOff>177800</xdr:colOff>
                    <xdr:row>1168</xdr:row>
                    <xdr:rowOff>0</xdr:rowOff>
                  </to>
                </anchor>
              </controlPr>
            </control>
          </mc:Choice>
        </mc:AlternateContent>
        <mc:AlternateContent xmlns:mc="http://schemas.openxmlformats.org/markup-compatibility/2006">
          <mc:Choice Requires="x14">
            <control shapeId="2238" r:id="rId191" name="Button 190">
              <controlPr defaultSize="0" print="0" autoFill="0" autoPict="0" macro="[0]!Module1.InsertFotoDiCellAktif">
                <anchor moveWithCells="1" sizeWithCells="1">
                  <from>
                    <xdr:col>9</xdr:col>
                    <xdr:colOff>38100</xdr:colOff>
                    <xdr:row>1167</xdr:row>
                    <xdr:rowOff>38100</xdr:rowOff>
                  </from>
                  <to>
                    <xdr:col>9</xdr:col>
                    <xdr:colOff>177800</xdr:colOff>
                    <xdr:row>1168</xdr:row>
                    <xdr:rowOff>0</xdr:rowOff>
                  </to>
                </anchor>
              </controlPr>
            </control>
          </mc:Choice>
        </mc:AlternateContent>
        <mc:AlternateContent xmlns:mc="http://schemas.openxmlformats.org/markup-compatibility/2006">
          <mc:Choice Requires="x14">
            <control shapeId="2239" r:id="rId192" name="Button 191">
              <controlPr defaultSize="0" print="0" autoFill="0" autoPict="0" macro="[0]!Module1.InsertFotoDiCellAktif">
                <anchor moveWithCells="1" sizeWithCells="1">
                  <from>
                    <xdr:col>15</xdr:col>
                    <xdr:colOff>381000</xdr:colOff>
                    <xdr:row>1149</xdr:row>
                    <xdr:rowOff>25400</xdr:rowOff>
                  </from>
                  <to>
                    <xdr:col>16</xdr:col>
                    <xdr:colOff>0</xdr:colOff>
                    <xdr:row>1149</xdr:row>
                    <xdr:rowOff>177800</xdr:rowOff>
                  </to>
                </anchor>
              </controlPr>
            </control>
          </mc:Choice>
        </mc:AlternateContent>
        <mc:AlternateContent xmlns:mc="http://schemas.openxmlformats.org/markup-compatibility/2006">
          <mc:Choice Requires="x14">
            <control shapeId="2240" r:id="rId193" name="Button 192">
              <controlPr defaultSize="0" print="0" autoFill="0" autoPict="0" macro="[0]!Module1.InsertFotoDiCellAktif">
                <anchor moveWithCells="1" sizeWithCells="1">
                  <from>
                    <xdr:col>1</xdr:col>
                    <xdr:colOff>38100</xdr:colOff>
                    <xdr:row>1212</xdr:row>
                    <xdr:rowOff>38100</xdr:rowOff>
                  </from>
                  <to>
                    <xdr:col>1</xdr:col>
                    <xdr:colOff>177800</xdr:colOff>
                    <xdr:row>1212</xdr:row>
                    <xdr:rowOff>190500</xdr:rowOff>
                  </to>
                </anchor>
              </controlPr>
            </control>
          </mc:Choice>
        </mc:AlternateContent>
        <mc:AlternateContent xmlns:mc="http://schemas.openxmlformats.org/markup-compatibility/2006">
          <mc:Choice Requires="x14">
            <control shapeId="2241" r:id="rId194" name="Button 193">
              <controlPr defaultSize="0" print="0" autoFill="0" autoPict="0" macro="[0]!Module1.InsertFotoDiCellAktif">
                <anchor moveWithCells="1" sizeWithCells="1">
                  <from>
                    <xdr:col>5</xdr:col>
                    <xdr:colOff>38100</xdr:colOff>
                    <xdr:row>1212</xdr:row>
                    <xdr:rowOff>38100</xdr:rowOff>
                  </from>
                  <to>
                    <xdr:col>5</xdr:col>
                    <xdr:colOff>177800</xdr:colOff>
                    <xdr:row>1213</xdr:row>
                    <xdr:rowOff>0</xdr:rowOff>
                  </to>
                </anchor>
              </controlPr>
            </control>
          </mc:Choice>
        </mc:AlternateContent>
        <mc:AlternateContent xmlns:mc="http://schemas.openxmlformats.org/markup-compatibility/2006">
          <mc:Choice Requires="x14">
            <control shapeId="2242" r:id="rId195" name="Button 194">
              <controlPr defaultSize="0" print="0" autoFill="0" autoPict="0" macro="[0]!Module1.InsertFotoDiCellAktif">
                <anchor moveWithCells="1" sizeWithCells="1">
                  <from>
                    <xdr:col>5</xdr:col>
                    <xdr:colOff>38100</xdr:colOff>
                    <xdr:row>1212</xdr:row>
                    <xdr:rowOff>38100</xdr:rowOff>
                  </from>
                  <to>
                    <xdr:col>5</xdr:col>
                    <xdr:colOff>177800</xdr:colOff>
                    <xdr:row>1213</xdr:row>
                    <xdr:rowOff>0</xdr:rowOff>
                  </to>
                </anchor>
              </controlPr>
            </control>
          </mc:Choice>
        </mc:AlternateContent>
        <mc:AlternateContent xmlns:mc="http://schemas.openxmlformats.org/markup-compatibility/2006">
          <mc:Choice Requires="x14">
            <control shapeId="2243" r:id="rId196" name="Button 195">
              <controlPr defaultSize="0" print="0" autoFill="0" autoPict="0" macro="[0]!Module1.InsertFotoDiCellAktif">
                <anchor moveWithCells="1" sizeWithCells="1">
                  <from>
                    <xdr:col>9</xdr:col>
                    <xdr:colOff>38100</xdr:colOff>
                    <xdr:row>1212</xdr:row>
                    <xdr:rowOff>38100</xdr:rowOff>
                  </from>
                  <to>
                    <xdr:col>9</xdr:col>
                    <xdr:colOff>177800</xdr:colOff>
                    <xdr:row>1213</xdr:row>
                    <xdr:rowOff>0</xdr:rowOff>
                  </to>
                </anchor>
              </controlPr>
            </control>
          </mc:Choice>
        </mc:AlternateContent>
        <mc:AlternateContent xmlns:mc="http://schemas.openxmlformats.org/markup-compatibility/2006">
          <mc:Choice Requires="x14">
            <control shapeId="2244" r:id="rId197" name="Button 196">
              <controlPr defaultSize="0" print="0" autoFill="0" autoPict="0" macro="[0]!Module1.InsertFotoDiCellAktif">
                <anchor moveWithCells="1" sizeWithCells="1">
                  <from>
                    <xdr:col>1</xdr:col>
                    <xdr:colOff>38100</xdr:colOff>
                    <xdr:row>1220</xdr:row>
                    <xdr:rowOff>38100</xdr:rowOff>
                  </from>
                  <to>
                    <xdr:col>1</xdr:col>
                    <xdr:colOff>177800</xdr:colOff>
                    <xdr:row>1221</xdr:row>
                    <xdr:rowOff>0</xdr:rowOff>
                  </to>
                </anchor>
              </controlPr>
            </control>
          </mc:Choice>
        </mc:AlternateContent>
        <mc:AlternateContent xmlns:mc="http://schemas.openxmlformats.org/markup-compatibility/2006">
          <mc:Choice Requires="x14">
            <control shapeId="2245" r:id="rId198" name="Button 197">
              <controlPr defaultSize="0" print="0" autoFill="0" autoPict="0" macro="[0]!Module1.InsertFotoDiCellAktif">
                <anchor moveWithCells="1" sizeWithCells="1">
                  <from>
                    <xdr:col>7</xdr:col>
                    <xdr:colOff>38100</xdr:colOff>
                    <xdr:row>1220</xdr:row>
                    <xdr:rowOff>38100</xdr:rowOff>
                  </from>
                  <to>
                    <xdr:col>7</xdr:col>
                    <xdr:colOff>177800</xdr:colOff>
                    <xdr:row>1221</xdr:row>
                    <xdr:rowOff>0</xdr:rowOff>
                  </to>
                </anchor>
              </controlPr>
            </control>
          </mc:Choice>
        </mc:AlternateContent>
        <mc:AlternateContent xmlns:mc="http://schemas.openxmlformats.org/markup-compatibility/2006">
          <mc:Choice Requires="x14">
            <control shapeId="2246" r:id="rId199" name="Button 198">
              <controlPr defaultSize="0" print="0" autoFill="0" autoPict="0" macro="[0]!Module1.InsertFotoDiCellAktif">
                <anchor moveWithCells="1" sizeWithCells="1">
                  <from>
                    <xdr:col>1</xdr:col>
                    <xdr:colOff>38100</xdr:colOff>
                    <xdr:row>1230</xdr:row>
                    <xdr:rowOff>38100</xdr:rowOff>
                  </from>
                  <to>
                    <xdr:col>1</xdr:col>
                    <xdr:colOff>177800</xdr:colOff>
                    <xdr:row>1231</xdr:row>
                    <xdr:rowOff>0</xdr:rowOff>
                  </to>
                </anchor>
              </controlPr>
            </control>
          </mc:Choice>
        </mc:AlternateContent>
        <mc:AlternateContent xmlns:mc="http://schemas.openxmlformats.org/markup-compatibility/2006">
          <mc:Choice Requires="x14">
            <control shapeId="2247" r:id="rId200" name="Button 199">
              <controlPr defaultSize="0" print="0" autoFill="0" autoPict="0" macro="[0]!Module1.InsertFotoDiCellAktif">
                <anchor moveWithCells="1" sizeWithCells="1">
                  <from>
                    <xdr:col>5</xdr:col>
                    <xdr:colOff>38100</xdr:colOff>
                    <xdr:row>1230</xdr:row>
                    <xdr:rowOff>38100</xdr:rowOff>
                  </from>
                  <to>
                    <xdr:col>5</xdr:col>
                    <xdr:colOff>177800</xdr:colOff>
                    <xdr:row>1231</xdr:row>
                    <xdr:rowOff>0</xdr:rowOff>
                  </to>
                </anchor>
              </controlPr>
            </control>
          </mc:Choice>
        </mc:AlternateContent>
        <mc:AlternateContent xmlns:mc="http://schemas.openxmlformats.org/markup-compatibility/2006">
          <mc:Choice Requires="x14">
            <control shapeId="2248" r:id="rId201" name="Button 200">
              <controlPr defaultSize="0" print="0" autoFill="0" autoPict="0" macro="[0]!Module1.InsertFotoDiCellAktif">
                <anchor moveWithCells="1" sizeWithCells="1">
                  <from>
                    <xdr:col>9</xdr:col>
                    <xdr:colOff>38100</xdr:colOff>
                    <xdr:row>1230</xdr:row>
                    <xdr:rowOff>38100</xdr:rowOff>
                  </from>
                  <to>
                    <xdr:col>9</xdr:col>
                    <xdr:colOff>177800</xdr:colOff>
                    <xdr:row>1231</xdr:row>
                    <xdr:rowOff>0</xdr:rowOff>
                  </to>
                </anchor>
              </controlPr>
            </control>
          </mc:Choice>
        </mc:AlternateContent>
        <mc:AlternateContent xmlns:mc="http://schemas.openxmlformats.org/markup-compatibility/2006">
          <mc:Choice Requires="x14">
            <control shapeId="2249" r:id="rId202" name="Button 201">
              <controlPr defaultSize="0" print="0" autoFill="0" autoPict="0" macro="[0]!Module1.InsertFotoDiCellAktif">
                <anchor moveWithCells="1" sizeWithCells="1">
                  <from>
                    <xdr:col>15</xdr:col>
                    <xdr:colOff>381000</xdr:colOff>
                    <xdr:row>1212</xdr:row>
                    <xdr:rowOff>25400</xdr:rowOff>
                  </from>
                  <to>
                    <xdr:col>16</xdr:col>
                    <xdr:colOff>0</xdr:colOff>
                    <xdr:row>1212</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94F29-CFA7-5A44-AE48-6968937A8F68}">
  <sheetPr codeName="Sheet4">
    <tabColor theme="7" tint="0.59999389629810485"/>
  </sheetPr>
  <dimension ref="A1:Y1160"/>
  <sheetViews>
    <sheetView view="pageBreakPreview" topLeftCell="A996" zoomScale="75" zoomScaleNormal="100" workbookViewId="0">
      <selection activeCell="J530" sqref="J530"/>
    </sheetView>
  </sheetViews>
  <sheetFormatPr baseColWidth="10" defaultColWidth="10.83203125" defaultRowHeight="15" x14ac:dyDescent="0.2"/>
  <cols>
    <col min="1" max="16" width="7.83203125" style="22" customWidth="1"/>
    <col min="17" max="25" width="10.83203125" style="22"/>
    <col min="26" max="16384" width="10.83203125" style="21"/>
  </cols>
  <sheetData>
    <row r="1" spans="1:25" x14ac:dyDescent="0.2">
      <c r="A1" s="86" t="s">
        <v>149</v>
      </c>
      <c r="B1" s="86"/>
      <c r="C1" s="86"/>
      <c r="D1" s="86"/>
      <c r="E1" s="86"/>
      <c r="F1" s="86"/>
      <c r="G1" s="86"/>
      <c r="H1" s="86"/>
      <c r="I1" s="86"/>
      <c r="J1" s="86"/>
      <c r="K1" s="86"/>
      <c r="L1" s="86"/>
      <c r="M1" s="86"/>
      <c r="N1" s="86"/>
      <c r="O1" s="86"/>
      <c r="P1" s="86"/>
      <c r="Q1" s="23">
        <v>1</v>
      </c>
      <c r="R1" s="23"/>
      <c r="S1" s="23"/>
      <c r="T1" s="23"/>
      <c r="U1" s="23"/>
      <c r="V1" s="23"/>
      <c r="W1" s="23"/>
      <c r="X1" s="23"/>
      <c r="Y1" s="23"/>
    </row>
    <row r="2" spans="1:25" x14ac:dyDescent="0.2">
      <c r="A2" s="71" t="s">
        <v>148</v>
      </c>
      <c r="B2" s="71"/>
      <c r="C2" s="71"/>
      <c r="D2" s="71"/>
      <c r="E2" s="71"/>
      <c r="F2" s="71"/>
      <c r="G2" s="71"/>
      <c r="H2" s="71"/>
      <c r="I2" s="71"/>
      <c r="J2" s="71"/>
      <c r="K2" s="71"/>
      <c r="L2" s="71"/>
      <c r="M2" s="71"/>
      <c r="N2" s="71"/>
      <c r="O2" s="71"/>
      <c r="P2" s="71"/>
      <c r="Q2" s="23"/>
      <c r="R2" s="23"/>
      <c r="S2" s="23"/>
      <c r="T2" s="23"/>
      <c r="U2" s="23"/>
      <c r="V2" s="23"/>
      <c r="W2" s="23"/>
      <c r="X2" s="23"/>
      <c r="Y2" s="23"/>
    </row>
    <row r="3" spans="1:25" x14ac:dyDescent="0.2">
      <c r="A3" s="25"/>
      <c r="B3" s="25"/>
      <c r="C3" s="25"/>
      <c r="D3" s="25"/>
      <c r="E3" s="25"/>
      <c r="F3" s="25"/>
      <c r="G3" s="25"/>
      <c r="H3" s="25"/>
      <c r="I3" s="23"/>
      <c r="J3" s="24"/>
      <c r="K3" s="24"/>
      <c r="L3" s="24"/>
      <c r="M3" s="24"/>
      <c r="N3" s="24"/>
      <c r="O3" s="24"/>
      <c r="P3" s="24"/>
      <c r="Q3" s="23"/>
      <c r="R3" s="23"/>
      <c r="S3" s="23"/>
      <c r="T3" s="23"/>
      <c r="U3" s="23"/>
      <c r="V3" s="23"/>
      <c r="W3" s="23"/>
      <c r="X3" s="23"/>
      <c r="Y3" s="23"/>
    </row>
    <row r="4" spans="1:25" x14ac:dyDescent="0.2">
      <c r="A4" s="73" t="s">
        <v>147</v>
      </c>
      <c r="B4" s="73"/>
      <c r="C4" s="73"/>
      <c r="D4" s="73"/>
      <c r="E4" s="35" t="str">
        <f>VLOOKUP(Q1,[94]Base_02!$A$5:$AD$24,2,0)</f>
        <v>000001</v>
      </c>
      <c r="F4" s="23"/>
      <c r="G4" s="23"/>
      <c r="H4" s="24"/>
      <c r="I4" s="23"/>
      <c r="J4" s="24"/>
      <c r="K4" s="24"/>
      <c r="L4" s="24"/>
      <c r="M4" s="24"/>
      <c r="N4" s="24"/>
      <c r="O4" s="24"/>
      <c r="P4" s="24"/>
      <c r="Q4" s="23"/>
      <c r="R4" s="23"/>
      <c r="S4" s="23"/>
      <c r="T4" s="23"/>
      <c r="U4" s="23"/>
      <c r="V4" s="23"/>
      <c r="W4" s="23"/>
      <c r="X4" s="23"/>
      <c r="Y4" s="23"/>
    </row>
    <row r="5" spans="1:25" x14ac:dyDescent="0.2">
      <c r="A5" s="73" t="s">
        <v>68</v>
      </c>
      <c r="B5" s="73"/>
      <c r="C5" s="73"/>
      <c r="D5" s="73"/>
      <c r="E5" s="35" t="str">
        <f>VLOOKUP(Q1,[94]Base_02!$A$5:$AD$24,14,0)</f>
        <v>3310080902970001</v>
      </c>
      <c r="F5" s="23"/>
      <c r="G5" s="23"/>
      <c r="H5" s="24"/>
      <c r="I5" s="23"/>
      <c r="J5" s="24"/>
      <c r="K5" s="24"/>
      <c r="L5" s="24"/>
      <c r="M5" s="24"/>
      <c r="N5" s="24"/>
      <c r="O5" s="24"/>
      <c r="P5" s="24"/>
      <c r="Q5" s="23"/>
      <c r="R5" s="23"/>
      <c r="S5" s="23"/>
      <c r="T5" s="23"/>
      <c r="U5" s="23"/>
      <c r="V5" s="23"/>
      <c r="W5" s="23"/>
      <c r="X5" s="23"/>
      <c r="Y5" s="23"/>
    </row>
    <row r="6" spans="1:25" x14ac:dyDescent="0.2">
      <c r="A6" s="73" t="s">
        <v>150</v>
      </c>
      <c r="B6" s="73"/>
      <c r="C6" s="73"/>
      <c r="D6" s="73"/>
      <c r="E6" s="35" t="str">
        <f>VLOOKUP(Q1,[94]Base_02!$A$5:$AD$24,3,0)</f>
        <v>Nama PB 1</v>
      </c>
      <c r="F6" s="23"/>
      <c r="G6" s="23"/>
      <c r="H6" s="24"/>
      <c r="I6" s="23"/>
      <c r="J6" s="24"/>
      <c r="K6" s="24"/>
      <c r="L6" s="24"/>
      <c r="M6" s="24"/>
      <c r="N6" s="24"/>
      <c r="O6" s="24"/>
      <c r="P6" s="24"/>
      <c r="Q6" s="23"/>
      <c r="R6" s="23"/>
      <c r="S6" s="23"/>
      <c r="T6" s="23"/>
      <c r="U6" s="23"/>
      <c r="V6" s="23"/>
      <c r="W6" s="23"/>
      <c r="X6" s="23"/>
      <c r="Y6" s="23"/>
    </row>
    <row r="7" spans="1:25" x14ac:dyDescent="0.2">
      <c r="A7" s="73" t="s">
        <v>18</v>
      </c>
      <c r="B7" s="73"/>
      <c r="C7" s="73"/>
      <c r="D7" s="73"/>
      <c r="E7" s="35" t="str">
        <f>VLOOKUP(Q1,[94]Base_02!$A$5:$Z$24,11,FALSE)&amp;", RT "&amp;VLOOKUP(Q1,[94]Base_02!$A$5:$Z$24,12,FALSE)&amp;", RW "&amp;VLOOKUP(Q1,[94]Base_02!$A$5:$Z$24,13,FALSE)</f>
        <v>Jalan Kanal Victory, RT 1, RW 1</v>
      </c>
      <c r="F7" s="23"/>
      <c r="G7" s="23"/>
      <c r="H7" s="35"/>
      <c r="I7" s="23"/>
      <c r="J7" s="24"/>
      <c r="K7" s="24"/>
      <c r="L7" s="24"/>
      <c r="M7" s="24"/>
      <c r="N7" s="24"/>
      <c r="O7" s="24"/>
      <c r="P7" s="24"/>
      <c r="Q7" s="23"/>
      <c r="R7" s="23"/>
      <c r="S7" s="23"/>
      <c r="T7" s="23"/>
      <c r="U7" s="23"/>
      <c r="V7" s="23"/>
      <c r="W7" s="23"/>
      <c r="X7" s="23"/>
      <c r="Y7" s="23"/>
    </row>
    <row r="8" spans="1:25" x14ac:dyDescent="0.2">
      <c r="A8" s="73" t="str">
        <f>[94]Base_01!$B$2</f>
        <v>Kelurahan</v>
      </c>
      <c r="B8" s="73"/>
      <c r="C8" s="73"/>
      <c r="D8" s="73"/>
      <c r="E8" s="35" t="str">
        <f>[94]Base_01!$C$2</f>
        <v>Klasabi</v>
      </c>
      <c r="F8" s="23"/>
      <c r="G8" s="23"/>
      <c r="H8" s="24"/>
      <c r="I8" s="23"/>
      <c r="J8" s="24"/>
      <c r="K8" s="24"/>
      <c r="L8" s="24"/>
      <c r="M8" s="24"/>
      <c r="N8" s="24"/>
      <c r="O8" s="24"/>
      <c r="P8" s="24"/>
      <c r="Q8" s="23" t="s">
        <v>146</v>
      </c>
      <c r="R8" s="23"/>
      <c r="S8" s="23"/>
      <c r="T8" s="23"/>
      <c r="U8" s="23"/>
      <c r="V8" s="23"/>
      <c r="W8" s="23"/>
      <c r="X8" s="23"/>
      <c r="Y8" s="23"/>
    </row>
    <row r="9" spans="1:25" x14ac:dyDescent="0.2">
      <c r="A9" s="73" t="s">
        <v>19</v>
      </c>
      <c r="B9" s="73"/>
      <c r="C9" s="73"/>
      <c r="D9" s="73"/>
      <c r="E9" s="35" t="str">
        <f>[94]Base_01!$C$3</f>
        <v>Sorong Manoi</v>
      </c>
      <c r="F9" s="23"/>
      <c r="G9" s="23"/>
      <c r="H9" s="24"/>
      <c r="I9" s="23"/>
      <c r="J9" s="24"/>
      <c r="K9" s="24"/>
      <c r="L9" s="24"/>
      <c r="M9" s="24"/>
      <c r="N9" s="24"/>
      <c r="O9" s="24"/>
      <c r="P9" s="24"/>
      <c r="Q9" s="23" t="s">
        <v>145</v>
      </c>
      <c r="R9" s="23"/>
      <c r="S9" s="23"/>
      <c r="T9" s="23"/>
      <c r="U9" s="23"/>
      <c r="V9" s="23"/>
      <c r="W9" s="23"/>
      <c r="X9" s="23"/>
      <c r="Y9" s="23"/>
    </row>
    <row r="10" spans="1:25" x14ac:dyDescent="0.2">
      <c r="A10" s="73" t="str">
        <f>[94]Base_01!$B$4</f>
        <v>Kota</v>
      </c>
      <c r="B10" s="73"/>
      <c r="C10" s="73"/>
      <c r="D10" s="73"/>
      <c r="E10" s="35" t="str">
        <f>[94]Base_01!$C$4</f>
        <v>Sorong</v>
      </c>
      <c r="F10" s="23"/>
      <c r="G10" s="23"/>
      <c r="H10" s="24"/>
      <c r="I10" s="23"/>
      <c r="J10" s="24"/>
      <c r="K10" s="24"/>
      <c r="L10" s="24"/>
      <c r="M10" s="24"/>
      <c r="N10" s="24"/>
      <c r="O10" s="24"/>
      <c r="P10" s="24"/>
      <c r="Q10" s="23" t="s">
        <v>144</v>
      </c>
      <c r="R10" s="23"/>
      <c r="S10" s="23"/>
      <c r="T10" s="23"/>
      <c r="U10" s="23"/>
      <c r="V10" s="23"/>
      <c r="W10" s="23"/>
      <c r="X10" s="23"/>
      <c r="Y10" s="23"/>
    </row>
    <row r="11" spans="1:25" x14ac:dyDescent="0.2">
      <c r="A11" s="73" t="str">
        <f>[94]Base_01!$B$5</f>
        <v>Provinsi</v>
      </c>
      <c r="B11" s="73"/>
      <c r="C11" s="73"/>
      <c r="D11" s="73"/>
      <c r="E11" s="23" t="str">
        <f>[94]Base_01!$C$5</f>
        <v>Papua Barat Daya</v>
      </c>
      <c r="F11" s="23"/>
      <c r="G11" s="24"/>
      <c r="H11" s="24"/>
      <c r="I11" s="23"/>
      <c r="J11" s="24"/>
      <c r="K11" s="24"/>
      <c r="L11" s="24"/>
      <c r="M11" s="24"/>
      <c r="N11" s="24"/>
      <c r="O11" s="24"/>
      <c r="P11" s="24"/>
      <c r="Q11" s="23" t="s">
        <v>143</v>
      </c>
      <c r="R11" s="23"/>
      <c r="S11" s="23"/>
      <c r="T11" s="23"/>
      <c r="U11" s="23"/>
      <c r="V11" s="23"/>
      <c r="W11" s="23"/>
      <c r="X11" s="23"/>
      <c r="Y11" s="23"/>
    </row>
    <row r="12" spans="1:25" x14ac:dyDescent="0.2">
      <c r="A12" s="23"/>
      <c r="B12" s="23"/>
      <c r="C12" s="23"/>
      <c r="D12" s="23"/>
      <c r="E12" s="23"/>
      <c r="F12" s="23"/>
      <c r="G12" s="23"/>
      <c r="H12" s="23"/>
      <c r="I12" s="24"/>
      <c r="J12" s="24"/>
      <c r="K12" s="24"/>
      <c r="L12" s="24"/>
      <c r="M12" s="24"/>
      <c r="N12" s="24"/>
      <c r="O12" s="24"/>
      <c r="P12" s="24"/>
      <c r="Q12" s="23"/>
      <c r="R12" s="23"/>
      <c r="S12" s="23"/>
      <c r="T12" s="23"/>
      <c r="U12" s="23"/>
      <c r="V12" s="23"/>
      <c r="W12" s="23"/>
      <c r="X12" s="23"/>
      <c r="Y12" s="23"/>
    </row>
    <row r="13" spans="1:25" x14ac:dyDescent="0.2">
      <c r="A13" s="33"/>
      <c r="B13" s="33"/>
      <c r="C13" s="33"/>
      <c r="D13" s="33"/>
      <c r="E13" s="33"/>
      <c r="F13" s="33"/>
      <c r="G13" s="33"/>
      <c r="H13" s="33"/>
      <c r="I13" s="33"/>
      <c r="J13" s="33"/>
      <c r="K13" s="33"/>
      <c r="L13" s="33"/>
      <c r="M13" s="34"/>
      <c r="N13" s="33"/>
      <c r="O13" s="33"/>
      <c r="P13" s="33"/>
      <c r="Q13" s="23"/>
      <c r="R13" s="23"/>
      <c r="S13" s="23"/>
      <c r="T13" s="23"/>
      <c r="U13" s="23"/>
      <c r="V13" s="23"/>
      <c r="W13" s="23"/>
      <c r="X13" s="23"/>
      <c r="Y13" s="23"/>
    </row>
    <row r="14" spans="1:25" x14ac:dyDescent="0.2">
      <c r="A14" s="80" t="s">
        <v>142</v>
      </c>
      <c r="B14" s="81"/>
      <c r="C14" s="81"/>
      <c r="D14" s="81"/>
      <c r="E14" s="81"/>
      <c r="F14" s="81"/>
      <c r="G14" s="81"/>
      <c r="H14" s="81"/>
      <c r="I14" s="80" t="s">
        <v>151</v>
      </c>
      <c r="J14" s="81"/>
      <c r="K14" s="81"/>
      <c r="L14" s="81"/>
      <c r="M14" s="81"/>
      <c r="N14" s="81"/>
      <c r="O14" s="81"/>
      <c r="P14" s="82"/>
      <c r="Q14" s="23"/>
      <c r="R14" s="23"/>
      <c r="S14" s="23"/>
      <c r="T14" s="23"/>
      <c r="U14" s="23"/>
      <c r="V14" s="21"/>
      <c r="W14" s="21"/>
      <c r="X14" s="21"/>
      <c r="Y14" s="21"/>
    </row>
    <row r="15" spans="1:25" x14ac:dyDescent="0.2">
      <c r="A15" s="48"/>
      <c r="B15" s="49"/>
      <c r="C15" s="49"/>
      <c r="D15" s="50"/>
      <c r="E15" s="50"/>
      <c r="F15" s="49"/>
      <c r="G15" s="49"/>
      <c r="H15" s="49"/>
      <c r="I15" s="48"/>
      <c r="J15" s="49"/>
      <c r="K15" s="49"/>
      <c r="L15" s="50"/>
      <c r="M15" s="50"/>
      <c r="N15" s="49"/>
      <c r="O15" s="49"/>
      <c r="P15" s="51"/>
      <c r="Q15" s="23"/>
      <c r="R15" s="23"/>
      <c r="S15" s="23"/>
      <c r="T15" s="23"/>
      <c r="U15" s="23"/>
      <c r="V15" s="21"/>
      <c r="W15" s="21"/>
      <c r="X15" s="21"/>
      <c r="Y15" s="21"/>
    </row>
    <row r="16" spans="1:25" ht="16" x14ac:dyDescent="0.2">
      <c r="A16" s="36" t="s">
        <v>141</v>
      </c>
      <c r="B16" s="23"/>
      <c r="C16" s="26" t="s">
        <v>112</v>
      </c>
      <c r="D16" s="83">
        <f>VLOOKUP(Q1,[95]Base_03!$A$5:$AS$24,5,0)</f>
        <v>36</v>
      </c>
      <c r="E16" s="84"/>
      <c r="F16" s="23" t="s">
        <v>140</v>
      </c>
      <c r="G16" s="23"/>
      <c r="H16" s="23"/>
      <c r="I16" s="36" t="s">
        <v>141</v>
      </c>
      <c r="J16" s="26"/>
      <c r="K16" s="26" t="s">
        <v>119</v>
      </c>
      <c r="L16" s="85">
        <f>VLOOKUP(Q1,[95]Base_04!$A$5:$AS$24,5,0)</f>
        <v>49</v>
      </c>
      <c r="M16" s="85"/>
      <c r="N16" s="30" t="s">
        <v>140</v>
      </c>
      <c r="O16" s="23"/>
      <c r="P16" s="37"/>
      <c r="Q16" s="23"/>
      <c r="R16" s="23"/>
      <c r="S16" s="23"/>
      <c r="T16" s="23"/>
      <c r="U16" s="23"/>
      <c r="V16" s="21"/>
      <c r="W16" s="21"/>
      <c r="X16" s="21"/>
      <c r="Y16" s="21"/>
    </row>
    <row r="17" spans="1:25" ht="15" customHeight="1" x14ac:dyDescent="0.2">
      <c r="A17" s="38" t="s">
        <v>139</v>
      </c>
      <c r="B17" s="23"/>
      <c r="C17" s="26"/>
      <c r="D17" s="79" t="s">
        <v>131</v>
      </c>
      <c r="E17" s="79"/>
      <c r="F17" s="79" t="s">
        <v>130</v>
      </c>
      <c r="G17" s="79"/>
      <c r="H17" s="23"/>
      <c r="I17" s="38" t="s">
        <v>139</v>
      </c>
      <c r="J17" s="23"/>
      <c r="K17" s="26"/>
      <c r="L17" s="79" t="s">
        <v>131</v>
      </c>
      <c r="M17" s="79"/>
      <c r="N17" s="79" t="s">
        <v>130</v>
      </c>
      <c r="O17" s="79"/>
      <c r="P17" s="52"/>
      <c r="Q17" s="23"/>
      <c r="R17" s="23"/>
      <c r="S17" s="23"/>
      <c r="T17" s="23"/>
      <c r="U17" s="23"/>
      <c r="V17" s="21"/>
      <c r="W17" s="21"/>
      <c r="X17" s="21"/>
      <c r="Y17" s="21"/>
    </row>
    <row r="18" spans="1:25" x14ac:dyDescent="0.2">
      <c r="A18" s="39"/>
      <c r="B18" s="23"/>
      <c r="C18" s="26"/>
      <c r="D18" s="79"/>
      <c r="E18" s="79"/>
      <c r="F18" s="79"/>
      <c r="G18" s="79"/>
      <c r="H18" s="23"/>
      <c r="I18" s="39"/>
      <c r="J18" s="23"/>
      <c r="K18" s="26"/>
      <c r="L18" s="79"/>
      <c r="M18" s="79"/>
      <c r="N18" s="79"/>
      <c r="O18" s="79"/>
      <c r="P18" s="52"/>
      <c r="Q18" s="23"/>
      <c r="R18" s="23"/>
      <c r="S18" s="23"/>
      <c r="T18" s="23"/>
      <c r="U18" s="23"/>
      <c r="V18" s="21"/>
      <c r="W18" s="21"/>
      <c r="X18" s="21"/>
      <c r="Y18" s="21"/>
    </row>
    <row r="19" spans="1:25" x14ac:dyDescent="0.2">
      <c r="A19" s="72" t="s">
        <v>138</v>
      </c>
      <c r="B19" s="73"/>
      <c r="C19" s="73" t="s">
        <v>112</v>
      </c>
      <c r="D19" s="78" t="str">
        <f>VLOOKUP(Q1,[95]Base_03!$A$5:$AS$24,6,0)</f>
        <v>Pondasi Titik</v>
      </c>
      <c r="E19" s="78"/>
      <c r="F19" s="77">
        <f>VLOOKUP(Q1,[95]Base_03!$A$5:$AS$24,12,0)</f>
        <v>0.108</v>
      </c>
      <c r="G19" s="77"/>
      <c r="H19" s="23" t="s">
        <v>134</v>
      </c>
      <c r="I19" s="72" t="s">
        <v>138</v>
      </c>
      <c r="J19" s="73"/>
      <c r="K19" s="73"/>
      <c r="L19" s="78" t="str">
        <f>VLOOKUP(Q1,[95]Base_04!$A$5:$AS$24,6,0)</f>
        <v>Pondasi Titik</v>
      </c>
      <c r="M19" s="78"/>
      <c r="N19" s="77">
        <f>VLOOKUP(Q1,[95]Base_04!$A$5:$AS$24,12,0)</f>
        <v>0.108</v>
      </c>
      <c r="O19" s="77"/>
      <c r="P19" s="37" t="s">
        <v>134</v>
      </c>
      <c r="Q19" s="23" t="s">
        <v>123</v>
      </c>
      <c r="R19" s="23"/>
      <c r="S19" s="23"/>
      <c r="T19" s="23"/>
      <c r="U19" s="23"/>
      <c r="V19" s="21"/>
      <c r="W19" s="21"/>
      <c r="X19" s="21"/>
      <c r="Y19" s="21"/>
    </row>
    <row r="20" spans="1:25" x14ac:dyDescent="0.2">
      <c r="A20" s="72" t="s">
        <v>137</v>
      </c>
      <c r="B20" s="73"/>
      <c r="C20" s="73" t="s">
        <v>112</v>
      </c>
      <c r="D20" s="78" t="str">
        <f>VLOOKUP(Q1,[95]Base_03!$A$5:$AS$24,13,0)</f>
        <v>Tidak Ada</v>
      </c>
      <c r="E20" s="78"/>
      <c r="F20" s="77">
        <f>VLOOKUP(Q1,[95]Base_03!$A$5:$AS$24,15,0)</f>
        <v>0</v>
      </c>
      <c r="G20" s="77"/>
      <c r="H20" s="23" t="s">
        <v>134</v>
      </c>
      <c r="I20" s="72" t="s">
        <v>137</v>
      </c>
      <c r="J20" s="73"/>
      <c r="K20" s="73"/>
      <c r="L20" s="78" t="str">
        <f>VLOOKUP(Q1,[95]Base_04!$A$5:$AS$24,13,0)</f>
        <v>Kayu</v>
      </c>
      <c r="M20" s="78"/>
      <c r="N20" s="77">
        <f>VLOOKUP(Q1,[95]Base_04!$A$5:$AS$24,15,0)</f>
        <v>0.30000000000000004</v>
      </c>
      <c r="O20" s="77"/>
      <c r="P20" s="37" t="s">
        <v>134</v>
      </c>
      <c r="Q20" s="23" t="s">
        <v>123</v>
      </c>
      <c r="R20" s="23"/>
      <c r="S20" s="23"/>
      <c r="T20" s="23"/>
      <c r="U20" s="23"/>
      <c r="V20" s="21"/>
      <c r="W20" s="21"/>
      <c r="X20" s="21"/>
      <c r="Y20" s="21"/>
    </row>
    <row r="21" spans="1:25" x14ac:dyDescent="0.2">
      <c r="A21" s="72" t="s">
        <v>136</v>
      </c>
      <c r="B21" s="73"/>
      <c r="C21" s="73" t="s">
        <v>112</v>
      </c>
      <c r="D21" s="78" t="str">
        <f>VLOOKUP(Q1,[95]Base_03!$A$5:$AS$24,16,0)</f>
        <v>Kayu</v>
      </c>
      <c r="E21" s="78"/>
      <c r="F21" s="77">
        <f>VLOOKUP(Q1,[95]Base_03!$A$5:$AS$24,22,0)</f>
        <v>0.20000000000000004</v>
      </c>
      <c r="G21" s="77"/>
      <c r="H21" s="23" t="s">
        <v>134</v>
      </c>
      <c r="I21" s="72" t="s">
        <v>136</v>
      </c>
      <c r="J21" s="73"/>
      <c r="K21" s="73"/>
      <c r="L21" s="78" t="str">
        <f>VLOOKUP(Q1,[95]Base_04!$A$5:$AS$24,16,0)</f>
        <v>Kayu</v>
      </c>
      <c r="M21" s="78"/>
      <c r="N21" s="77">
        <f>VLOOKUP(Q1,[95]Base_04!$A$5:$AS$24,22,0)</f>
        <v>0.20000000000000004</v>
      </c>
      <c r="O21" s="77"/>
      <c r="P21" s="37" t="s">
        <v>134</v>
      </c>
      <c r="Q21" s="23" t="s">
        <v>123</v>
      </c>
      <c r="R21" s="23"/>
      <c r="S21" s="23"/>
      <c r="T21" s="23"/>
      <c r="U21" s="23"/>
      <c r="V21" s="21"/>
      <c r="W21" s="21"/>
      <c r="X21" s="21"/>
      <c r="Y21" s="21"/>
    </row>
    <row r="22" spans="1:25" x14ac:dyDescent="0.2">
      <c r="A22" s="72" t="s">
        <v>135</v>
      </c>
      <c r="B22" s="73"/>
      <c r="C22" s="73" t="s">
        <v>112</v>
      </c>
      <c r="D22" s="78" t="str">
        <f>VLOOKUP(Q1,[95]Base_03!$A$5:$AS$24,23,0)</f>
        <v>Beton</v>
      </c>
      <c r="E22" s="78"/>
      <c r="F22" s="77">
        <f>VLOOKUP(Q1,[95]Base_03!$A$5:$AS$24,24,0)</f>
        <v>0</v>
      </c>
      <c r="G22" s="77"/>
      <c r="H22" s="23" t="s">
        <v>134</v>
      </c>
      <c r="I22" s="72" t="s">
        <v>135</v>
      </c>
      <c r="J22" s="73"/>
      <c r="K22" s="73"/>
      <c r="L22" s="78" t="str">
        <f>VLOOKUP(Q1,[95]Base_04!$A$5:$AS$24,23,0)</f>
        <v>Beton</v>
      </c>
      <c r="M22" s="78"/>
      <c r="N22" s="77">
        <f>VLOOKUP(Q1,[95]Base_04!$A$5:$AS$24,24,0)</f>
        <v>0.30000000000000004</v>
      </c>
      <c r="O22" s="77"/>
      <c r="P22" s="37" t="s">
        <v>134</v>
      </c>
      <c r="Q22" s="23" t="s">
        <v>123</v>
      </c>
      <c r="R22" s="23"/>
      <c r="S22" s="23"/>
      <c r="T22" s="23"/>
      <c r="U22" s="23"/>
      <c r="V22" s="21"/>
      <c r="W22" s="21"/>
      <c r="X22" s="21"/>
      <c r="Y22" s="21"/>
    </row>
    <row r="23" spans="1:25" x14ac:dyDescent="0.2">
      <c r="A23" s="72" t="s">
        <v>133</v>
      </c>
      <c r="B23" s="73"/>
      <c r="C23" s="73" t="s">
        <v>112</v>
      </c>
      <c r="D23" s="78" t="str">
        <f>VLOOKUP(Q1,[95]Base_03!$A$5:$AS$24,25,0)</f>
        <v>Kayu</v>
      </c>
      <c r="E23" s="78"/>
      <c r="F23" s="77">
        <f>VLOOKUP(Q1,[95]Base_03!$A$5:$AS$24,26,0)</f>
        <v>73.900834456272094</v>
      </c>
      <c r="G23" s="77"/>
      <c r="H23" s="23" t="s">
        <v>124</v>
      </c>
      <c r="I23" s="72" t="s">
        <v>133</v>
      </c>
      <c r="J23" s="73"/>
      <c r="K23" s="73"/>
      <c r="L23" s="78" t="str">
        <f>VLOOKUP(Q1,[95]Base_04!$A$5:$AS$24,25,0)</f>
        <v>Kayu</v>
      </c>
      <c r="M23" s="78"/>
      <c r="N23" s="77">
        <f>VLOOKUP(Q1,[95]Base_04!$A$5:$AS$24,26,0)</f>
        <v>93.530743608719362</v>
      </c>
      <c r="O23" s="77"/>
      <c r="P23" s="37" t="s">
        <v>124</v>
      </c>
      <c r="Q23" s="23" t="s">
        <v>123</v>
      </c>
      <c r="R23" s="23"/>
      <c r="S23" s="23"/>
      <c r="T23" s="23"/>
      <c r="U23" s="23"/>
      <c r="V23" s="21"/>
      <c r="W23" s="21"/>
      <c r="X23" s="21"/>
      <c r="Y23" s="21"/>
    </row>
    <row r="24" spans="1:25" x14ac:dyDescent="0.2">
      <c r="A24" s="40"/>
      <c r="B24" s="31"/>
      <c r="C24" s="31"/>
      <c r="D24" s="41"/>
      <c r="E24" s="41"/>
      <c r="F24" s="30"/>
      <c r="G24" s="23"/>
      <c r="H24" s="23"/>
      <c r="I24" s="40"/>
      <c r="J24" s="31"/>
      <c r="K24" s="31"/>
      <c r="L24" s="41"/>
      <c r="M24" s="41"/>
      <c r="N24" s="30"/>
      <c r="O24" s="23"/>
      <c r="P24" s="37"/>
      <c r="Q24" s="23"/>
      <c r="R24" s="23"/>
      <c r="S24" s="23"/>
      <c r="T24" s="23"/>
      <c r="U24" s="23"/>
      <c r="V24" s="21"/>
      <c r="W24" s="21"/>
      <c r="X24" s="21"/>
      <c r="Y24" s="21"/>
    </row>
    <row r="25" spans="1:25" x14ac:dyDescent="0.2">
      <c r="A25" s="38" t="s">
        <v>132</v>
      </c>
      <c r="B25" s="23"/>
      <c r="C25" s="26"/>
      <c r="D25" s="79" t="s">
        <v>131</v>
      </c>
      <c r="E25" s="79"/>
      <c r="F25" s="79" t="s">
        <v>130</v>
      </c>
      <c r="G25" s="79"/>
      <c r="H25" s="23"/>
      <c r="I25" s="38" t="s">
        <v>132</v>
      </c>
      <c r="J25" s="23"/>
      <c r="K25" s="26"/>
      <c r="L25" s="79" t="s">
        <v>131</v>
      </c>
      <c r="M25" s="79"/>
      <c r="N25" s="79" t="s">
        <v>130</v>
      </c>
      <c r="O25" s="79"/>
      <c r="P25" s="52"/>
      <c r="Q25" s="23"/>
      <c r="R25" s="23"/>
      <c r="S25" s="23"/>
      <c r="T25" s="23"/>
      <c r="U25" s="23"/>
      <c r="V25" s="21"/>
      <c r="W25" s="21"/>
      <c r="X25" s="21"/>
      <c r="Y25" s="21"/>
    </row>
    <row r="26" spans="1:25" x14ac:dyDescent="0.2">
      <c r="A26" s="39"/>
      <c r="B26" s="23"/>
      <c r="C26" s="26"/>
      <c r="D26" s="79"/>
      <c r="E26" s="79"/>
      <c r="F26" s="79"/>
      <c r="G26" s="79"/>
      <c r="H26" s="23"/>
      <c r="I26" s="39"/>
      <c r="J26" s="23"/>
      <c r="K26" s="26"/>
      <c r="L26" s="79"/>
      <c r="M26" s="79"/>
      <c r="N26" s="79"/>
      <c r="O26" s="79"/>
      <c r="P26" s="52"/>
      <c r="Q26" s="23"/>
      <c r="R26" s="23"/>
      <c r="S26" s="23"/>
      <c r="T26" s="23"/>
      <c r="U26" s="23"/>
      <c r="V26" s="21"/>
      <c r="W26" s="21"/>
      <c r="X26" s="21"/>
      <c r="Y26" s="21"/>
    </row>
    <row r="27" spans="1:25" x14ac:dyDescent="0.2">
      <c r="A27" s="72" t="s">
        <v>129</v>
      </c>
      <c r="B27" s="73"/>
      <c r="C27" s="73" t="s">
        <v>119</v>
      </c>
      <c r="D27" s="78" t="str">
        <f>VLOOKUP(Q1,[95]Base_03!$A$5:$AS$24,28,0)</f>
        <v>Seng</v>
      </c>
      <c r="E27" s="78"/>
      <c r="F27" s="77">
        <f>VLOOKUP(Q1,[95]Base_03!$A$5:$AS$24,30,0)</f>
        <v>99.2</v>
      </c>
      <c r="G27" s="77"/>
      <c r="H27" s="23" t="s">
        <v>124</v>
      </c>
      <c r="I27" s="72" t="s">
        <v>129</v>
      </c>
      <c r="J27" s="73"/>
      <c r="K27" s="73" t="s">
        <v>119</v>
      </c>
      <c r="L27" s="78" t="str">
        <f>VLOOKUP(Q1,[95]Base_04!$A$5:$AS$24,28,0)</f>
        <v>Seng</v>
      </c>
      <c r="M27" s="78"/>
      <c r="N27" s="77">
        <f>VLOOKUP(Q1,[95]Base_04!$A$5:$AS$24,30,0)</f>
        <v>125.55000000000001</v>
      </c>
      <c r="O27" s="77"/>
      <c r="P27" s="37" t="s">
        <v>124</v>
      </c>
      <c r="Q27" s="23" t="s">
        <v>123</v>
      </c>
      <c r="R27" s="23"/>
      <c r="S27" s="23"/>
      <c r="T27" s="23"/>
      <c r="U27" s="23"/>
      <c r="V27" s="21"/>
      <c r="W27" s="21"/>
      <c r="X27" s="21"/>
      <c r="Y27" s="21"/>
    </row>
    <row r="28" spans="1:25" x14ac:dyDescent="0.2">
      <c r="A28" s="72" t="s">
        <v>128</v>
      </c>
      <c r="B28" s="73"/>
      <c r="C28" s="73" t="s">
        <v>119</v>
      </c>
      <c r="D28" s="78" t="str">
        <f>VLOOKUP(Q1,[95]Base_03!$A$5:$AS$24,31,0)</f>
        <v>Bata Ringan</v>
      </c>
      <c r="E28" s="78"/>
      <c r="F28" s="77">
        <f>VLOOKUP(Q1,[95]Base_03!$A$5:$AS$24,34,0)</f>
        <v>114.24</v>
      </c>
      <c r="G28" s="77"/>
      <c r="H28" s="23" t="s">
        <v>124</v>
      </c>
      <c r="I28" s="72" t="s">
        <v>128</v>
      </c>
      <c r="J28" s="73"/>
      <c r="K28" s="73" t="s">
        <v>119</v>
      </c>
      <c r="L28" s="78" t="str">
        <f>VLOOKUP(Q1,[95]Base_04!$A$5:$AS$24,31,0)</f>
        <v>Bata Ringan</v>
      </c>
      <c r="M28" s="78"/>
      <c r="N28" s="77">
        <f>VLOOKUP(Q1,[95]Base_04!$A$5:$AS$24,34,0)</f>
        <v>114.24</v>
      </c>
      <c r="O28" s="77"/>
      <c r="P28" s="37" t="s">
        <v>124</v>
      </c>
      <c r="Q28" s="23" t="s">
        <v>123</v>
      </c>
      <c r="R28" s="23"/>
      <c r="S28" s="23"/>
      <c r="T28" s="23"/>
      <c r="U28" s="23"/>
      <c r="V28" s="21"/>
      <c r="W28" s="21"/>
      <c r="X28" s="21"/>
      <c r="Y28" s="21"/>
    </row>
    <row r="29" spans="1:25" x14ac:dyDescent="0.2">
      <c r="A29" s="89" t="s">
        <v>127</v>
      </c>
      <c r="B29" s="90"/>
      <c r="C29" s="90" t="s">
        <v>119</v>
      </c>
      <c r="D29" s="91" t="str">
        <f>VLOOKUP(Q1,[95]Base_03!$A$5:$AS$24,35,0)</f>
        <v>Kayu</v>
      </c>
      <c r="E29" s="91"/>
      <c r="F29" s="92">
        <f>VLOOKUP(Q1,[95]Base_03!$A$5:$AS$24,36,0)</f>
        <v>5.76</v>
      </c>
      <c r="G29" s="92"/>
      <c r="H29" s="23" t="s">
        <v>124</v>
      </c>
      <c r="I29" s="89" t="s">
        <v>127</v>
      </c>
      <c r="J29" s="90"/>
      <c r="K29" s="90" t="s">
        <v>119</v>
      </c>
      <c r="L29" s="91" t="str">
        <f>VLOOKUP(Q1,[95]Base_04!$A$5:$AS$24,35,0)</f>
        <v>Kayu</v>
      </c>
      <c r="M29" s="91"/>
      <c r="N29" s="92">
        <f>VLOOKUP(Q1,[95]Base_04!$A$5:$AS$24,36,0)</f>
        <v>5.76</v>
      </c>
      <c r="O29" s="92"/>
      <c r="P29" s="37" t="s">
        <v>124</v>
      </c>
      <c r="Q29" s="23" t="s">
        <v>123</v>
      </c>
      <c r="R29" s="23"/>
      <c r="S29" s="23"/>
      <c r="T29" s="23"/>
      <c r="U29" s="23"/>
      <c r="V29" s="21"/>
      <c r="W29" s="21"/>
      <c r="X29" s="21"/>
      <c r="Y29" s="21"/>
    </row>
    <row r="30" spans="1:25" x14ac:dyDescent="0.2">
      <c r="A30" s="74" t="s">
        <v>126</v>
      </c>
      <c r="B30" s="75"/>
      <c r="C30" s="75"/>
      <c r="D30" s="91"/>
      <c r="E30" s="91"/>
      <c r="F30" s="92"/>
      <c r="G30" s="92"/>
      <c r="H30" s="23"/>
      <c r="I30" s="74" t="s">
        <v>126</v>
      </c>
      <c r="J30" s="75"/>
      <c r="K30" s="75"/>
      <c r="L30" s="91"/>
      <c r="M30" s="91"/>
      <c r="N30" s="92"/>
      <c r="O30" s="92"/>
      <c r="P30" s="37"/>
      <c r="Q30" s="23"/>
      <c r="R30" s="23"/>
      <c r="S30" s="23"/>
      <c r="T30" s="23"/>
      <c r="U30" s="23"/>
      <c r="V30" s="21"/>
      <c r="W30" s="21"/>
      <c r="X30" s="21"/>
      <c r="Y30" s="21"/>
    </row>
    <row r="31" spans="1:25" x14ac:dyDescent="0.2">
      <c r="A31" s="72" t="s">
        <v>125</v>
      </c>
      <c r="B31" s="73"/>
      <c r="C31" s="73" t="s">
        <v>119</v>
      </c>
      <c r="D31" s="78" t="str">
        <f>VLOOKUP(Q1,[95]Base_03!$A$5:$AS$24,39,0)</f>
        <v>Rabat</v>
      </c>
      <c r="E31" s="78"/>
      <c r="F31" s="77">
        <f>VLOOKUP(Q1,[95]Base_03!$A$5:$AS$24,40,0)</f>
        <v>36</v>
      </c>
      <c r="G31" s="77"/>
      <c r="H31" s="23" t="s">
        <v>124</v>
      </c>
      <c r="I31" s="72" t="s">
        <v>125</v>
      </c>
      <c r="J31" s="73"/>
      <c r="K31" s="73" t="s">
        <v>119</v>
      </c>
      <c r="L31" s="78" t="str">
        <f>VLOOKUP(Q1,[95]Base_04!$A$5:$AS$24,39,0)</f>
        <v>Rabat</v>
      </c>
      <c r="M31" s="78"/>
      <c r="N31" s="77">
        <f>VLOOKUP(Q1,[95]Base_04!$A$5:$AS$24,40,0)</f>
        <v>49</v>
      </c>
      <c r="O31" s="77"/>
      <c r="P31" s="37" t="s">
        <v>124</v>
      </c>
      <c r="Q31" s="23" t="s">
        <v>123</v>
      </c>
      <c r="R31" s="23"/>
      <c r="S31" s="23"/>
      <c r="T31" s="23"/>
      <c r="U31" s="23"/>
      <c r="V31" s="21"/>
      <c r="W31" s="21"/>
      <c r="X31" s="21"/>
      <c r="Y31" s="21"/>
    </row>
    <row r="32" spans="1:25" x14ac:dyDescent="0.2">
      <c r="A32" s="39"/>
      <c r="B32" s="23"/>
      <c r="C32" s="23"/>
      <c r="D32" s="23"/>
      <c r="E32" s="23"/>
      <c r="F32" s="23"/>
      <c r="G32" s="23"/>
      <c r="H32" s="23"/>
      <c r="I32" s="39"/>
      <c r="J32" s="45"/>
      <c r="K32" s="45"/>
      <c r="L32" s="45"/>
      <c r="M32" s="23"/>
      <c r="N32" s="30"/>
      <c r="O32" s="23"/>
      <c r="P32" s="37"/>
      <c r="Q32" s="23"/>
      <c r="R32" s="23"/>
      <c r="S32" s="23"/>
      <c r="T32" s="23"/>
      <c r="U32" s="23"/>
      <c r="V32" s="21"/>
      <c r="W32" s="21"/>
      <c r="X32" s="21"/>
      <c r="Y32" s="21"/>
    </row>
    <row r="33" spans="1:25" x14ac:dyDescent="0.2">
      <c r="A33" s="72" t="s">
        <v>122</v>
      </c>
      <c r="B33" s="73"/>
      <c r="C33" s="73" t="s">
        <v>112</v>
      </c>
      <c r="D33" s="76">
        <f>VLOOKUP(Q1,[95]Base_03!$A$5:$AS$24,42,0)</f>
        <v>6.666666666666667</v>
      </c>
      <c r="E33" s="76"/>
      <c r="F33" s="25" t="s">
        <v>118</v>
      </c>
      <c r="G33" s="23"/>
      <c r="H33" s="23"/>
      <c r="I33" s="72" t="s">
        <v>122</v>
      </c>
      <c r="J33" s="73"/>
      <c r="K33" s="73" t="s">
        <v>112</v>
      </c>
      <c r="L33" s="76">
        <f>VLOOKUP(Q1,[95]Base_04!$A$5:$AS$24,42,0)</f>
        <v>4.8979591836734695</v>
      </c>
      <c r="M33" s="76"/>
      <c r="N33" s="46" t="s">
        <v>118</v>
      </c>
      <c r="O33" s="23"/>
      <c r="P33" s="37"/>
      <c r="Q33" s="32" t="s">
        <v>121</v>
      </c>
      <c r="R33" s="23"/>
      <c r="S33" s="23"/>
      <c r="T33" s="23"/>
      <c r="U33" s="23"/>
      <c r="V33" s="21"/>
      <c r="W33" s="21"/>
      <c r="X33" s="21"/>
      <c r="Y33" s="21"/>
    </row>
    <row r="34" spans="1:25" x14ac:dyDescent="0.2">
      <c r="A34" s="72" t="s">
        <v>120</v>
      </c>
      <c r="B34" s="73"/>
      <c r="C34" s="73" t="s">
        <v>119</v>
      </c>
      <c r="D34" s="76">
        <f>VLOOKUP(Q1,[95]Base_03!$A$5:$AS$24,43,0)</f>
        <v>9.6666666666666661</v>
      </c>
      <c r="E34" s="76"/>
      <c r="F34" s="25" t="s">
        <v>118</v>
      </c>
      <c r="G34" s="23"/>
      <c r="H34" s="23"/>
      <c r="I34" s="72" t="s">
        <v>120</v>
      </c>
      <c r="J34" s="73"/>
      <c r="K34" s="73" t="s">
        <v>119</v>
      </c>
      <c r="L34" s="76">
        <f>VLOOKUP(Q1,[95]Base_04!$A$5:$AS$24,43,0)</f>
        <v>7.1020408163265314</v>
      </c>
      <c r="M34" s="76"/>
      <c r="N34" s="46" t="s">
        <v>118</v>
      </c>
      <c r="O34" s="23"/>
      <c r="P34" s="37"/>
      <c r="Q34" s="32" t="s">
        <v>117</v>
      </c>
      <c r="R34" s="23"/>
      <c r="S34" s="23"/>
      <c r="T34" s="23"/>
      <c r="U34" s="23"/>
      <c r="V34" s="21"/>
      <c r="W34" s="21"/>
      <c r="X34" s="21"/>
      <c r="Y34" s="21"/>
    </row>
    <row r="35" spans="1:25" x14ac:dyDescent="0.2">
      <c r="A35" s="72" t="s">
        <v>115</v>
      </c>
      <c r="B35" s="73"/>
      <c r="C35" s="73"/>
      <c r="D35" s="71" t="str">
        <f>VLOOKUP(Q1,[95]Base_03!$A$5:$AS$24,44,0)</f>
        <v>(Ada) Baik</v>
      </c>
      <c r="E35" s="71"/>
      <c r="F35" s="23"/>
      <c r="G35" s="23"/>
      <c r="H35" s="23"/>
      <c r="I35" s="72" t="s">
        <v>115</v>
      </c>
      <c r="J35" s="73"/>
      <c r="K35" s="73"/>
      <c r="L35" s="71" t="str">
        <f>VLOOKUP(Q1,[95]Base_04!$A$5:$AS$24,44,0)</f>
        <v>(Ada) Baik</v>
      </c>
      <c r="M35" s="71"/>
      <c r="N35" s="30"/>
      <c r="O35" s="23"/>
      <c r="P35" s="37"/>
      <c r="Q35" s="23"/>
      <c r="R35" s="23"/>
      <c r="S35" s="23"/>
      <c r="T35" s="23"/>
      <c r="U35" s="23"/>
      <c r="V35" s="21"/>
      <c r="W35" s="21"/>
      <c r="X35" s="21"/>
      <c r="Y35" s="21"/>
    </row>
    <row r="36" spans="1:25" x14ac:dyDescent="0.2">
      <c r="A36" s="74" t="s">
        <v>116</v>
      </c>
      <c r="B36" s="75"/>
      <c r="C36" s="26"/>
      <c r="D36" s="25"/>
      <c r="E36" s="25"/>
      <c r="F36" s="23"/>
      <c r="G36" s="23"/>
      <c r="H36" s="23"/>
      <c r="I36" s="74" t="s">
        <v>116</v>
      </c>
      <c r="J36" s="75"/>
      <c r="K36" s="26"/>
      <c r="L36" s="25"/>
      <c r="M36" s="25"/>
      <c r="N36" s="30"/>
      <c r="O36" s="23"/>
      <c r="P36" s="37"/>
      <c r="Q36" s="23"/>
      <c r="R36" s="23"/>
      <c r="S36" s="23"/>
      <c r="T36" s="23"/>
      <c r="U36" s="23"/>
      <c r="V36" s="21"/>
      <c r="W36" s="21"/>
      <c r="X36" s="21"/>
      <c r="Y36" s="21"/>
    </row>
    <row r="37" spans="1:25" x14ac:dyDescent="0.2">
      <c r="A37" s="72" t="s">
        <v>115</v>
      </c>
      <c r="B37" s="73"/>
      <c r="C37" s="73"/>
      <c r="D37" s="71" t="str">
        <f>VLOOKUP(Q1,[95]Base_03!$A$5:$AS$24,45,0)</f>
        <v>Air Pam (Baik)</v>
      </c>
      <c r="E37" s="71"/>
      <c r="F37" s="23"/>
      <c r="G37" s="23"/>
      <c r="H37" s="23"/>
      <c r="I37" s="72" t="s">
        <v>115</v>
      </c>
      <c r="J37" s="73"/>
      <c r="K37" s="73"/>
      <c r="L37" s="71" t="str">
        <f>VLOOKUP(Q1,[95]Base_04!$A$5:$AS$24,45,0)</f>
        <v>Air Pam (Baik)</v>
      </c>
      <c r="M37" s="71"/>
      <c r="N37" s="30"/>
      <c r="O37" s="23"/>
      <c r="P37" s="37"/>
      <c r="Q37" s="23"/>
      <c r="R37" s="23"/>
      <c r="S37" s="23"/>
      <c r="T37" s="23"/>
      <c r="U37" s="23"/>
      <c r="V37" s="21"/>
      <c r="W37" s="21"/>
      <c r="X37" s="21"/>
      <c r="Y37" s="21"/>
    </row>
    <row r="38" spans="1:25" x14ac:dyDescent="0.2">
      <c r="A38" s="74" t="s">
        <v>114</v>
      </c>
      <c r="B38" s="75"/>
      <c r="C38" s="26"/>
      <c r="D38" s="25"/>
      <c r="E38" s="25"/>
      <c r="F38" s="23"/>
      <c r="G38" s="23"/>
      <c r="H38" s="23"/>
      <c r="I38" s="74" t="s">
        <v>114</v>
      </c>
      <c r="J38" s="75"/>
      <c r="K38" s="26"/>
      <c r="L38" s="25"/>
      <c r="M38" s="25"/>
      <c r="N38" s="30"/>
      <c r="O38" s="23"/>
      <c r="P38" s="37"/>
      <c r="Q38" s="23"/>
      <c r="R38" s="23"/>
      <c r="S38" s="23"/>
      <c r="T38" s="23"/>
      <c r="U38" s="23"/>
      <c r="V38" s="21"/>
      <c r="W38" s="21"/>
      <c r="X38" s="21"/>
      <c r="Y38" s="21"/>
    </row>
    <row r="39" spans="1:25" x14ac:dyDescent="0.2">
      <c r="A39" s="36" t="s">
        <v>113</v>
      </c>
      <c r="B39" s="23"/>
      <c r="C39" s="26" t="s">
        <v>112</v>
      </c>
      <c r="D39" s="71">
        <f>VLOOKUP(Q1,[94]Base_02!$A$5:$S$24,18,0)</f>
        <v>-7.4668999999999999</v>
      </c>
      <c r="E39" s="71"/>
      <c r="F39" s="23" t="str">
        <f>IF(D39&gt;0,"LU","LS")</f>
        <v>LS</v>
      </c>
      <c r="G39" s="23"/>
      <c r="H39" s="23"/>
      <c r="I39" s="36" t="s">
        <v>113</v>
      </c>
      <c r="J39" s="26"/>
      <c r="K39" s="26" t="s">
        <v>112</v>
      </c>
      <c r="L39" s="71">
        <f>D39</f>
        <v>-7.4668999999999999</v>
      </c>
      <c r="M39" s="71"/>
      <c r="N39" s="23" t="str">
        <f>IF(L39&gt;0,"LU","LS")</f>
        <v>LS</v>
      </c>
      <c r="O39" s="23"/>
      <c r="P39" s="37"/>
      <c r="Q39" s="23"/>
      <c r="R39" s="23"/>
      <c r="S39" s="23"/>
      <c r="T39" s="23"/>
      <c r="U39" s="23"/>
      <c r="V39" s="21"/>
      <c r="W39" s="21"/>
      <c r="X39" s="21"/>
      <c r="Y39" s="21"/>
    </row>
    <row r="40" spans="1:25" x14ac:dyDescent="0.2">
      <c r="A40" s="42"/>
      <c r="B40" s="43"/>
      <c r="C40" s="44" t="s">
        <v>111</v>
      </c>
      <c r="D40" s="70">
        <f>VLOOKUP(Q1,[94]Base_02!$A$5:$S$24,19,0)</f>
        <v>109.5536</v>
      </c>
      <c r="E40" s="70"/>
      <c r="F40" s="43" t="s">
        <v>110</v>
      </c>
      <c r="G40" s="43"/>
      <c r="H40" s="43"/>
      <c r="I40" s="42"/>
      <c r="J40" s="43"/>
      <c r="K40" s="43"/>
      <c r="L40" s="70">
        <f>D40</f>
        <v>109.5536</v>
      </c>
      <c r="M40" s="70"/>
      <c r="N40" s="47" t="s">
        <v>110</v>
      </c>
      <c r="O40" s="44"/>
      <c r="P40" s="53"/>
      <c r="Q40" s="23"/>
      <c r="R40" s="23"/>
      <c r="S40" s="23"/>
      <c r="T40" s="23"/>
      <c r="U40" s="23"/>
      <c r="V40" s="21"/>
      <c r="W40" s="21"/>
      <c r="X40" s="21"/>
      <c r="Y40" s="21"/>
    </row>
    <row r="41" spans="1:25" x14ac:dyDescent="0.2">
      <c r="A41" s="23"/>
      <c r="B41" s="23"/>
      <c r="C41" s="26"/>
      <c r="D41" s="23"/>
      <c r="E41" s="23"/>
      <c r="F41" s="23"/>
      <c r="G41" s="23"/>
      <c r="H41" s="23"/>
      <c r="I41" s="23"/>
      <c r="J41" s="23"/>
      <c r="K41" s="25"/>
      <c r="L41" s="25"/>
      <c r="M41" s="30"/>
      <c r="N41" s="23"/>
      <c r="O41" s="23"/>
      <c r="P41" s="23"/>
      <c r="Q41" s="23"/>
      <c r="R41" s="23"/>
      <c r="S41" s="23"/>
      <c r="T41" s="23"/>
      <c r="U41" s="23"/>
      <c r="V41" s="23"/>
      <c r="W41" s="23"/>
      <c r="X41" s="23"/>
      <c r="Y41" s="23"/>
    </row>
    <row r="42" spans="1:25" x14ac:dyDescent="0.2">
      <c r="A42" s="23"/>
      <c r="B42" s="23"/>
      <c r="C42" s="23"/>
      <c r="D42" s="23"/>
      <c r="E42" s="23"/>
      <c r="F42" s="23"/>
      <c r="G42" s="23"/>
      <c r="H42" s="23"/>
      <c r="I42" s="23"/>
      <c r="J42" s="23"/>
      <c r="K42" s="23"/>
      <c r="L42" s="23"/>
      <c r="M42" s="30"/>
      <c r="N42" s="23"/>
      <c r="O42" s="23"/>
      <c r="P42" s="23"/>
      <c r="Q42" s="23"/>
      <c r="R42" s="23"/>
      <c r="S42" s="23"/>
      <c r="T42" s="23"/>
      <c r="U42" s="23"/>
      <c r="V42" s="23"/>
      <c r="W42" s="23"/>
      <c r="X42" s="23"/>
      <c r="Y42" s="23"/>
    </row>
    <row r="43" spans="1:25" x14ac:dyDescent="0.2">
      <c r="A43" s="23"/>
      <c r="B43" s="23"/>
      <c r="C43" s="23"/>
      <c r="D43" s="23"/>
      <c r="E43" s="23"/>
      <c r="F43" s="23"/>
      <c r="G43" s="23"/>
      <c r="H43" s="23"/>
      <c r="I43" s="23"/>
      <c r="J43" s="23"/>
      <c r="K43" s="23"/>
      <c r="L43" s="71" t="str">
        <f>[94]Base_01!$C$4&amp;", …..  …........................  2026"</f>
        <v>Sorong, …..  …........................  2026</v>
      </c>
      <c r="M43" s="71"/>
      <c r="N43" s="71"/>
      <c r="O43" s="71"/>
      <c r="P43" s="71"/>
      <c r="Q43" s="23"/>
      <c r="R43" s="23"/>
      <c r="S43" s="23"/>
      <c r="T43" s="23"/>
      <c r="U43" s="23"/>
      <c r="V43" s="23"/>
      <c r="W43" s="23"/>
      <c r="X43" s="23"/>
      <c r="Y43" s="23"/>
    </row>
    <row r="44" spans="1:25" x14ac:dyDescent="0.2">
      <c r="A44" s="71" t="s">
        <v>108</v>
      </c>
      <c r="B44" s="71"/>
      <c r="C44" s="71"/>
      <c r="D44" s="71"/>
      <c r="E44" s="71"/>
      <c r="F44" s="71"/>
      <c r="G44" s="23"/>
      <c r="H44" s="23"/>
      <c r="I44" s="23"/>
      <c r="J44" s="23"/>
      <c r="K44" s="23"/>
      <c r="L44" s="71" t="s">
        <v>152</v>
      </c>
      <c r="M44" s="71"/>
      <c r="N44" s="71"/>
      <c r="O44" s="71"/>
      <c r="P44" s="71"/>
      <c r="Q44" s="23"/>
      <c r="R44" s="23"/>
      <c r="S44" s="23"/>
      <c r="T44" s="23"/>
      <c r="U44" s="23"/>
      <c r="V44" s="23"/>
      <c r="W44" s="23"/>
      <c r="X44" s="23"/>
      <c r="Y44" s="23"/>
    </row>
    <row r="45" spans="1:25" x14ac:dyDescent="0.2">
      <c r="A45" s="71" t="s">
        <v>153</v>
      </c>
      <c r="B45" s="71"/>
      <c r="C45" s="71"/>
      <c r="D45" s="71"/>
      <c r="E45" s="71"/>
      <c r="F45" s="71"/>
      <c r="G45" s="23"/>
      <c r="H45" s="23"/>
      <c r="I45" s="23"/>
      <c r="J45" s="23"/>
      <c r="K45" s="23"/>
      <c r="L45" s="71" t="s">
        <v>107</v>
      </c>
      <c r="M45" s="71"/>
      <c r="N45" s="71"/>
      <c r="O45" s="71"/>
      <c r="P45" s="71"/>
      <c r="Q45" s="23"/>
      <c r="R45" s="23"/>
      <c r="S45" s="23"/>
      <c r="T45" s="23"/>
      <c r="U45" s="23"/>
      <c r="V45" s="23"/>
      <c r="W45" s="23"/>
      <c r="X45" s="23"/>
      <c r="Y45" s="23"/>
    </row>
    <row r="46" spans="1:25" x14ac:dyDescent="0.2">
      <c r="A46" s="23"/>
      <c r="B46" s="23"/>
      <c r="C46" s="23"/>
      <c r="D46" s="23"/>
      <c r="E46" s="23"/>
      <c r="F46" s="23"/>
      <c r="G46" s="23"/>
      <c r="H46" s="23"/>
      <c r="I46" s="23"/>
      <c r="J46" s="23"/>
      <c r="K46" s="23"/>
      <c r="L46" s="23"/>
      <c r="M46" s="30"/>
      <c r="N46" s="23"/>
      <c r="O46" s="23"/>
      <c r="P46" s="23"/>
      <c r="Q46" s="23"/>
      <c r="R46" s="23"/>
      <c r="S46" s="23"/>
      <c r="T46" s="23"/>
      <c r="U46" s="23"/>
      <c r="V46" s="23"/>
      <c r="W46" s="23"/>
      <c r="X46" s="23"/>
      <c r="Y46" s="23"/>
    </row>
    <row r="47" spans="1:25" x14ac:dyDescent="0.2">
      <c r="A47" s="23"/>
      <c r="B47" s="23"/>
      <c r="C47" s="23"/>
      <c r="D47" s="23"/>
      <c r="E47" s="23"/>
      <c r="F47" s="23"/>
      <c r="G47" s="23"/>
      <c r="H47" s="23"/>
      <c r="I47" s="23"/>
      <c r="J47" s="23"/>
      <c r="K47" s="23"/>
      <c r="L47" s="23"/>
      <c r="M47" s="30"/>
      <c r="N47" s="23"/>
      <c r="O47" s="23"/>
      <c r="P47" s="23"/>
      <c r="Q47" s="23"/>
      <c r="R47" s="23"/>
      <c r="S47" s="23"/>
      <c r="T47" s="23"/>
      <c r="U47" s="23"/>
      <c r="V47" s="23"/>
      <c r="W47" s="23"/>
      <c r="X47" s="23"/>
      <c r="Y47" s="23"/>
    </row>
    <row r="48" spans="1:25" x14ac:dyDescent="0.2">
      <c r="A48" s="23"/>
      <c r="B48" s="23"/>
      <c r="C48" s="23"/>
      <c r="D48" s="23"/>
      <c r="E48" s="23"/>
      <c r="F48" s="23"/>
      <c r="G48" s="23"/>
      <c r="H48" s="23"/>
      <c r="I48" s="23"/>
      <c r="J48" s="23"/>
      <c r="K48" s="23"/>
      <c r="L48" s="23"/>
      <c r="M48" s="30"/>
      <c r="N48" s="23"/>
      <c r="O48" s="23"/>
      <c r="P48" s="23"/>
      <c r="Q48" s="23"/>
      <c r="R48" s="23"/>
      <c r="S48" s="23"/>
      <c r="T48" s="23"/>
      <c r="U48" s="23"/>
      <c r="V48" s="23"/>
      <c r="W48" s="23"/>
      <c r="X48" s="23"/>
      <c r="Y48" s="23"/>
    </row>
    <row r="49" spans="1:25" x14ac:dyDescent="0.2">
      <c r="A49" s="23"/>
      <c r="B49" s="23"/>
      <c r="C49" s="23"/>
      <c r="D49" s="23"/>
      <c r="E49" s="23"/>
      <c r="F49" s="23"/>
      <c r="G49" s="23"/>
      <c r="H49" s="23"/>
      <c r="I49" s="23"/>
      <c r="J49" s="23"/>
      <c r="K49" s="23"/>
      <c r="L49" s="23"/>
      <c r="M49" s="30"/>
      <c r="N49" s="23"/>
      <c r="O49" s="23"/>
      <c r="P49" s="23"/>
      <c r="Q49" s="23"/>
      <c r="R49" s="23"/>
      <c r="S49" s="23"/>
      <c r="T49" s="23"/>
      <c r="U49" s="23"/>
      <c r="V49" s="23"/>
      <c r="W49" s="23"/>
      <c r="X49" s="23"/>
      <c r="Y49" s="23"/>
    </row>
    <row r="50" spans="1:25" x14ac:dyDescent="0.2">
      <c r="A50" s="87" t="str">
        <f>[94]Base_02!$C$28</f>
        <v>Nama PB 1</v>
      </c>
      <c r="B50" s="87"/>
      <c r="C50" s="87"/>
      <c r="D50" s="87"/>
      <c r="E50" s="87"/>
      <c r="F50" s="87"/>
      <c r="G50" s="23"/>
      <c r="H50" s="23"/>
      <c r="I50" s="23"/>
      <c r="J50" s="23"/>
      <c r="K50" s="23"/>
      <c r="L50" s="71" t="str">
        <f>E6</f>
        <v>Nama PB 1</v>
      </c>
      <c r="M50" s="71"/>
      <c r="N50" s="71"/>
      <c r="O50" s="71"/>
      <c r="P50" s="71"/>
      <c r="Q50" s="23"/>
      <c r="R50" s="23"/>
      <c r="S50" s="23"/>
      <c r="T50" s="23"/>
      <c r="U50" s="23"/>
      <c r="V50" s="23"/>
      <c r="W50" s="23"/>
      <c r="X50" s="23"/>
      <c r="Y50" s="23"/>
    </row>
    <row r="51" spans="1:25" x14ac:dyDescent="0.2">
      <c r="A51" s="23"/>
      <c r="B51" s="23"/>
      <c r="C51" s="23"/>
      <c r="D51" s="23"/>
      <c r="E51" s="23"/>
      <c r="F51" s="23"/>
      <c r="G51" s="23"/>
      <c r="H51" s="23"/>
      <c r="I51" s="23"/>
      <c r="J51" s="23"/>
      <c r="K51" s="23"/>
      <c r="L51" s="23"/>
      <c r="M51" s="30"/>
      <c r="N51" s="23"/>
      <c r="O51" s="23"/>
      <c r="P51" s="23"/>
      <c r="Q51" s="23"/>
      <c r="R51" s="23"/>
      <c r="S51" s="23"/>
      <c r="T51" s="23"/>
      <c r="U51" s="23"/>
      <c r="V51" s="23"/>
      <c r="W51" s="23"/>
      <c r="X51" s="23"/>
      <c r="Y51" s="23"/>
    </row>
    <row r="52" spans="1:25" x14ac:dyDescent="0.2">
      <c r="A52" s="87" t="s">
        <v>109</v>
      </c>
      <c r="B52" s="87"/>
      <c r="C52" s="87"/>
      <c r="D52" s="87"/>
      <c r="E52" s="87"/>
      <c r="F52" s="87"/>
      <c r="G52" s="23"/>
      <c r="H52" s="23"/>
      <c r="I52" s="29"/>
      <c r="J52" s="24"/>
      <c r="K52" s="24"/>
      <c r="L52" s="88" t="s">
        <v>92</v>
      </c>
      <c r="M52" s="88"/>
      <c r="N52" s="88"/>
      <c r="O52" s="88"/>
      <c r="P52" s="88"/>
      <c r="Q52" s="23"/>
      <c r="R52" s="23"/>
      <c r="S52" s="23"/>
      <c r="T52" s="23"/>
      <c r="U52" s="23"/>
      <c r="V52" s="23"/>
      <c r="W52" s="23"/>
      <c r="X52" s="23"/>
      <c r="Y52" s="23"/>
    </row>
    <row r="53" spans="1:25" x14ac:dyDescent="0.2">
      <c r="A53" s="68" t="s">
        <v>91</v>
      </c>
      <c r="B53" s="68"/>
      <c r="C53" s="68"/>
      <c r="D53" s="68"/>
      <c r="E53" s="68"/>
      <c r="F53" s="68"/>
      <c r="I53" s="28"/>
      <c r="J53" s="28"/>
      <c r="K53" s="28"/>
      <c r="L53" s="69" t="str">
        <f>[94]Base_01!$B$17&amp;" "&amp;[94]Base_01!$C$4</f>
        <v>Koordinator Kota Sorong</v>
      </c>
      <c r="M53" s="69"/>
      <c r="N53" s="69"/>
      <c r="O53" s="69"/>
      <c r="P53" s="69"/>
      <c r="Q53" s="23"/>
      <c r="R53" s="23"/>
      <c r="S53" s="23"/>
      <c r="T53" s="23"/>
      <c r="U53" s="23"/>
      <c r="V53" s="23"/>
      <c r="W53" s="23"/>
      <c r="X53" s="23"/>
      <c r="Y53" s="23"/>
    </row>
    <row r="54" spans="1:25" x14ac:dyDescent="0.2">
      <c r="M54" s="27"/>
      <c r="Q54" s="23"/>
      <c r="R54" s="23"/>
      <c r="S54" s="23"/>
      <c r="T54" s="23"/>
      <c r="U54" s="23"/>
      <c r="V54" s="23"/>
      <c r="W54" s="23"/>
      <c r="X54" s="23"/>
      <c r="Y54" s="23"/>
    </row>
    <row r="55" spans="1:25" x14ac:dyDescent="0.2">
      <c r="M55" s="27"/>
      <c r="Q55" s="23"/>
      <c r="R55" s="23"/>
      <c r="S55" s="23"/>
      <c r="T55" s="23"/>
      <c r="U55" s="23"/>
      <c r="V55" s="23"/>
      <c r="W55" s="23"/>
      <c r="X55" s="23"/>
      <c r="Y55" s="23"/>
    </row>
    <row r="56" spans="1:25" x14ac:dyDescent="0.2">
      <c r="M56" s="27"/>
      <c r="Q56" s="23"/>
      <c r="R56" s="23"/>
      <c r="S56" s="23"/>
      <c r="T56" s="23"/>
      <c r="U56" s="23"/>
      <c r="V56" s="23"/>
      <c r="W56" s="23"/>
      <c r="X56" s="23"/>
      <c r="Y56" s="23"/>
    </row>
    <row r="57" spans="1:25" x14ac:dyDescent="0.2">
      <c r="M57" s="27"/>
      <c r="Q57" s="23"/>
      <c r="R57" s="23"/>
      <c r="S57" s="23"/>
      <c r="T57" s="23"/>
      <c r="U57" s="23"/>
      <c r="V57" s="23"/>
      <c r="W57" s="23"/>
      <c r="X57" s="23"/>
      <c r="Y57" s="23"/>
    </row>
    <row r="58" spans="1:25" x14ac:dyDescent="0.2">
      <c r="A58" s="68" t="str">
        <f>[94]Base_01!$C$20</f>
        <v>…...............         …...............</v>
      </c>
      <c r="B58" s="68"/>
      <c r="C58" s="68"/>
      <c r="D58" s="68"/>
      <c r="E58" s="68"/>
      <c r="F58" s="68"/>
      <c r="L58" s="68" t="str">
        <f>[94]Base_01!$C$17</f>
        <v>AfrIandi Yudhistira, S.T.</v>
      </c>
      <c r="M58" s="68"/>
      <c r="N58" s="68"/>
      <c r="O58" s="68"/>
      <c r="P58" s="68"/>
      <c r="Q58" s="23"/>
      <c r="R58" s="23"/>
      <c r="S58" s="23"/>
      <c r="T58" s="23"/>
      <c r="U58" s="23"/>
      <c r="V58" s="23"/>
      <c r="W58" s="23"/>
      <c r="X58" s="23"/>
      <c r="Y58" s="23"/>
    </row>
    <row r="59" spans="1:25" x14ac:dyDescent="0.2">
      <c r="A59" s="86" t="s">
        <v>149</v>
      </c>
      <c r="B59" s="86"/>
      <c r="C59" s="86"/>
      <c r="D59" s="86"/>
      <c r="E59" s="86"/>
      <c r="F59" s="86"/>
      <c r="G59" s="86"/>
      <c r="H59" s="86"/>
      <c r="I59" s="86"/>
      <c r="J59" s="86"/>
      <c r="K59" s="86"/>
      <c r="L59" s="86"/>
      <c r="M59" s="86"/>
      <c r="N59" s="86"/>
      <c r="O59" s="86"/>
      <c r="P59" s="86"/>
      <c r="Q59" s="23">
        <f>Q1+1</f>
        <v>2</v>
      </c>
      <c r="R59" s="23"/>
      <c r="S59" s="23"/>
      <c r="T59" s="23"/>
      <c r="U59" s="23"/>
      <c r="V59" s="23"/>
      <c r="W59" s="23"/>
      <c r="X59" s="23"/>
      <c r="Y59" s="23"/>
    </row>
    <row r="60" spans="1:25" x14ac:dyDescent="0.2">
      <c r="A60" s="71" t="s">
        <v>148</v>
      </c>
      <c r="B60" s="71"/>
      <c r="C60" s="71"/>
      <c r="D60" s="71"/>
      <c r="E60" s="71"/>
      <c r="F60" s="71"/>
      <c r="G60" s="71"/>
      <c r="H60" s="71"/>
      <c r="I60" s="71"/>
      <c r="J60" s="71"/>
      <c r="K60" s="71"/>
      <c r="L60" s="71"/>
      <c r="M60" s="71"/>
      <c r="N60" s="71"/>
      <c r="O60" s="71"/>
      <c r="P60" s="71"/>
      <c r="Q60" s="23"/>
      <c r="R60" s="23"/>
      <c r="S60" s="23"/>
      <c r="T60" s="23"/>
      <c r="U60" s="23"/>
      <c r="V60" s="23"/>
      <c r="W60" s="23"/>
      <c r="X60" s="23"/>
      <c r="Y60" s="23"/>
    </row>
    <row r="61" spans="1:25" x14ac:dyDescent="0.2">
      <c r="A61" s="25"/>
      <c r="B61" s="25"/>
      <c r="C61" s="25"/>
      <c r="D61" s="25"/>
      <c r="E61" s="25"/>
      <c r="F61" s="25"/>
      <c r="G61" s="25"/>
      <c r="H61" s="25"/>
      <c r="I61" s="23"/>
      <c r="J61" s="24"/>
      <c r="K61" s="24"/>
      <c r="L61" s="24"/>
      <c r="M61" s="24"/>
      <c r="N61" s="24"/>
      <c r="O61" s="24"/>
      <c r="P61" s="24"/>
      <c r="Q61" s="23"/>
      <c r="R61" s="23"/>
      <c r="S61" s="23"/>
      <c r="T61" s="23"/>
      <c r="U61" s="23"/>
      <c r="V61" s="23"/>
      <c r="W61" s="23"/>
      <c r="X61" s="23"/>
      <c r="Y61" s="23"/>
    </row>
    <row r="62" spans="1:25" x14ac:dyDescent="0.2">
      <c r="A62" s="73" t="s">
        <v>147</v>
      </c>
      <c r="B62" s="73"/>
      <c r="C62" s="73"/>
      <c r="D62" s="73"/>
      <c r="E62" s="35" t="str">
        <f>VLOOKUP(Q59,[94]Base_02!$A$5:$AD$24,2,0)</f>
        <v>000002</v>
      </c>
      <c r="F62" s="23"/>
      <c r="G62" s="23"/>
      <c r="H62" s="24"/>
      <c r="I62" s="23"/>
      <c r="J62" s="24"/>
      <c r="K62" s="24"/>
      <c r="L62" s="24"/>
      <c r="M62" s="24"/>
      <c r="N62" s="24"/>
      <c r="O62" s="24"/>
      <c r="P62" s="24"/>
      <c r="Q62" s="23"/>
      <c r="R62" s="23"/>
      <c r="S62" s="23"/>
      <c r="T62" s="23"/>
      <c r="U62" s="23"/>
      <c r="V62" s="23"/>
      <c r="W62" s="23"/>
      <c r="X62" s="23"/>
      <c r="Y62" s="23"/>
    </row>
    <row r="63" spans="1:25" x14ac:dyDescent="0.2">
      <c r="A63" s="73" t="s">
        <v>68</v>
      </c>
      <c r="B63" s="73"/>
      <c r="C63" s="73"/>
      <c r="D63" s="73"/>
      <c r="E63" s="35" t="str">
        <f>VLOOKUP(Q59,[94]Base_02!$A$5:$AD$24,14,0)</f>
        <v>3304160101810004</v>
      </c>
      <c r="F63" s="23"/>
      <c r="G63" s="23"/>
      <c r="H63" s="24"/>
      <c r="I63" s="23"/>
      <c r="J63" s="24"/>
      <c r="K63" s="24"/>
      <c r="L63" s="24"/>
      <c r="M63" s="24"/>
      <c r="N63" s="24"/>
      <c r="O63" s="24"/>
      <c r="P63" s="24"/>
      <c r="Q63" s="23"/>
      <c r="R63" s="23"/>
      <c r="S63" s="23"/>
      <c r="T63" s="23"/>
      <c r="U63" s="23"/>
      <c r="V63" s="23"/>
      <c r="W63" s="23"/>
      <c r="X63" s="23"/>
      <c r="Y63" s="23"/>
    </row>
    <row r="64" spans="1:25" x14ac:dyDescent="0.2">
      <c r="A64" s="73" t="s">
        <v>150</v>
      </c>
      <c r="B64" s="73"/>
      <c r="C64" s="73"/>
      <c r="D64" s="73"/>
      <c r="E64" s="35" t="str">
        <f>VLOOKUP(Q59,[94]Base_02!$A$5:$AD$24,3,0)</f>
        <v>Nama PB 2</v>
      </c>
      <c r="F64" s="23"/>
      <c r="G64" s="23"/>
      <c r="H64" s="24"/>
      <c r="I64" s="23"/>
      <c r="J64" s="24"/>
      <c r="K64" s="24"/>
      <c r="L64" s="24"/>
      <c r="M64" s="24"/>
      <c r="N64" s="24"/>
      <c r="O64" s="24"/>
      <c r="P64" s="24"/>
      <c r="Q64" s="23"/>
      <c r="R64" s="23"/>
      <c r="S64" s="23"/>
      <c r="T64" s="23"/>
      <c r="U64" s="23"/>
      <c r="V64" s="23"/>
      <c r="W64" s="23"/>
      <c r="X64" s="23"/>
      <c r="Y64" s="23"/>
    </row>
    <row r="65" spans="1:25" x14ac:dyDescent="0.2">
      <c r="A65" s="73" t="s">
        <v>18</v>
      </c>
      <c r="B65" s="73"/>
      <c r="C65" s="73"/>
      <c r="D65" s="73"/>
      <c r="E65" s="35" t="str">
        <f>VLOOKUP(Q59,[94]Base_02!$A$5:$Z$24,11,FALSE)&amp;", RT "&amp;VLOOKUP(Q59,[94]Base_02!$A$5:$Z$24,12,FALSE)&amp;", RW "&amp;VLOOKUP(Q59,[94]Base_02!$A$5:$Z$24,13,FALSE)</f>
        <v>Jalan Kanal Victory, RT 1, RW 1</v>
      </c>
      <c r="F65" s="23"/>
      <c r="G65" s="23"/>
      <c r="H65" s="35"/>
      <c r="I65" s="23"/>
      <c r="J65" s="24"/>
      <c r="K65" s="24"/>
      <c r="L65" s="24"/>
      <c r="M65" s="24"/>
      <c r="N65" s="24"/>
      <c r="O65" s="24"/>
      <c r="P65" s="24"/>
      <c r="Q65" s="23"/>
      <c r="R65" s="23"/>
      <c r="S65" s="23"/>
      <c r="T65" s="23"/>
      <c r="U65" s="23"/>
      <c r="V65" s="23"/>
      <c r="W65" s="23"/>
      <c r="X65" s="23"/>
      <c r="Y65" s="23"/>
    </row>
    <row r="66" spans="1:25" x14ac:dyDescent="0.2">
      <c r="A66" s="73" t="str">
        <f>[94]Base_01!$B$2</f>
        <v>Kelurahan</v>
      </c>
      <c r="B66" s="73"/>
      <c r="C66" s="73"/>
      <c r="D66" s="73"/>
      <c r="E66" s="35" t="str">
        <f>[94]Base_01!$C$2</f>
        <v>Klasabi</v>
      </c>
      <c r="F66" s="23"/>
      <c r="G66" s="23"/>
      <c r="H66" s="24"/>
      <c r="I66" s="23"/>
      <c r="J66" s="24"/>
      <c r="K66" s="24"/>
      <c r="L66" s="24"/>
      <c r="M66" s="24"/>
      <c r="N66" s="24"/>
      <c r="O66" s="24"/>
      <c r="P66" s="24"/>
      <c r="Q66" s="23" t="s">
        <v>146</v>
      </c>
      <c r="R66" s="23"/>
      <c r="S66" s="23"/>
      <c r="T66" s="23"/>
      <c r="U66" s="23"/>
      <c r="V66" s="23"/>
      <c r="W66" s="23"/>
      <c r="X66" s="23"/>
      <c r="Y66" s="23"/>
    </row>
    <row r="67" spans="1:25" x14ac:dyDescent="0.2">
      <c r="A67" s="73" t="s">
        <v>19</v>
      </c>
      <c r="B67" s="73"/>
      <c r="C67" s="73"/>
      <c r="D67" s="73"/>
      <c r="E67" s="35" t="str">
        <f>[94]Base_01!$C$3</f>
        <v>Sorong Manoi</v>
      </c>
      <c r="F67" s="23"/>
      <c r="G67" s="23"/>
      <c r="H67" s="24"/>
      <c r="I67" s="23"/>
      <c r="J67" s="24"/>
      <c r="K67" s="24"/>
      <c r="L67" s="24"/>
      <c r="M67" s="24"/>
      <c r="N67" s="24"/>
      <c r="O67" s="24"/>
      <c r="P67" s="24"/>
      <c r="Q67" s="23" t="s">
        <v>145</v>
      </c>
      <c r="R67" s="23"/>
      <c r="S67" s="23"/>
      <c r="T67" s="23"/>
      <c r="U67" s="23"/>
      <c r="V67" s="23"/>
      <c r="W67" s="23"/>
      <c r="X67" s="23"/>
      <c r="Y67" s="23"/>
    </row>
    <row r="68" spans="1:25" x14ac:dyDescent="0.2">
      <c r="A68" s="73" t="str">
        <f>[94]Base_01!$B$4</f>
        <v>Kota</v>
      </c>
      <c r="B68" s="73"/>
      <c r="C68" s="73"/>
      <c r="D68" s="73"/>
      <c r="E68" s="35" t="str">
        <f>[94]Base_01!$C$4</f>
        <v>Sorong</v>
      </c>
      <c r="F68" s="23"/>
      <c r="G68" s="23"/>
      <c r="H68" s="24"/>
      <c r="I68" s="23"/>
      <c r="J68" s="24"/>
      <c r="K68" s="24"/>
      <c r="L68" s="24"/>
      <c r="M68" s="24"/>
      <c r="N68" s="24"/>
      <c r="O68" s="24"/>
      <c r="P68" s="24"/>
      <c r="Q68" s="23" t="s">
        <v>144</v>
      </c>
      <c r="R68" s="23"/>
      <c r="S68" s="23"/>
      <c r="T68" s="23"/>
      <c r="U68" s="23"/>
      <c r="V68" s="23"/>
      <c r="W68" s="23"/>
      <c r="X68" s="23"/>
      <c r="Y68" s="23"/>
    </row>
    <row r="69" spans="1:25" x14ac:dyDescent="0.2">
      <c r="A69" s="73" t="str">
        <f>[94]Base_01!$B$5</f>
        <v>Provinsi</v>
      </c>
      <c r="B69" s="73"/>
      <c r="C69" s="73"/>
      <c r="D69" s="73"/>
      <c r="E69" s="23" t="str">
        <f>[94]Base_01!$C$5</f>
        <v>Papua Barat Daya</v>
      </c>
      <c r="F69" s="23"/>
      <c r="G69" s="24"/>
      <c r="H69" s="24"/>
      <c r="I69" s="23"/>
      <c r="J69" s="24"/>
      <c r="K69" s="24"/>
      <c r="L69" s="24"/>
      <c r="M69" s="24"/>
      <c r="N69" s="24"/>
      <c r="O69" s="24"/>
      <c r="P69" s="24"/>
      <c r="Q69" s="23" t="s">
        <v>143</v>
      </c>
      <c r="R69" s="23"/>
      <c r="S69" s="23"/>
      <c r="T69" s="23"/>
      <c r="U69" s="23"/>
      <c r="V69" s="23"/>
      <c r="W69" s="23"/>
      <c r="X69" s="23"/>
      <c r="Y69" s="23"/>
    </row>
    <row r="70" spans="1:25" x14ac:dyDescent="0.2">
      <c r="A70" s="23"/>
      <c r="B70" s="23"/>
      <c r="C70" s="23"/>
      <c r="D70" s="23"/>
      <c r="E70" s="23"/>
      <c r="F70" s="23"/>
      <c r="G70" s="23"/>
      <c r="H70" s="23"/>
      <c r="I70" s="24"/>
      <c r="J70" s="24"/>
      <c r="K70" s="24"/>
      <c r="L70" s="24"/>
      <c r="M70" s="24"/>
      <c r="N70" s="24"/>
      <c r="O70" s="24"/>
      <c r="P70" s="24"/>
      <c r="Q70" s="23"/>
      <c r="R70" s="23"/>
      <c r="S70" s="23"/>
      <c r="T70" s="23"/>
      <c r="U70" s="23"/>
      <c r="V70" s="23"/>
      <c r="W70" s="23"/>
      <c r="X70" s="23"/>
      <c r="Y70" s="23"/>
    </row>
    <row r="71" spans="1:25" x14ac:dyDescent="0.2">
      <c r="A71" s="33"/>
      <c r="B71" s="33"/>
      <c r="C71" s="33"/>
      <c r="D71" s="33"/>
      <c r="E71" s="33"/>
      <c r="F71" s="33"/>
      <c r="G71" s="33"/>
      <c r="H71" s="33"/>
      <c r="I71" s="33"/>
      <c r="J71" s="33"/>
      <c r="K71" s="33"/>
      <c r="L71" s="33"/>
      <c r="M71" s="34"/>
      <c r="N71" s="33"/>
      <c r="O71" s="33"/>
      <c r="P71" s="33"/>
      <c r="Q71" s="23"/>
      <c r="R71" s="23"/>
      <c r="S71" s="23"/>
      <c r="T71" s="23"/>
      <c r="U71" s="23"/>
      <c r="V71" s="23"/>
      <c r="W71" s="23"/>
      <c r="X71" s="23"/>
      <c r="Y71" s="23"/>
    </row>
    <row r="72" spans="1:25" x14ac:dyDescent="0.2">
      <c r="A72" s="80" t="s">
        <v>142</v>
      </c>
      <c r="B72" s="81"/>
      <c r="C72" s="81"/>
      <c r="D72" s="81"/>
      <c r="E72" s="81"/>
      <c r="F72" s="81"/>
      <c r="G72" s="81"/>
      <c r="H72" s="81"/>
      <c r="I72" s="80" t="s">
        <v>151</v>
      </c>
      <c r="J72" s="81"/>
      <c r="K72" s="81"/>
      <c r="L72" s="81"/>
      <c r="M72" s="81"/>
      <c r="N72" s="81"/>
      <c r="O72" s="81"/>
      <c r="P72" s="82"/>
      <c r="Q72" s="23"/>
      <c r="R72" s="23"/>
      <c r="S72" s="23"/>
      <c r="T72" s="23"/>
      <c r="U72" s="23"/>
      <c r="V72" s="21"/>
      <c r="W72" s="21"/>
      <c r="X72" s="21"/>
      <c r="Y72" s="21"/>
    </row>
    <row r="73" spans="1:25" x14ac:dyDescent="0.2">
      <c r="A73" s="48"/>
      <c r="B73" s="49"/>
      <c r="C73" s="49"/>
      <c r="D73" s="50"/>
      <c r="E73" s="50"/>
      <c r="F73" s="49"/>
      <c r="G73" s="49"/>
      <c r="H73" s="49"/>
      <c r="I73" s="48"/>
      <c r="J73" s="49"/>
      <c r="K73" s="49"/>
      <c r="L73" s="50"/>
      <c r="M73" s="50"/>
      <c r="N73" s="49"/>
      <c r="O73" s="49"/>
      <c r="P73" s="51"/>
      <c r="Q73" s="23"/>
      <c r="R73" s="23"/>
      <c r="S73" s="23"/>
      <c r="T73" s="23"/>
      <c r="U73" s="23"/>
      <c r="V73" s="21"/>
      <c r="W73" s="21"/>
      <c r="X73" s="21"/>
      <c r="Y73" s="21"/>
    </row>
    <row r="74" spans="1:25" ht="16" x14ac:dyDescent="0.2">
      <c r="A74" s="36" t="s">
        <v>141</v>
      </c>
      <c r="B74" s="23"/>
      <c r="C74" s="26" t="s">
        <v>112</v>
      </c>
      <c r="D74" s="83">
        <f>VLOOKUP(Q59,[95]Base_03!$A$5:$AS$24,5,0)</f>
        <v>36</v>
      </c>
      <c r="E74" s="84"/>
      <c r="F74" s="23" t="s">
        <v>140</v>
      </c>
      <c r="G74" s="23"/>
      <c r="H74" s="23"/>
      <c r="I74" s="36" t="s">
        <v>141</v>
      </c>
      <c r="J74" s="26"/>
      <c r="K74" s="26" t="s">
        <v>119</v>
      </c>
      <c r="L74" s="85">
        <f>VLOOKUP(Q59,[95]Base_04!$A$5:$AS$24,5,0)</f>
        <v>49</v>
      </c>
      <c r="M74" s="85"/>
      <c r="N74" s="30" t="s">
        <v>140</v>
      </c>
      <c r="O74" s="23"/>
      <c r="P74" s="37"/>
      <c r="Q74" s="23"/>
      <c r="R74" s="23"/>
      <c r="S74" s="23"/>
      <c r="T74" s="23"/>
      <c r="U74" s="23"/>
      <c r="V74" s="21"/>
      <c r="W74" s="21"/>
      <c r="X74" s="21"/>
      <c r="Y74" s="21"/>
    </row>
    <row r="75" spans="1:25" ht="15" customHeight="1" x14ac:dyDescent="0.2">
      <c r="A75" s="38" t="s">
        <v>139</v>
      </c>
      <c r="B75" s="23"/>
      <c r="C75" s="26"/>
      <c r="D75" s="79" t="s">
        <v>131</v>
      </c>
      <c r="E75" s="79"/>
      <c r="F75" s="79" t="s">
        <v>130</v>
      </c>
      <c r="G75" s="79"/>
      <c r="H75" s="23"/>
      <c r="I75" s="38" t="s">
        <v>139</v>
      </c>
      <c r="J75" s="23"/>
      <c r="K75" s="26"/>
      <c r="L75" s="79" t="s">
        <v>131</v>
      </c>
      <c r="M75" s="79"/>
      <c r="N75" s="79" t="s">
        <v>130</v>
      </c>
      <c r="O75" s="79"/>
      <c r="P75" s="52"/>
      <c r="Q75" s="23"/>
      <c r="R75" s="23"/>
      <c r="S75" s="23"/>
      <c r="T75" s="23"/>
      <c r="U75" s="23"/>
      <c r="V75" s="21"/>
      <c r="W75" s="21"/>
      <c r="X75" s="21"/>
      <c r="Y75" s="21"/>
    </row>
    <row r="76" spans="1:25" x14ac:dyDescent="0.2">
      <c r="A76" s="39"/>
      <c r="B76" s="23"/>
      <c r="C76" s="26"/>
      <c r="D76" s="79"/>
      <c r="E76" s="79"/>
      <c r="F76" s="79"/>
      <c r="G76" s="79"/>
      <c r="H76" s="23"/>
      <c r="I76" s="39"/>
      <c r="J76" s="23"/>
      <c r="K76" s="26"/>
      <c r="L76" s="79"/>
      <c r="M76" s="79"/>
      <c r="N76" s="79"/>
      <c r="O76" s="79"/>
      <c r="P76" s="52"/>
      <c r="Q76" s="23"/>
      <c r="R76" s="23"/>
      <c r="S76" s="23"/>
      <c r="T76" s="23"/>
      <c r="U76" s="23"/>
      <c r="V76" s="21"/>
      <c r="W76" s="21"/>
      <c r="X76" s="21"/>
      <c r="Y76" s="21"/>
    </row>
    <row r="77" spans="1:25" x14ac:dyDescent="0.2">
      <c r="A77" s="72" t="s">
        <v>138</v>
      </c>
      <c r="B77" s="73"/>
      <c r="C77" s="73" t="s">
        <v>112</v>
      </c>
      <c r="D77" s="78" t="str">
        <f>VLOOKUP(Q59,[95]Base_03!$A$5:$AS$24,6,0)</f>
        <v>Batu Kali</v>
      </c>
      <c r="E77" s="78"/>
      <c r="F77" s="77">
        <f>VLOOKUP(Q59,[95]Base_03!$A$5:$AS$24,12,0)</f>
        <v>2.0249999999999999</v>
      </c>
      <c r="G77" s="77"/>
      <c r="H77" s="23" t="s">
        <v>134</v>
      </c>
      <c r="I77" s="72" t="s">
        <v>138</v>
      </c>
      <c r="J77" s="73"/>
      <c r="K77" s="73"/>
      <c r="L77" s="78" t="str">
        <f>VLOOKUP(Q59,[95]Base_04!$A$5:$AS$24,6,0)</f>
        <v>Batu Kali</v>
      </c>
      <c r="M77" s="78"/>
      <c r="N77" s="77">
        <f>VLOOKUP(Q59,[95]Base_04!$A$5:$AS$24,12,0)</f>
        <v>2.0249999999999999</v>
      </c>
      <c r="O77" s="77"/>
      <c r="P77" s="37" t="s">
        <v>134</v>
      </c>
      <c r="Q77" s="23" t="s">
        <v>123</v>
      </c>
      <c r="R77" s="23"/>
      <c r="S77" s="23"/>
      <c r="T77" s="23"/>
      <c r="U77" s="23"/>
      <c r="V77" s="21"/>
      <c r="W77" s="21"/>
      <c r="X77" s="21"/>
      <c r="Y77" s="21"/>
    </row>
    <row r="78" spans="1:25" x14ac:dyDescent="0.2">
      <c r="A78" s="72" t="s">
        <v>137</v>
      </c>
      <c r="B78" s="73"/>
      <c r="C78" s="73" t="s">
        <v>112</v>
      </c>
      <c r="D78" s="78" t="str">
        <f>VLOOKUP(Q59,[95]Base_03!$A$5:$AS$24,13,0)</f>
        <v>S 2</v>
      </c>
      <c r="E78" s="78"/>
      <c r="F78" s="77">
        <f>VLOOKUP(Q59,[95]Base_03!$A$5:$AS$24,15,0)</f>
        <v>0</v>
      </c>
      <c r="G78" s="77"/>
      <c r="H78" s="23" t="s">
        <v>134</v>
      </c>
      <c r="I78" s="72" t="s">
        <v>137</v>
      </c>
      <c r="J78" s="73"/>
      <c r="K78" s="73"/>
      <c r="L78" s="78" t="str">
        <f>VLOOKUP(Q59,[95]Base_04!$A$5:$AS$24,13,0)</f>
        <v>S 2</v>
      </c>
      <c r="M78" s="78"/>
      <c r="N78" s="77">
        <f>VLOOKUP(Q59,[95]Base_04!$A$5:$AS$24,15,0)</f>
        <v>0</v>
      </c>
      <c r="O78" s="77"/>
      <c r="P78" s="37" t="s">
        <v>134</v>
      </c>
      <c r="Q78" s="23" t="s">
        <v>123</v>
      </c>
      <c r="R78" s="23"/>
      <c r="S78" s="23"/>
      <c r="T78" s="23"/>
      <c r="U78" s="23"/>
      <c r="V78" s="21"/>
      <c r="W78" s="21"/>
      <c r="X78" s="21"/>
      <c r="Y78" s="21"/>
    </row>
    <row r="79" spans="1:25" x14ac:dyDescent="0.2">
      <c r="A79" s="72" t="s">
        <v>136</v>
      </c>
      <c r="B79" s="73"/>
      <c r="C79" s="73" t="s">
        <v>112</v>
      </c>
      <c r="D79" s="78" t="str">
        <f>VLOOKUP(Q59,[95]Base_03!$A$5:$AS$24,16,0)</f>
        <v>Beton</v>
      </c>
      <c r="E79" s="78"/>
      <c r="F79" s="77">
        <f>VLOOKUP(Q59,[95]Base_03!$A$5:$AS$24,22,0)</f>
        <v>0</v>
      </c>
      <c r="G79" s="77"/>
      <c r="H79" s="23" t="s">
        <v>134</v>
      </c>
      <c r="I79" s="72" t="s">
        <v>136</v>
      </c>
      <c r="J79" s="73"/>
      <c r="K79" s="73"/>
      <c r="L79" s="78" t="str">
        <f>VLOOKUP(Q59,[95]Base_04!$A$5:$AS$24,16,0)</f>
        <v>Beton</v>
      </c>
      <c r="M79" s="78"/>
      <c r="N79" s="77">
        <f>VLOOKUP(Q59,[95]Base_04!$A$5:$AS$24,22,0)</f>
        <v>0</v>
      </c>
      <c r="O79" s="77"/>
      <c r="P79" s="37" t="s">
        <v>134</v>
      </c>
      <c r="Q79" s="23" t="s">
        <v>123</v>
      </c>
      <c r="R79" s="23"/>
      <c r="S79" s="23"/>
      <c r="T79" s="23"/>
      <c r="U79" s="23"/>
      <c r="V79" s="21"/>
      <c r="W79" s="21"/>
      <c r="X79" s="21"/>
      <c r="Y79" s="21"/>
    </row>
    <row r="80" spans="1:25" x14ac:dyDescent="0.2">
      <c r="A80" s="72" t="s">
        <v>135</v>
      </c>
      <c r="B80" s="73"/>
      <c r="C80" s="73" t="s">
        <v>112</v>
      </c>
      <c r="D80" s="78" t="str">
        <f>VLOOKUP(Q59,[95]Base_03!$A$5:$AS$24,23,0)</f>
        <v>K 2</v>
      </c>
      <c r="E80" s="78"/>
      <c r="F80" s="77">
        <f>VLOOKUP(Q59,[95]Base_03!$A$5:$AS$24,24,0)</f>
        <v>0</v>
      </c>
      <c r="G80" s="77"/>
      <c r="H80" s="23" t="s">
        <v>134</v>
      </c>
      <c r="I80" s="72" t="s">
        <v>135</v>
      </c>
      <c r="J80" s="73"/>
      <c r="K80" s="73"/>
      <c r="L80" s="78" t="str">
        <f>VLOOKUP(Q59,[95]Base_04!$A$5:$AS$24,23,0)</f>
        <v>K 2</v>
      </c>
      <c r="M80" s="78"/>
      <c r="N80" s="77">
        <f>VLOOKUP(Q59,[95]Base_04!$A$5:$AS$24,24,0)</f>
        <v>0</v>
      </c>
      <c r="O80" s="77"/>
      <c r="P80" s="37" t="s">
        <v>134</v>
      </c>
      <c r="Q80" s="23" t="s">
        <v>123</v>
      </c>
      <c r="R80" s="23"/>
      <c r="S80" s="23"/>
      <c r="T80" s="23"/>
      <c r="U80" s="23"/>
      <c r="V80" s="21"/>
      <c r="W80" s="21"/>
      <c r="X80" s="21"/>
      <c r="Y80" s="21"/>
    </row>
    <row r="81" spans="1:25" x14ac:dyDescent="0.2">
      <c r="A81" s="72" t="s">
        <v>133</v>
      </c>
      <c r="B81" s="73"/>
      <c r="C81" s="73" t="s">
        <v>112</v>
      </c>
      <c r="D81" s="78" t="str">
        <f>VLOOKUP(Q59,[95]Base_03!$A$5:$AS$24,25,0)</f>
        <v>K 2</v>
      </c>
      <c r="E81" s="78"/>
      <c r="F81" s="77">
        <f>VLOOKUP(Q59,[95]Base_03!$A$5:$AS$24,26,0)</f>
        <v>73.900834456272094</v>
      </c>
      <c r="G81" s="77"/>
      <c r="H81" s="23" t="s">
        <v>124</v>
      </c>
      <c r="I81" s="72" t="s">
        <v>133</v>
      </c>
      <c r="J81" s="73"/>
      <c r="K81" s="73"/>
      <c r="L81" s="78" t="str">
        <f>VLOOKUP(Q59,[95]Base_04!$A$5:$AS$24,25,0)</f>
        <v>K 2</v>
      </c>
      <c r="M81" s="78"/>
      <c r="N81" s="77">
        <f>VLOOKUP(Q59,[95]Base_04!$A$5:$AS$24,26,0)</f>
        <v>93.530743608719362</v>
      </c>
      <c r="O81" s="77"/>
      <c r="P81" s="37" t="s">
        <v>124</v>
      </c>
      <c r="Q81" s="23" t="s">
        <v>123</v>
      </c>
      <c r="R81" s="23"/>
      <c r="S81" s="23"/>
      <c r="T81" s="23"/>
      <c r="U81" s="23"/>
      <c r="V81" s="21"/>
      <c r="W81" s="21"/>
      <c r="X81" s="21"/>
      <c r="Y81" s="21"/>
    </row>
    <row r="82" spans="1:25" x14ac:dyDescent="0.2">
      <c r="A82" s="40"/>
      <c r="B82" s="31"/>
      <c r="C82" s="31"/>
      <c r="D82" s="41"/>
      <c r="E82" s="41"/>
      <c r="F82" s="30"/>
      <c r="G82" s="23"/>
      <c r="H82" s="23"/>
      <c r="I82" s="40"/>
      <c r="J82" s="31"/>
      <c r="K82" s="31"/>
      <c r="L82" s="41"/>
      <c r="M82" s="41"/>
      <c r="N82" s="30"/>
      <c r="O82" s="23"/>
      <c r="P82" s="37"/>
      <c r="Q82" s="23"/>
      <c r="R82" s="23"/>
      <c r="S82" s="23"/>
      <c r="T82" s="23"/>
      <c r="U82" s="23"/>
      <c r="V82" s="21"/>
      <c r="W82" s="21"/>
      <c r="X82" s="21"/>
      <c r="Y82" s="21"/>
    </row>
    <row r="83" spans="1:25" x14ac:dyDescent="0.2">
      <c r="A83" s="38" t="s">
        <v>132</v>
      </c>
      <c r="B83" s="23"/>
      <c r="C83" s="26"/>
      <c r="D83" s="79" t="s">
        <v>131</v>
      </c>
      <c r="E83" s="79"/>
      <c r="F83" s="79" t="s">
        <v>130</v>
      </c>
      <c r="G83" s="79"/>
      <c r="H83" s="23"/>
      <c r="I83" s="38" t="s">
        <v>132</v>
      </c>
      <c r="J83" s="23"/>
      <c r="K83" s="26"/>
      <c r="L83" s="79" t="s">
        <v>131</v>
      </c>
      <c r="M83" s="79"/>
      <c r="N83" s="79" t="s">
        <v>130</v>
      </c>
      <c r="O83" s="79"/>
      <c r="P83" s="52"/>
      <c r="Q83" s="23"/>
      <c r="R83" s="23"/>
      <c r="S83" s="23"/>
      <c r="T83" s="23"/>
      <c r="U83" s="23"/>
      <c r="V83" s="21"/>
      <c r="W83" s="21"/>
      <c r="X83" s="21"/>
      <c r="Y83" s="21"/>
    </row>
    <row r="84" spans="1:25" x14ac:dyDescent="0.2">
      <c r="A84" s="39"/>
      <c r="B84" s="23"/>
      <c r="C84" s="26"/>
      <c r="D84" s="79"/>
      <c r="E84" s="79"/>
      <c r="F84" s="79"/>
      <c r="G84" s="79"/>
      <c r="H84" s="23"/>
      <c r="I84" s="39"/>
      <c r="J84" s="23"/>
      <c r="K84" s="26"/>
      <c r="L84" s="79"/>
      <c r="M84" s="79"/>
      <c r="N84" s="79"/>
      <c r="O84" s="79"/>
      <c r="P84" s="52"/>
      <c r="Q84" s="23"/>
      <c r="R84" s="23"/>
      <c r="S84" s="23"/>
      <c r="T84" s="23"/>
      <c r="U84" s="23"/>
      <c r="V84" s="21"/>
      <c r="W84" s="21"/>
      <c r="X84" s="21"/>
      <c r="Y84" s="21"/>
    </row>
    <row r="85" spans="1:25" x14ac:dyDescent="0.2">
      <c r="A85" s="72" t="s">
        <v>129</v>
      </c>
      <c r="B85" s="73"/>
      <c r="C85" s="73" t="s">
        <v>119</v>
      </c>
      <c r="D85" s="78" t="str">
        <f>VLOOKUP(Q59,[95]Base_03!$A$5:$AS$24,28,0)</f>
        <v xml:space="preserve"> G 2</v>
      </c>
      <c r="E85" s="78"/>
      <c r="F85" s="77">
        <f>VLOOKUP(Q59,[95]Base_03!$A$5:$AS$24,30,0)</f>
        <v>55</v>
      </c>
      <c r="G85" s="77"/>
      <c r="H85" s="23" t="s">
        <v>124</v>
      </c>
      <c r="I85" s="72" t="s">
        <v>129</v>
      </c>
      <c r="J85" s="73"/>
      <c r="K85" s="73" t="s">
        <v>119</v>
      </c>
      <c r="L85" s="78" t="str">
        <f>VLOOKUP(Q59,[95]Base_04!$A$5:$AS$24,28,0)</f>
        <v xml:space="preserve"> G 2</v>
      </c>
      <c r="M85" s="78"/>
      <c r="N85" s="77">
        <f>VLOOKUP(Q59,[95]Base_04!$A$5:$AS$24,30,0)</f>
        <v>55</v>
      </c>
      <c r="O85" s="77"/>
      <c r="P85" s="37" t="s">
        <v>124</v>
      </c>
      <c r="Q85" s="23" t="s">
        <v>123</v>
      </c>
      <c r="R85" s="23"/>
      <c r="S85" s="23"/>
      <c r="T85" s="23"/>
      <c r="U85" s="23"/>
      <c r="V85" s="21"/>
      <c r="W85" s="21"/>
      <c r="X85" s="21"/>
      <c r="Y85" s="21"/>
    </row>
    <row r="86" spans="1:25" x14ac:dyDescent="0.2">
      <c r="A86" s="72" t="s">
        <v>128</v>
      </c>
      <c r="B86" s="73"/>
      <c r="C86" s="73" t="s">
        <v>119</v>
      </c>
      <c r="D86" s="78" t="str">
        <f>VLOOKUP(Q59,[95]Base_03!$A$5:$AS$24,31,0)</f>
        <v>H 2</v>
      </c>
      <c r="E86" s="78"/>
      <c r="F86" s="77">
        <f>VLOOKUP(Q59,[95]Base_03!$A$5:$AS$24,34,0)</f>
        <v>-5.76</v>
      </c>
      <c r="G86" s="77"/>
      <c r="H86" s="23" t="s">
        <v>124</v>
      </c>
      <c r="I86" s="72" t="s">
        <v>128</v>
      </c>
      <c r="J86" s="73"/>
      <c r="K86" s="73" t="s">
        <v>119</v>
      </c>
      <c r="L86" s="78" t="str">
        <f>VLOOKUP(Q59,[95]Base_04!$A$5:$AS$24,31,0)</f>
        <v>H 2</v>
      </c>
      <c r="M86" s="78"/>
      <c r="N86" s="77">
        <f>VLOOKUP(Q59,[95]Base_04!$A$5:$AS$24,34,0)</f>
        <v>-5.76</v>
      </c>
      <c r="O86" s="77"/>
      <c r="P86" s="37" t="s">
        <v>124</v>
      </c>
      <c r="Q86" s="23" t="s">
        <v>123</v>
      </c>
      <c r="R86" s="23"/>
      <c r="S86" s="23"/>
      <c r="T86" s="23"/>
      <c r="U86" s="23"/>
      <c r="V86" s="21"/>
      <c r="W86" s="21"/>
      <c r="X86" s="21"/>
      <c r="Y86" s="21"/>
    </row>
    <row r="87" spans="1:25" x14ac:dyDescent="0.2">
      <c r="A87" s="89" t="s">
        <v>127</v>
      </c>
      <c r="B87" s="90"/>
      <c r="C87" s="90" t="s">
        <v>119</v>
      </c>
      <c r="D87" s="91" t="str">
        <f>VLOOKUP(Q59,[95]Base_03!$A$5:$AS$24,35,0)</f>
        <v>Kayu</v>
      </c>
      <c r="E87" s="91"/>
      <c r="F87" s="92">
        <f>VLOOKUP(Q59,[95]Base_03!$A$5:$AS$24,36,0)</f>
        <v>5.76</v>
      </c>
      <c r="G87" s="92"/>
      <c r="H87" s="23" t="s">
        <v>124</v>
      </c>
      <c r="I87" s="89" t="s">
        <v>127</v>
      </c>
      <c r="J87" s="90"/>
      <c r="K87" s="90" t="s">
        <v>119</v>
      </c>
      <c r="L87" s="91" t="str">
        <f>VLOOKUP(Q59,[95]Base_04!$A$5:$AS$24,35,0)</f>
        <v>Kayu</v>
      </c>
      <c r="M87" s="91"/>
      <c r="N87" s="92">
        <f>VLOOKUP(Q59,[95]Base_04!$A$5:$AS$24,36,0)</f>
        <v>5.76</v>
      </c>
      <c r="O87" s="92"/>
      <c r="P87" s="37" t="s">
        <v>124</v>
      </c>
      <c r="Q87" s="23" t="s">
        <v>123</v>
      </c>
      <c r="R87" s="23"/>
      <c r="S87" s="23"/>
      <c r="T87" s="23"/>
      <c r="U87" s="23"/>
      <c r="V87" s="21"/>
      <c r="W87" s="21"/>
      <c r="X87" s="21"/>
      <c r="Y87" s="21"/>
    </row>
    <row r="88" spans="1:25" x14ac:dyDescent="0.2">
      <c r="A88" s="74" t="s">
        <v>126</v>
      </c>
      <c r="B88" s="75"/>
      <c r="C88" s="75"/>
      <c r="D88" s="91"/>
      <c r="E88" s="91"/>
      <c r="F88" s="92"/>
      <c r="G88" s="92"/>
      <c r="H88" s="23"/>
      <c r="I88" s="74" t="s">
        <v>126</v>
      </c>
      <c r="J88" s="75"/>
      <c r="K88" s="75"/>
      <c r="L88" s="91"/>
      <c r="M88" s="91"/>
      <c r="N88" s="92"/>
      <c r="O88" s="92"/>
      <c r="P88" s="37"/>
      <c r="Q88" s="23"/>
      <c r="R88" s="23"/>
      <c r="S88" s="23"/>
      <c r="T88" s="23"/>
      <c r="U88" s="23"/>
      <c r="V88" s="21"/>
      <c r="W88" s="21"/>
      <c r="X88" s="21"/>
      <c r="Y88" s="21"/>
    </row>
    <row r="89" spans="1:25" x14ac:dyDescent="0.2">
      <c r="A89" s="72" t="s">
        <v>125</v>
      </c>
      <c r="B89" s="73"/>
      <c r="C89" s="73" t="s">
        <v>119</v>
      </c>
      <c r="D89" s="78" t="str">
        <f>VLOOKUP(Q59,[95]Base_03!$A$5:$AS$24,39,0)</f>
        <v>R 2</v>
      </c>
      <c r="E89" s="78"/>
      <c r="F89" s="77">
        <f>VLOOKUP(Q59,[95]Base_03!$A$5:$AS$24,40,0)</f>
        <v>36</v>
      </c>
      <c r="G89" s="77"/>
      <c r="H89" s="23" t="s">
        <v>124</v>
      </c>
      <c r="I89" s="72" t="s">
        <v>125</v>
      </c>
      <c r="J89" s="73"/>
      <c r="K89" s="73" t="s">
        <v>119</v>
      </c>
      <c r="L89" s="78" t="str">
        <f>VLOOKUP(Q59,[95]Base_04!$A$5:$AS$24,39,0)</f>
        <v>R 2</v>
      </c>
      <c r="M89" s="78"/>
      <c r="N89" s="77">
        <f>VLOOKUP(Q59,[95]Base_04!$A$5:$AS$24,40,0)</f>
        <v>49</v>
      </c>
      <c r="O89" s="77"/>
      <c r="P89" s="37" t="s">
        <v>124</v>
      </c>
      <c r="Q89" s="23" t="s">
        <v>123</v>
      </c>
      <c r="R89" s="23"/>
      <c r="S89" s="23"/>
      <c r="T89" s="23"/>
      <c r="U89" s="23"/>
      <c r="V89" s="21"/>
      <c r="W89" s="21"/>
      <c r="X89" s="21"/>
      <c r="Y89" s="21"/>
    </row>
    <row r="90" spans="1:25" x14ac:dyDescent="0.2">
      <c r="A90" s="39"/>
      <c r="B90" s="23"/>
      <c r="C90" s="23"/>
      <c r="D90" s="23"/>
      <c r="E90" s="23"/>
      <c r="F90" s="23"/>
      <c r="G90" s="23"/>
      <c r="H90" s="23"/>
      <c r="I90" s="39"/>
      <c r="J90" s="45"/>
      <c r="K90" s="45"/>
      <c r="L90" s="45"/>
      <c r="M90" s="23"/>
      <c r="N90" s="30"/>
      <c r="O90" s="23"/>
      <c r="P90" s="37"/>
      <c r="Q90" s="23"/>
      <c r="R90" s="23"/>
      <c r="S90" s="23"/>
      <c r="T90" s="23"/>
      <c r="U90" s="23"/>
      <c r="V90" s="21"/>
      <c r="W90" s="21"/>
      <c r="X90" s="21"/>
      <c r="Y90" s="21"/>
    </row>
    <row r="91" spans="1:25" x14ac:dyDescent="0.2">
      <c r="A91" s="72" t="s">
        <v>122</v>
      </c>
      <c r="B91" s="73"/>
      <c r="C91" s="73" t="s">
        <v>112</v>
      </c>
      <c r="D91" s="76">
        <f>VLOOKUP(Q59,[95]Base_03!$A$5:$AS$24,42,0)</f>
        <v>6.666666666666667</v>
      </c>
      <c r="E91" s="76"/>
      <c r="F91" s="25" t="s">
        <v>118</v>
      </c>
      <c r="G91" s="23"/>
      <c r="H91" s="23"/>
      <c r="I91" s="72" t="s">
        <v>122</v>
      </c>
      <c r="J91" s="73"/>
      <c r="K91" s="73" t="s">
        <v>112</v>
      </c>
      <c r="L91" s="76">
        <f>VLOOKUP(Q59,[95]Base_04!$A$5:$AS$24,42,0)</f>
        <v>4.8979591836734695</v>
      </c>
      <c r="M91" s="76"/>
      <c r="N91" s="46" t="s">
        <v>118</v>
      </c>
      <c r="O91" s="23"/>
      <c r="P91" s="37"/>
      <c r="Q91" s="32" t="s">
        <v>121</v>
      </c>
      <c r="R91" s="23"/>
      <c r="S91" s="23"/>
      <c r="T91" s="23"/>
      <c r="U91" s="23"/>
      <c r="V91" s="21"/>
      <c r="W91" s="21"/>
      <c r="X91" s="21"/>
      <c r="Y91" s="21"/>
    </row>
    <row r="92" spans="1:25" x14ac:dyDescent="0.2">
      <c r="A92" s="72" t="s">
        <v>120</v>
      </c>
      <c r="B92" s="73"/>
      <c r="C92" s="73" t="s">
        <v>119</v>
      </c>
      <c r="D92" s="76">
        <f>VLOOKUP(Q59,[95]Base_03!$A$5:$AS$24,43,0)</f>
        <v>9.6666666666666661</v>
      </c>
      <c r="E92" s="76"/>
      <c r="F92" s="25" t="s">
        <v>118</v>
      </c>
      <c r="G92" s="23"/>
      <c r="H92" s="23"/>
      <c r="I92" s="72" t="s">
        <v>120</v>
      </c>
      <c r="J92" s="73"/>
      <c r="K92" s="73" t="s">
        <v>119</v>
      </c>
      <c r="L92" s="76">
        <f>VLOOKUP(Q59,[95]Base_04!$A$5:$AS$24,43,0)</f>
        <v>7.1020408163265314</v>
      </c>
      <c r="M92" s="76"/>
      <c r="N92" s="46" t="s">
        <v>118</v>
      </c>
      <c r="O92" s="23"/>
      <c r="P92" s="37"/>
      <c r="Q92" s="32" t="s">
        <v>117</v>
      </c>
      <c r="R92" s="23"/>
      <c r="S92" s="23"/>
      <c r="T92" s="23"/>
      <c r="U92" s="23"/>
      <c r="V92" s="21"/>
      <c r="W92" s="21"/>
      <c r="X92" s="21"/>
      <c r="Y92" s="21"/>
    </row>
    <row r="93" spans="1:25" x14ac:dyDescent="0.2">
      <c r="A93" s="72" t="s">
        <v>115</v>
      </c>
      <c r="B93" s="73"/>
      <c r="C93" s="73"/>
      <c r="D93" s="71" t="str">
        <f>VLOOKUP(Q59,[95]Base_03!$A$5:$AS$24,44,0)</f>
        <v>(Ada) Baik</v>
      </c>
      <c r="E93" s="71"/>
      <c r="F93" s="23"/>
      <c r="G93" s="23"/>
      <c r="H93" s="23"/>
      <c r="I93" s="72" t="s">
        <v>115</v>
      </c>
      <c r="J93" s="73"/>
      <c r="K93" s="73"/>
      <c r="L93" s="71" t="str">
        <f>VLOOKUP(Q59,[95]Base_04!$A$5:$AS$24,44,0)</f>
        <v>(Ada) Baik</v>
      </c>
      <c r="M93" s="71"/>
      <c r="N93" s="30"/>
      <c r="O93" s="23"/>
      <c r="P93" s="37"/>
      <c r="Q93" s="23"/>
      <c r="R93" s="23"/>
      <c r="S93" s="23"/>
      <c r="T93" s="23"/>
      <c r="U93" s="23"/>
      <c r="V93" s="21"/>
      <c r="W93" s="21"/>
      <c r="X93" s="21"/>
      <c r="Y93" s="21"/>
    </row>
    <row r="94" spans="1:25" x14ac:dyDescent="0.2">
      <c r="A94" s="74" t="s">
        <v>116</v>
      </c>
      <c r="B94" s="75"/>
      <c r="C94" s="26"/>
      <c r="D94" s="25"/>
      <c r="E94" s="25"/>
      <c r="F94" s="23"/>
      <c r="G94" s="23"/>
      <c r="H94" s="23"/>
      <c r="I94" s="74" t="s">
        <v>116</v>
      </c>
      <c r="J94" s="75"/>
      <c r="K94" s="26"/>
      <c r="L94" s="25"/>
      <c r="M94" s="25"/>
      <c r="N94" s="30"/>
      <c r="O94" s="23"/>
      <c r="P94" s="37"/>
      <c r="Q94" s="23"/>
      <c r="R94" s="23"/>
      <c r="S94" s="23"/>
      <c r="T94" s="23"/>
      <c r="U94" s="23"/>
      <c r="V94" s="21"/>
      <c r="W94" s="21"/>
      <c r="X94" s="21"/>
      <c r="Y94" s="21"/>
    </row>
    <row r="95" spans="1:25" x14ac:dyDescent="0.2">
      <c r="A95" s="72" t="s">
        <v>115</v>
      </c>
      <c r="B95" s="73"/>
      <c r="C95" s="73"/>
      <c r="D95" s="71" t="str">
        <f>VLOOKUP(Q59,[95]Base_03!$A$5:$AS$24,45,0)</f>
        <v>Air Pam (Baik)</v>
      </c>
      <c r="E95" s="71"/>
      <c r="F95" s="23"/>
      <c r="G95" s="23"/>
      <c r="H95" s="23"/>
      <c r="I95" s="72" t="s">
        <v>115</v>
      </c>
      <c r="J95" s="73"/>
      <c r="K95" s="73"/>
      <c r="L95" s="71" t="str">
        <f>VLOOKUP(Q59,[95]Base_04!$A$5:$AS$24,45,0)</f>
        <v>Air Pam (Baik)</v>
      </c>
      <c r="M95" s="71"/>
      <c r="N95" s="30"/>
      <c r="O95" s="23"/>
      <c r="P95" s="37"/>
      <c r="Q95" s="23"/>
      <c r="R95" s="23"/>
      <c r="S95" s="23"/>
      <c r="T95" s="23"/>
      <c r="U95" s="23"/>
      <c r="V95" s="21"/>
      <c r="W95" s="21"/>
      <c r="X95" s="21"/>
      <c r="Y95" s="21"/>
    </row>
    <row r="96" spans="1:25" x14ac:dyDescent="0.2">
      <c r="A96" s="74" t="s">
        <v>114</v>
      </c>
      <c r="B96" s="75"/>
      <c r="C96" s="26"/>
      <c r="D96" s="25"/>
      <c r="E96" s="25"/>
      <c r="F96" s="23"/>
      <c r="G96" s="23"/>
      <c r="H96" s="23"/>
      <c r="I96" s="74" t="s">
        <v>114</v>
      </c>
      <c r="J96" s="75"/>
      <c r="K96" s="26"/>
      <c r="L96" s="25"/>
      <c r="M96" s="25"/>
      <c r="N96" s="30"/>
      <c r="O96" s="23"/>
      <c r="P96" s="37"/>
      <c r="Q96" s="23"/>
      <c r="R96" s="23"/>
      <c r="S96" s="23"/>
      <c r="T96" s="23"/>
      <c r="U96" s="23"/>
      <c r="V96" s="21"/>
      <c r="W96" s="21"/>
      <c r="X96" s="21"/>
      <c r="Y96" s="21"/>
    </row>
    <row r="97" spans="1:25" x14ac:dyDescent="0.2">
      <c r="A97" s="36" t="s">
        <v>113</v>
      </c>
      <c r="B97" s="23"/>
      <c r="C97" s="26" t="s">
        <v>112</v>
      </c>
      <c r="D97" s="71">
        <f>VLOOKUP(Q59,[94]Base_02!$A$5:$S$24,18,0)</f>
        <v>-7.4669999999999996</v>
      </c>
      <c r="E97" s="71"/>
      <c r="F97" s="23" t="str">
        <f>IF(D97&gt;0,"LU","LS")</f>
        <v>LS</v>
      </c>
      <c r="G97" s="23"/>
      <c r="H97" s="23"/>
      <c r="I97" s="36" t="s">
        <v>113</v>
      </c>
      <c r="J97" s="26"/>
      <c r="K97" s="26" t="s">
        <v>112</v>
      </c>
      <c r="L97" s="71">
        <f>D97</f>
        <v>-7.4669999999999996</v>
      </c>
      <c r="M97" s="71"/>
      <c r="N97" s="23" t="str">
        <f>IF(L97&gt;0,"LU","LS")</f>
        <v>LS</v>
      </c>
      <c r="O97" s="23"/>
      <c r="P97" s="37"/>
      <c r="Q97" s="23"/>
      <c r="R97" s="23"/>
      <c r="S97" s="23"/>
      <c r="T97" s="23"/>
      <c r="U97" s="23"/>
      <c r="V97" s="21"/>
      <c r="W97" s="21"/>
      <c r="X97" s="21"/>
      <c r="Y97" s="21"/>
    </row>
    <row r="98" spans="1:25" x14ac:dyDescent="0.2">
      <c r="A98" s="42"/>
      <c r="B98" s="43"/>
      <c r="C98" s="44" t="s">
        <v>111</v>
      </c>
      <c r="D98" s="70">
        <f>VLOOKUP(Q59,[94]Base_02!$A$5:$S$24,19,0)</f>
        <v>109.5594</v>
      </c>
      <c r="E98" s="70"/>
      <c r="F98" s="43" t="s">
        <v>110</v>
      </c>
      <c r="G98" s="43"/>
      <c r="H98" s="43"/>
      <c r="I98" s="42"/>
      <c r="J98" s="43"/>
      <c r="K98" s="43"/>
      <c r="L98" s="70">
        <f>D98</f>
        <v>109.5594</v>
      </c>
      <c r="M98" s="70"/>
      <c r="N98" s="47" t="s">
        <v>110</v>
      </c>
      <c r="O98" s="44"/>
      <c r="P98" s="53"/>
      <c r="Q98" s="23"/>
      <c r="R98" s="23"/>
      <c r="S98" s="23"/>
      <c r="T98" s="23"/>
      <c r="U98" s="23"/>
      <c r="V98" s="21"/>
      <c r="W98" s="21"/>
      <c r="X98" s="21"/>
      <c r="Y98" s="21"/>
    </row>
    <row r="99" spans="1:25" x14ac:dyDescent="0.2">
      <c r="A99" s="23"/>
      <c r="B99" s="23"/>
      <c r="C99" s="26"/>
      <c r="D99" s="23"/>
      <c r="E99" s="23"/>
      <c r="F99" s="23"/>
      <c r="G99" s="23"/>
      <c r="H99" s="23"/>
      <c r="I99" s="23"/>
      <c r="J99" s="23"/>
      <c r="K99" s="25"/>
      <c r="L99" s="25"/>
      <c r="M99" s="30"/>
      <c r="N99" s="23"/>
      <c r="O99" s="23"/>
      <c r="P99" s="23"/>
      <c r="Q99" s="23"/>
      <c r="R99" s="23"/>
      <c r="S99" s="23"/>
      <c r="T99" s="23"/>
      <c r="U99" s="23"/>
      <c r="V99" s="23"/>
      <c r="W99" s="23"/>
      <c r="X99" s="23"/>
      <c r="Y99" s="23"/>
    </row>
    <row r="100" spans="1:25" x14ac:dyDescent="0.2">
      <c r="A100" s="23"/>
      <c r="B100" s="23"/>
      <c r="C100" s="23"/>
      <c r="D100" s="23"/>
      <c r="E100" s="23"/>
      <c r="F100" s="23"/>
      <c r="G100" s="23"/>
      <c r="H100" s="23"/>
      <c r="I100" s="23"/>
      <c r="J100" s="23"/>
      <c r="K100" s="23"/>
      <c r="L100" s="23"/>
      <c r="M100" s="30"/>
      <c r="N100" s="23"/>
      <c r="O100" s="23"/>
      <c r="P100" s="23"/>
      <c r="Q100" s="23"/>
      <c r="R100" s="23"/>
      <c r="S100" s="23"/>
      <c r="T100" s="23"/>
      <c r="U100" s="23"/>
      <c r="V100" s="23"/>
      <c r="W100" s="23"/>
      <c r="X100" s="23"/>
      <c r="Y100" s="23"/>
    </row>
    <row r="101" spans="1:25" x14ac:dyDescent="0.2">
      <c r="A101" s="23"/>
      <c r="B101" s="23"/>
      <c r="C101" s="23"/>
      <c r="D101" s="23"/>
      <c r="E101" s="23"/>
      <c r="F101" s="23"/>
      <c r="G101" s="23"/>
      <c r="H101" s="23"/>
      <c r="I101" s="23"/>
      <c r="J101" s="23"/>
      <c r="K101" s="23"/>
      <c r="L101" s="71" t="str">
        <f>[94]Base_01!$C$4&amp;", …..  …........................  2026"</f>
        <v>Sorong, …..  …........................  2026</v>
      </c>
      <c r="M101" s="71"/>
      <c r="N101" s="71"/>
      <c r="O101" s="71"/>
      <c r="P101" s="71"/>
      <c r="Q101" s="23"/>
      <c r="R101" s="23"/>
      <c r="S101" s="23"/>
      <c r="T101" s="23"/>
      <c r="U101" s="23"/>
      <c r="V101" s="23"/>
      <c r="W101" s="23"/>
      <c r="X101" s="23"/>
      <c r="Y101" s="23"/>
    </row>
    <row r="102" spans="1:25" x14ac:dyDescent="0.2">
      <c r="A102" s="71" t="s">
        <v>108</v>
      </c>
      <c r="B102" s="71"/>
      <c r="C102" s="71"/>
      <c r="D102" s="71"/>
      <c r="E102" s="71"/>
      <c r="F102" s="71"/>
      <c r="G102" s="23"/>
      <c r="H102" s="23"/>
      <c r="I102" s="23"/>
      <c r="J102" s="23"/>
      <c r="K102" s="23"/>
      <c r="L102" s="71" t="s">
        <v>152</v>
      </c>
      <c r="M102" s="71"/>
      <c r="N102" s="71"/>
      <c r="O102" s="71"/>
      <c r="P102" s="71"/>
      <c r="Q102" s="23"/>
      <c r="R102" s="23"/>
      <c r="S102" s="23"/>
      <c r="T102" s="23"/>
      <c r="U102" s="23"/>
      <c r="V102" s="23"/>
      <c r="W102" s="23"/>
      <c r="X102" s="23"/>
      <c r="Y102" s="23"/>
    </row>
    <row r="103" spans="1:25" x14ac:dyDescent="0.2">
      <c r="A103" s="71" t="s">
        <v>153</v>
      </c>
      <c r="B103" s="71"/>
      <c r="C103" s="71"/>
      <c r="D103" s="71"/>
      <c r="E103" s="71"/>
      <c r="F103" s="71"/>
      <c r="G103" s="23"/>
      <c r="H103" s="23"/>
      <c r="I103" s="23"/>
      <c r="J103" s="23"/>
      <c r="K103" s="23"/>
      <c r="L103" s="71" t="s">
        <v>107</v>
      </c>
      <c r="M103" s="71"/>
      <c r="N103" s="71"/>
      <c r="O103" s="71"/>
      <c r="P103" s="71"/>
      <c r="Q103" s="23"/>
      <c r="R103" s="23"/>
      <c r="S103" s="23"/>
      <c r="T103" s="23"/>
      <c r="U103" s="23"/>
      <c r="V103" s="23"/>
      <c r="W103" s="23"/>
      <c r="X103" s="23"/>
      <c r="Y103" s="23"/>
    </row>
    <row r="104" spans="1:25" x14ac:dyDescent="0.2">
      <c r="A104" s="23"/>
      <c r="B104" s="23"/>
      <c r="C104" s="23"/>
      <c r="D104" s="23"/>
      <c r="E104" s="23"/>
      <c r="F104" s="23"/>
      <c r="G104" s="23"/>
      <c r="H104" s="23"/>
      <c r="I104" s="23"/>
      <c r="J104" s="23"/>
      <c r="K104" s="23"/>
      <c r="L104" s="23"/>
      <c r="M104" s="30"/>
      <c r="N104" s="23"/>
      <c r="O104" s="23"/>
      <c r="P104" s="23"/>
      <c r="Q104" s="23"/>
      <c r="R104" s="23"/>
      <c r="S104" s="23"/>
      <c r="T104" s="23"/>
      <c r="U104" s="23"/>
      <c r="V104" s="23"/>
      <c r="W104" s="23"/>
      <c r="X104" s="23"/>
      <c r="Y104" s="23"/>
    </row>
    <row r="105" spans="1:25" x14ac:dyDescent="0.2">
      <c r="A105" s="23"/>
      <c r="B105" s="23"/>
      <c r="C105" s="23"/>
      <c r="D105" s="23"/>
      <c r="E105" s="23"/>
      <c r="F105" s="23"/>
      <c r="G105" s="23"/>
      <c r="H105" s="23"/>
      <c r="I105" s="23"/>
      <c r="J105" s="23"/>
      <c r="K105" s="23"/>
      <c r="L105" s="23"/>
      <c r="M105" s="30"/>
      <c r="N105" s="23"/>
      <c r="O105" s="23"/>
      <c r="P105" s="23"/>
      <c r="Q105" s="23"/>
      <c r="R105" s="23"/>
      <c r="S105" s="23"/>
      <c r="T105" s="23"/>
      <c r="U105" s="23"/>
      <c r="V105" s="23"/>
      <c r="W105" s="23"/>
      <c r="X105" s="23"/>
      <c r="Y105" s="23"/>
    </row>
    <row r="106" spans="1:25" x14ac:dyDescent="0.2">
      <c r="A106" s="23"/>
      <c r="B106" s="23"/>
      <c r="C106" s="23"/>
      <c r="D106" s="23"/>
      <c r="E106" s="23"/>
      <c r="F106" s="23"/>
      <c r="G106" s="23"/>
      <c r="H106" s="23"/>
      <c r="I106" s="23"/>
      <c r="J106" s="23"/>
      <c r="K106" s="23"/>
      <c r="L106" s="23"/>
      <c r="M106" s="30"/>
      <c r="N106" s="23"/>
      <c r="O106" s="23"/>
      <c r="P106" s="23"/>
      <c r="Q106" s="23"/>
      <c r="R106" s="23"/>
      <c r="S106" s="23"/>
      <c r="T106" s="23"/>
      <c r="U106" s="23"/>
      <c r="V106" s="23"/>
      <c r="W106" s="23"/>
      <c r="X106" s="23"/>
      <c r="Y106" s="23"/>
    </row>
    <row r="107" spans="1:25" x14ac:dyDescent="0.2">
      <c r="A107" s="23"/>
      <c r="B107" s="23"/>
      <c r="C107" s="23"/>
      <c r="D107" s="23"/>
      <c r="E107" s="23"/>
      <c r="F107" s="23"/>
      <c r="G107" s="23"/>
      <c r="H107" s="23"/>
      <c r="I107" s="23"/>
      <c r="J107" s="23"/>
      <c r="K107" s="23"/>
      <c r="L107" s="23"/>
      <c r="M107" s="30"/>
      <c r="N107" s="23"/>
      <c r="O107" s="23"/>
      <c r="P107" s="23"/>
      <c r="Q107" s="23"/>
      <c r="R107" s="23"/>
      <c r="S107" s="23"/>
      <c r="T107" s="23"/>
      <c r="U107" s="23"/>
      <c r="V107" s="23"/>
      <c r="W107" s="23"/>
      <c r="X107" s="23"/>
      <c r="Y107" s="23"/>
    </row>
    <row r="108" spans="1:25" x14ac:dyDescent="0.2">
      <c r="A108" s="87" t="str">
        <f>[94]Base_02!$C$28</f>
        <v>Nama PB 1</v>
      </c>
      <c r="B108" s="87"/>
      <c r="C108" s="87"/>
      <c r="D108" s="87"/>
      <c r="E108" s="87"/>
      <c r="F108" s="87"/>
      <c r="G108" s="23"/>
      <c r="H108" s="23"/>
      <c r="I108" s="23"/>
      <c r="J108" s="23"/>
      <c r="K108" s="23"/>
      <c r="L108" s="71" t="str">
        <f>E64</f>
        <v>Nama PB 2</v>
      </c>
      <c r="M108" s="71"/>
      <c r="N108" s="71"/>
      <c r="O108" s="71"/>
      <c r="P108" s="71"/>
      <c r="Q108" s="23"/>
      <c r="R108" s="23"/>
      <c r="S108" s="23"/>
      <c r="T108" s="23"/>
      <c r="U108" s="23"/>
      <c r="V108" s="23"/>
      <c r="W108" s="23"/>
      <c r="X108" s="23"/>
      <c r="Y108" s="23"/>
    </row>
    <row r="109" spans="1:25" x14ac:dyDescent="0.2">
      <c r="A109" s="23"/>
      <c r="B109" s="23"/>
      <c r="C109" s="23"/>
      <c r="D109" s="23"/>
      <c r="E109" s="23"/>
      <c r="F109" s="23"/>
      <c r="G109" s="23"/>
      <c r="H109" s="23"/>
      <c r="I109" s="23"/>
      <c r="J109" s="23"/>
      <c r="K109" s="23"/>
      <c r="L109" s="23"/>
      <c r="M109" s="30"/>
      <c r="N109" s="23"/>
      <c r="O109" s="23"/>
      <c r="P109" s="23"/>
      <c r="Q109" s="23"/>
      <c r="R109" s="23"/>
      <c r="S109" s="23"/>
      <c r="T109" s="23"/>
      <c r="U109" s="23"/>
      <c r="V109" s="23"/>
      <c r="W109" s="23"/>
      <c r="X109" s="23"/>
      <c r="Y109" s="23"/>
    </row>
    <row r="110" spans="1:25" x14ac:dyDescent="0.2">
      <c r="A110" s="87" t="s">
        <v>109</v>
      </c>
      <c r="B110" s="87"/>
      <c r="C110" s="87"/>
      <c r="D110" s="87"/>
      <c r="E110" s="87"/>
      <c r="F110" s="87"/>
      <c r="G110" s="23"/>
      <c r="H110" s="23"/>
      <c r="I110" s="29"/>
      <c r="J110" s="24"/>
      <c r="K110" s="24"/>
      <c r="L110" s="88" t="s">
        <v>92</v>
      </c>
      <c r="M110" s="88"/>
      <c r="N110" s="88"/>
      <c r="O110" s="88"/>
      <c r="P110" s="88"/>
      <c r="Q110" s="23"/>
      <c r="R110" s="23"/>
      <c r="S110" s="23"/>
      <c r="T110" s="23"/>
      <c r="U110" s="23"/>
      <c r="V110" s="23"/>
      <c r="W110" s="23"/>
      <c r="X110" s="23"/>
      <c r="Y110" s="23"/>
    </row>
    <row r="111" spans="1:25" x14ac:dyDescent="0.2">
      <c r="A111" s="68" t="s">
        <v>91</v>
      </c>
      <c r="B111" s="68"/>
      <c r="C111" s="68"/>
      <c r="D111" s="68"/>
      <c r="E111" s="68"/>
      <c r="F111" s="68"/>
      <c r="I111" s="28"/>
      <c r="J111" s="28"/>
      <c r="K111" s="28"/>
      <c r="L111" s="69" t="str">
        <f>[94]Base_01!$B$17&amp;" "&amp;[94]Base_01!$C$4</f>
        <v>Koordinator Kota Sorong</v>
      </c>
      <c r="M111" s="69"/>
      <c r="N111" s="69"/>
      <c r="O111" s="69"/>
      <c r="P111" s="69"/>
      <c r="Q111" s="23"/>
      <c r="R111" s="23"/>
      <c r="S111" s="23"/>
      <c r="T111" s="23"/>
      <c r="U111" s="23"/>
      <c r="V111" s="23"/>
      <c r="W111" s="23"/>
      <c r="X111" s="23"/>
      <c r="Y111" s="23"/>
    </row>
    <row r="112" spans="1:25" x14ac:dyDescent="0.2">
      <c r="M112" s="27"/>
      <c r="Q112" s="23"/>
      <c r="R112" s="23"/>
      <c r="S112" s="23"/>
      <c r="T112" s="23"/>
      <c r="U112" s="23"/>
      <c r="V112" s="23"/>
      <c r="W112" s="23"/>
      <c r="X112" s="23"/>
      <c r="Y112" s="23"/>
    </row>
    <row r="113" spans="1:25" x14ac:dyDescent="0.2">
      <c r="M113" s="27"/>
      <c r="Q113" s="23"/>
      <c r="R113" s="23"/>
      <c r="S113" s="23"/>
      <c r="T113" s="23"/>
      <c r="U113" s="23"/>
      <c r="V113" s="23"/>
      <c r="W113" s="23"/>
      <c r="X113" s="23"/>
      <c r="Y113" s="23"/>
    </row>
    <row r="114" spans="1:25" x14ac:dyDescent="0.2">
      <c r="M114" s="27"/>
      <c r="Q114" s="23"/>
      <c r="R114" s="23"/>
      <c r="S114" s="23"/>
      <c r="T114" s="23"/>
      <c r="U114" s="23"/>
      <c r="V114" s="23"/>
      <c r="W114" s="23"/>
      <c r="X114" s="23"/>
      <c r="Y114" s="23"/>
    </row>
    <row r="115" spans="1:25" x14ac:dyDescent="0.2">
      <c r="M115" s="27"/>
      <c r="Q115" s="23"/>
      <c r="R115" s="23"/>
      <c r="S115" s="23"/>
      <c r="T115" s="23"/>
      <c r="U115" s="23"/>
      <c r="V115" s="23"/>
      <c r="W115" s="23"/>
      <c r="X115" s="23"/>
      <c r="Y115" s="23"/>
    </row>
    <row r="116" spans="1:25" x14ac:dyDescent="0.2">
      <c r="A116" s="68" t="str">
        <f>[94]Base_01!$C$20</f>
        <v>…...............         …...............</v>
      </c>
      <c r="B116" s="68"/>
      <c r="C116" s="68"/>
      <c r="D116" s="68"/>
      <c r="E116" s="68"/>
      <c r="F116" s="68"/>
      <c r="L116" s="68" t="str">
        <f>[94]Base_01!$C$17</f>
        <v>AfrIandi Yudhistira, S.T.</v>
      </c>
      <c r="M116" s="68"/>
      <c r="N116" s="68"/>
      <c r="O116" s="68"/>
      <c r="P116" s="68"/>
      <c r="Q116" s="23"/>
      <c r="R116" s="23"/>
      <c r="S116" s="23"/>
      <c r="T116" s="23"/>
      <c r="U116" s="23"/>
      <c r="V116" s="23"/>
      <c r="W116" s="23"/>
      <c r="X116" s="23"/>
      <c r="Y116" s="23"/>
    </row>
    <row r="117" spans="1:25" x14ac:dyDescent="0.2">
      <c r="A117" s="86" t="s">
        <v>149</v>
      </c>
      <c r="B117" s="86"/>
      <c r="C117" s="86"/>
      <c r="D117" s="86"/>
      <c r="E117" s="86"/>
      <c r="F117" s="86"/>
      <c r="G117" s="86"/>
      <c r="H117" s="86"/>
      <c r="I117" s="86"/>
      <c r="J117" s="86"/>
      <c r="K117" s="86"/>
      <c r="L117" s="86"/>
      <c r="M117" s="86"/>
      <c r="N117" s="86"/>
      <c r="O117" s="86"/>
      <c r="P117" s="86"/>
      <c r="Q117" s="23">
        <f>Q59+1</f>
        <v>3</v>
      </c>
      <c r="R117" s="23"/>
      <c r="S117" s="23"/>
      <c r="T117" s="23"/>
      <c r="U117" s="23"/>
      <c r="V117" s="23"/>
      <c r="W117" s="23"/>
      <c r="X117" s="23"/>
      <c r="Y117" s="23"/>
    </row>
    <row r="118" spans="1:25" x14ac:dyDescent="0.2">
      <c r="A118" s="71" t="s">
        <v>148</v>
      </c>
      <c r="B118" s="71"/>
      <c r="C118" s="71"/>
      <c r="D118" s="71"/>
      <c r="E118" s="71"/>
      <c r="F118" s="71"/>
      <c r="G118" s="71"/>
      <c r="H118" s="71"/>
      <c r="I118" s="71"/>
      <c r="J118" s="71"/>
      <c r="K118" s="71"/>
      <c r="L118" s="71"/>
      <c r="M118" s="71"/>
      <c r="N118" s="71"/>
      <c r="O118" s="71"/>
      <c r="P118" s="71"/>
      <c r="Q118" s="23"/>
      <c r="R118" s="23"/>
      <c r="S118" s="23"/>
      <c r="T118" s="23"/>
      <c r="U118" s="23"/>
      <c r="V118" s="23"/>
      <c r="W118" s="23"/>
      <c r="X118" s="23"/>
      <c r="Y118" s="23"/>
    </row>
    <row r="119" spans="1:25" x14ac:dyDescent="0.2">
      <c r="A119" s="25"/>
      <c r="B119" s="25"/>
      <c r="C119" s="25"/>
      <c r="D119" s="25"/>
      <c r="E119" s="25"/>
      <c r="F119" s="25"/>
      <c r="G119" s="25"/>
      <c r="H119" s="25"/>
      <c r="I119" s="23"/>
      <c r="J119" s="24"/>
      <c r="K119" s="24"/>
      <c r="L119" s="24"/>
      <c r="M119" s="24"/>
      <c r="N119" s="24"/>
      <c r="O119" s="24"/>
      <c r="P119" s="24"/>
      <c r="Q119" s="23"/>
      <c r="R119" s="23"/>
      <c r="S119" s="23"/>
      <c r="T119" s="23"/>
      <c r="U119" s="23"/>
      <c r="V119" s="23"/>
      <c r="W119" s="23"/>
      <c r="X119" s="23"/>
      <c r="Y119" s="23"/>
    </row>
    <row r="120" spans="1:25" x14ac:dyDescent="0.2">
      <c r="A120" s="73" t="s">
        <v>147</v>
      </c>
      <c r="B120" s="73"/>
      <c r="C120" s="73"/>
      <c r="D120" s="73"/>
      <c r="E120" s="35" t="str">
        <f>VLOOKUP(Q117,[94]Base_02!$A$5:$AD$24,2,0)</f>
        <v>000003</v>
      </c>
      <c r="F120" s="23"/>
      <c r="G120" s="23"/>
      <c r="H120" s="24"/>
      <c r="I120" s="23"/>
      <c r="J120" s="24"/>
      <c r="K120" s="24"/>
      <c r="L120" s="24"/>
      <c r="M120" s="24"/>
      <c r="N120" s="24"/>
      <c r="O120" s="24"/>
      <c r="P120" s="24"/>
      <c r="Q120" s="23"/>
      <c r="R120" s="23"/>
      <c r="S120" s="23"/>
      <c r="T120" s="23"/>
      <c r="U120" s="23"/>
      <c r="V120" s="23"/>
      <c r="W120" s="23"/>
      <c r="X120" s="23"/>
      <c r="Y120" s="23"/>
    </row>
    <row r="121" spans="1:25" x14ac:dyDescent="0.2">
      <c r="A121" s="73" t="s">
        <v>68</v>
      </c>
      <c r="B121" s="73"/>
      <c r="C121" s="73"/>
      <c r="D121" s="73"/>
      <c r="E121" s="35" t="str">
        <f>VLOOKUP(Q117,[94]Base_02!$A$5:$AD$24,14,0)</f>
        <v>3304160101820004</v>
      </c>
      <c r="F121" s="23"/>
      <c r="G121" s="23"/>
      <c r="H121" s="24"/>
      <c r="I121" s="23"/>
      <c r="J121" s="24"/>
      <c r="K121" s="24"/>
      <c r="L121" s="24"/>
      <c r="M121" s="24"/>
      <c r="N121" s="24"/>
      <c r="O121" s="24"/>
      <c r="P121" s="24"/>
      <c r="Q121" s="23"/>
      <c r="R121" s="23"/>
      <c r="S121" s="23"/>
      <c r="T121" s="23"/>
      <c r="U121" s="23"/>
      <c r="V121" s="23"/>
      <c r="W121" s="23"/>
      <c r="X121" s="23"/>
      <c r="Y121" s="23"/>
    </row>
    <row r="122" spans="1:25" x14ac:dyDescent="0.2">
      <c r="A122" s="73" t="s">
        <v>150</v>
      </c>
      <c r="B122" s="73"/>
      <c r="C122" s="73"/>
      <c r="D122" s="73"/>
      <c r="E122" s="35" t="str">
        <f>VLOOKUP(Q117,[94]Base_02!$A$5:$AD$24,3,0)</f>
        <v>Nama PB 3</v>
      </c>
      <c r="F122" s="23"/>
      <c r="G122" s="23"/>
      <c r="H122" s="24"/>
      <c r="I122" s="23"/>
      <c r="J122" s="24"/>
      <c r="K122" s="24"/>
      <c r="L122" s="24"/>
      <c r="M122" s="24"/>
      <c r="N122" s="24"/>
      <c r="O122" s="24"/>
      <c r="P122" s="24"/>
      <c r="Q122" s="23"/>
      <c r="R122" s="23"/>
      <c r="S122" s="23"/>
      <c r="T122" s="23"/>
      <c r="U122" s="23"/>
      <c r="V122" s="23"/>
      <c r="W122" s="23"/>
      <c r="X122" s="23"/>
      <c r="Y122" s="23"/>
    </row>
    <row r="123" spans="1:25" x14ac:dyDescent="0.2">
      <c r="A123" s="73" t="s">
        <v>18</v>
      </c>
      <c r="B123" s="73"/>
      <c r="C123" s="73"/>
      <c r="D123" s="73"/>
      <c r="E123" s="35" t="str">
        <f>VLOOKUP(Q117,[94]Base_02!$A$5:$Z$24,11,FALSE)&amp;", RT "&amp;VLOOKUP(Q117,[94]Base_02!$A$5:$Z$24,12,FALSE)&amp;", RW "&amp;VLOOKUP(Q117,[94]Base_02!$A$5:$Z$24,13,FALSE)</f>
        <v>Jalan Kanal Victory, RT 1, RW 1</v>
      </c>
      <c r="F123" s="23"/>
      <c r="G123" s="23"/>
      <c r="H123" s="35"/>
      <c r="I123" s="23"/>
      <c r="J123" s="24"/>
      <c r="K123" s="24"/>
      <c r="L123" s="24"/>
      <c r="M123" s="24"/>
      <c r="N123" s="24"/>
      <c r="O123" s="24"/>
      <c r="P123" s="24"/>
      <c r="Q123" s="23"/>
      <c r="R123" s="23"/>
      <c r="S123" s="23"/>
      <c r="T123" s="23"/>
      <c r="U123" s="23"/>
      <c r="V123" s="23"/>
      <c r="W123" s="23"/>
      <c r="X123" s="23"/>
      <c r="Y123" s="23"/>
    </row>
    <row r="124" spans="1:25" x14ac:dyDescent="0.2">
      <c r="A124" s="73" t="str">
        <f>[94]Base_01!$B$2</f>
        <v>Kelurahan</v>
      </c>
      <c r="B124" s="73"/>
      <c r="C124" s="73"/>
      <c r="D124" s="73"/>
      <c r="E124" s="35" t="str">
        <f>[94]Base_01!$C$2</f>
        <v>Klasabi</v>
      </c>
      <c r="F124" s="23"/>
      <c r="G124" s="23"/>
      <c r="H124" s="24"/>
      <c r="I124" s="23"/>
      <c r="J124" s="24"/>
      <c r="K124" s="24"/>
      <c r="L124" s="24"/>
      <c r="M124" s="24"/>
      <c r="N124" s="24"/>
      <c r="O124" s="24"/>
      <c r="P124" s="24"/>
      <c r="Q124" s="23" t="s">
        <v>146</v>
      </c>
      <c r="R124" s="23"/>
      <c r="S124" s="23"/>
      <c r="T124" s="23"/>
      <c r="U124" s="23"/>
      <c r="V124" s="23"/>
      <c r="W124" s="23"/>
      <c r="X124" s="23"/>
      <c r="Y124" s="23"/>
    </row>
    <row r="125" spans="1:25" x14ac:dyDescent="0.2">
      <c r="A125" s="73" t="s">
        <v>19</v>
      </c>
      <c r="B125" s="73"/>
      <c r="C125" s="73"/>
      <c r="D125" s="73"/>
      <c r="E125" s="35" t="str">
        <f>[94]Base_01!$C$3</f>
        <v>Sorong Manoi</v>
      </c>
      <c r="F125" s="23"/>
      <c r="G125" s="23"/>
      <c r="H125" s="24"/>
      <c r="I125" s="23"/>
      <c r="J125" s="24"/>
      <c r="K125" s="24"/>
      <c r="L125" s="24"/>
      <c r="M125" s="24"/>
      <c r="N125" s="24"/>
      <c r="O125" s="24"/>
      <c r="P125" s="24"/>
      <c r="Q125" s="23" t="s">
        <v>145</v>
      </c>
      <c r="R125" s="23"/>
      <c r="S125" s="23"/>
      <c r="T125" s="23"/>
      <c r="U125" s="23"/>
      <c r="V125" s="23"/>
      <c r="W125" s="23"/>
      <c r="X125" s="23"/>
      <c r="Y125" s="23"/>
    </row>
    <row r="126" spans="1:25" x14ac:dyDescent="0.2">
      <c r="A126" s="73" t="str">
        <f>[94]Base_01!$B$4</f>
        <v>Kota</v>
      </c>
      <c r="B126" s="73"/>
      <c r="C126" s="73"/>
      <c r="D126" s="73"/>
      <c r="E126" s="35" t="str">
        <f>[94]Base_01!$C$4</f>
        <v>Sorong</v>
      </c>
      <c r="F126" s="23"/>
      <c r="G126" s="23"/>
      <c r="H126" s="24"/>
      <c r="I126" s="23"/>
      <c r="J126" s="24"/>
      <c r="K126" s="24"/>
      <c r="L126" s="24"/>
      <c r="M126" s="24"/>
      <c r="N126" s="24"/>
      <c r="O126" s="24"/>
      <c r="P126" s="24"/>
      <c r="Q126" s="23" t="s">
        <v>144</v>
      </c>
      <c r="R126" s="23"/>
      <c r="S126" s="23"/>
      <c r="T126" s="23"/>
      <c r="U126" s="23"/>
      <c r="V126" s="23"/>
      <c r="W126" s="23"/>
      <c r="X126" s="23"/>
      <c r="Y126" s="23"/>
    </row>
    <row r="127" spans="1:25" x14ac:dyDescent="0.2">
      <c r="A127" s="73" t="str">
        <f>[94]Base_01!$B$5</f>
        <v>Provinsi</v>
      </c>
      <c r="B127" s="73"/>
      <c r="C127" s="73"/>
      <c r="D127" s="73"/>
      <c r="E127" s="23" t="str">
        <f>[94]Base_01!$C$5</f>
        <v>Papua Barat Daya</v>
      </c>
      <c r="F127" s="23"/>
      <c r="G127" s="24"/>
      <c r="H127" s="24"/>
      <c r="I127" s="23"/>
      <c r="J127" s="24"/>
      <c r="K127" s="24"/>
      <c r="L127" s="24"/>
      <c r="M127" s="24"/>
      <c r="N127" s="24"/>
      <c r="O127" s="24"/>
      <c r="P127" s="24"/>
      <c r="Q127" s="23" t="s">
        <v>143</v>
      </c>
      <c r="R127" s="23"/>
      <c r="S127" s="23"/>
      <c r="T127" s="23"/>
      <c r="U127" s="23"/>
      <c r="V127" s="23"/>
      <c r="W127" s="23"/>
      <c r="X127" s="23"/>
      <c r="Y127" s="23"/>
    </row>
    <row r="128" spans="1:25" x14ac:dyDescent="0.2">
      <c r="A128" s="23"/>
      <c r="B128" s="23"/>
      <c r="C128" s="23"/>
      <c r="D128" s="23"/>
      <c r="E128" s="23"/>
      <c r="F128" s="23"/>
      <c r="G128" s="23"/>
      <c r="H128" s="23"/>
      <c r="I128" s="24"/>
      <c r="J128" s="24"/>
      <c r="K128" s="24"/>
      <c r="L128" s="24"/>
      <c r="M128" s="24"/>
      <c r="N128" s="24"/>
      <c r="O128" s="24"/>
      <c r="P128" s="24"/>
      <c r="Q128" s="23"/>
      <c r="R128" s="23"/>
      <c r="S128" s="23"/>
      <c r="T128" s="23"/>
      <c r="U128" s="23"/>
      <c r="V128" s="23"/>
      <c r="W128" s="23"/>
      <c r="X128" s="23"/>
      <c r="Y128" s="23"/>
    </row>
    <row r="129" spans="1:25" x14ac:dyDescent="0.2">
      <c r="A129" s="33"/>
      <c r="B129" s="33"/>
      <c r="C129" s="33"/>
      <c r="D129" s="33"/>
      <c r="E129" s="33"/>
      <c r="F129" s="33"/>
      <c r="G129" s="33"/>
      <c r="H129" s="33"/>
      <c r="I129" s="33"/>
      <c r="J129" s="33"/>
      <c r="K129" s="33"/>
      <c r="L129" s="33"/>
      <c r="M129" s="34"/>
      <c r="N129" s="33"/>
      <c r="O129" s="33"/>
      <c r="P129" s="33"/>
      <c r="Q129" s="23"/>
      <c r="R129" s="23"/>
      <c r="S129" s="23"/>
      <c r="T129" s="23"/>
      <c r="U129" s="23"/>
      <c r="V129" s="23"/>
      <c r="W129" s="23"/>
      <c r="X129" s="23"/>
      <c r="Y129" s="23"/>
    </row>
    <row r="130" spans="1:25" x14ac:dyDescent="0.2">
      <c r="A130" s="80" t="s">
        <v>142</v>
      </c>
      <c r="B130" s="81"/>
      <c r="C130" s="81"/>
      <c r="D130" s="81"/>
      <c r="E130" s="81"/>
      <c r="F130" s="81"/>
      <c r="G130" s="81"/>
      <c r="H130" s="81"/>
      <c r="I130" s="80" t="s">
        <v>151</v>
      </c>
      <c r="J130" s="81"/>
      <c r="K130" s="81"/>
      <c r="L130" s="81"/>
      <c r="M130" s="81"/>
      <c r="N130" s="81"/>
      <c r="O130" s="81"/>
      <c r="P130" s="82"/>
      <c r="Q130" s="23"/>
      <c r="R130" s="23"/>
      <c r="S130" s="23"/>
      <c r="T130" s="23"/>
      <c r="U130" s="23"/>
      <c r="V130" s="21"/>
      <c r="W130" s="21"/>
      <c r="X130" s="21"/>
      <c r="Y130" s="21"/>
    </row>
    <row r="131" spans="1:25" x14ac:dyDescent="0.2">
      <c r="A131" s="48"/>
      <c r="B131" s="49"/>
      <c r="C131" s="49"/>
      <c r="D131" s="50"/>
      <c r="E131" s="50"/>
      <c r="F131" s="49"/>
      <c r="G131" s="49"/>
      <c r="H131" s="49"/>
      <c r="I131" s="48"/>
      <c r="J131" s="49"/>
      <c r="K131" s="49"/>
      <c r="L131" s="50"/>
      <c r="M131" s="50"/>
      <c r="N131" s="49"/>
      <c r="O131" s="49"/>
      <c r="P131" s="51"/>
      <c r="Q131" s="23"/>
      <c r="R131" s="23"/>
      <c r="S131" s="23"/>
      <c r="T131" s="23"/>
      <c r="U131" s="23"/>
      <c r="V131" s="21"/>
      <c r="W131" s="21"/>
      <c r="X131" s="21"/>
      <c r="Y131" s="21"/>
    </row>
    <row r="132" spans="1:25" ht="16" x14ac:dyDescent="0.2">
      <c r="A132" s="36" t="s">
        <v>141</v>
      </c>
      <c r="B132" s="23"/>
      <c r="C132" s="26" t="s">
        <v>112</v>
      </c>
      <c r="D132" s="83">
        <f>VLOOKUP(Q117,[95]Base_03!$A$5:$AS$24,5,0)</f>
        <v>36</v>
      </c>
      <c r="E132" s="84"/>
      <c r="F132" s="23" t="s">
        <v>140</v>
      </c>
      <c r="G132" s="23"/>
      <c r="H132" s="23"/>
      <c r="I132" s="36" t="s">
        <v>141</v>
      </c>
      <c r="J132" s="26"/>
      <c r="K132" s="26" t="s">
        <v>119</v>
      </c>
      <c r="L132" s="85">
        <f>VLOOKUP(Q117,[95]Base_04!$A$5:$AS$24,5,0)</f>
        <v>49</v>
      </c>
      <c r="M132" s="85"/>
      <c r="N132" s="30" t="s">
        <v>140</v>
      </c>
      <c r="O132" s="23"/>
      <c r="P132" s="37"/>
      <c r="Q132" s="23"/>
      <c r="R132" s="23"/>
      <c r="S132" s="23"/>
      <c r="T132" s="23"/>
      <c r="U132" s="23"/>
      <c r="V132" s="21"/>
      <c r="W132" s="21"/>
      <c r="X132" s="21"/>
      <c r="Y132" s="21"/>
    </row>
    <row r="133" spans="1:25" ht="15" customHeight="1" x14ac:dyDescent="0.2">
      <c r="A133" s="38" t="s">
        <v>139</v>
      </c>
      <c r="B133" s="23"/>
      <c r="C133" s="26"/>
      <c r="D133" s="79" t="s">
        <v>131</v>
      </c>
      <c r="E133" s="79"/>
      <c r="F133" s="79" t="s">
        <v>130</v>
      </c>
      <c r="G133" s="79"/>
      <c r="H133" s="23"/>
      <c r="I133" s="38" t="s">
        <v>139</v>
      </c>
      <c r="J133" s="23"/>
      <c r="K133" s="26"/>
      <c r="L133" s="79" t="s">
        <v>131</v>
      </c>
      <c r="M133" s="79"/>
      <c r="N133" s="79" t="s">
        <v>130</v>
      </c>
      <c r="O133" s="79"/>
      <c r="P133" s="52"/>
      <c r="Q133" s="23"/>
      <c r="R133" s="23"/>
      <c r="S133" s="23"/>
      <c r="T133" s="23"/>
      <c r="U133" s="23"/>
      <c r="V133" s="21"/>
      <c r="W133" s="21"/>
      <c r="X133" s="21"/>
      <c r="Y133" s="21"/>
    </row>
    <row r="134" spans="1:25" x14ac:dyDescent="0.2">
      <c r="A134" s="39"/>
      <c r="B134" s="23"/>
      <c r="C134" s="26"/>
      <c r="D134" s="79"/>
      <c r="E134" s="79"/>
      <c r="F134" s="79"/>
      <c r="G134" s="79"/>
      <c r="H134" s="23"/>
      <c r="I134" s="39"/>
      <c r="J134" s="23"/>
      <c r="K134" s="26"/>
      <c r="L134" s="79"/>
      <c r="M134" s="79"/>
      <c r="N134" s="79"/>
      <c r="O134" s="79"/>
      <c r="P134" s="52"/>
      <c r="Q134" s="23"/>
      <c r="R134" s="23"/>
      <c r="S134" s="23"/>
      <c r="T134" s="23"/>
      <c r="U134" s="23"/>
      <c r="V134" s="21"/>
      <c r="W134" s="21"/>
      <c r="X134" s="21"/>
      <c r="Y134" s="21"/>
    </row>
    <row r="135" spans="1:25" x14ac:dyDescent="0.2">
      <c r="A135" s="72" t="s">
        <v>138</v>
      </c>
      <c r="B135" s="73"/>
      <c r="C135" s="73" t="s">
        <v>112</v>
      </c>
      <c r="D135" s="78" t="str">
        <f>VLOOKUP(Q117,[95]Base_03!$A$5:$AS$24,6,0)</f>
        <v>Pancang Kayu</v>
      </c>
      <c r="E135" s="78"/>
      <c r="F135" s="77">
        <f>VLOOKUP(Q117,[95]Base_03!$A$5:$AS$24,12,0)</f>
        <v>1.0000000000000002E-2</v>
      </c>
      <c r="G135" s="77"/>
      <c r="H135" s="23" t="s">
        <v>134</v>
      </c>
      <c r="I135" s="72" t="s">
        <v>138</v>
      </c>
      <c r="J135" s="73"/>
      <c r="K135" s="73"/>
      <c r="L135" s="78" t="str">
        <f>VLOOKUP(Q117,[95]Base_04!$A$5:$AS$24,6,0)</f>
        <v>Pancang Kayu</v>
      </c>
      <c r="M135" s="78"/>
      <c r="N135" s="77">
        <f>VLOOKUP(Q117,[95]Base_04!$A$5:$AS$24,12,0)</f>
        <v>1.0000000000000002E-2</v>
      </c>
      <c r="O135" s="77"/>
      <c r="P135" s="37" t="s">
        <v>134</v>
      </c>
      <c r="Q135" s="23" t="s">
        <v>123</v>
      </c>
      <c r="R135" s="23"/>
      <c r="S135" s="23"/>
      <c r="T135" s="23"/>
      <c r="U135" s="23"/>
      <c r="V135" s="21"/>
      <c r="W135" s="21"/>
      <c r="X135" s="21"/>
      <c r="Y135" s="21"/>
    </row>
    <row r="136" spans="1:25" x14ac:dyDescent="0.2">
      <c r="A136" s="72" t="s">
        <v>137</v>
      </c>
      <c r="B136" s="73"/>
      <c r="C136" s="73" t="s">
        <v>112</v>
      </c>
      <c r="D136" s="78" t="str">
        <f>VLOOKUP(Q117,[95]Base_03!$A$5:$AS$24,13,0)</f>
        <v>S 3</v>
      </c>
      <c r="E136" s="78"/>
      <c r="F136" s="77">
        <f>VLOOKUP(Q117,[95]Base_03!$A$5:$AS$24,15,0)</f>
        <v>0</v>
      </c>
      <c r="G136" s="77"/>
      <c r="H136" s="23" t="s">
        <v>134</v>
      </c>
      <c r="I136" s="72" t="s">
        <v>137</v>
      </c>
      <c r="J136" s="73"/>
      <c r="K136" s="73"/>
      <c r="L136" s="78" t="str">
        <f>VLOOKUP(Q117,[95]Base_04!$A$5:$AS$24,13,0)</f>
        <v>S 3</v>
      </c>
      <c r="M136" s="78"/>
      <c r="N136" s="77">
        <f>VLOOKUP(Q117,[95]Base_04!$A$5:$AS$24,15,0)</f>
        <v>0</v>
      </c>
      <c r="O136" s="77"/>
      <c r="P136" s="37" t="s">
        <v>134</v>
      </c>
      <c r="Q136" s="23" t="s">
        <v>123</v>
      </c>
      <c r="R136" s="23"/>
      <c r="S136" s="23"/>
      <c r="T136" s="23"/>
      <c r="U136" s="23"/>
      <c r="V136" s="21"/>
      <c r="W136" s="21"/>
      <c r="X136" s="21"/>
      <c r="Y136" s="21"/>
    </row>
    <row r="137" spans="1:25" x14ac:dyDescent="0.2">
      <c r="A137" s="72" t="s">
        <v>136</v>
      </c>
      <c r="B137" s="73"/>
      <c r="C137" s="73" t="s">
        <v>112</v>
      </c>
      <c r="D137" s="78" t="str">
        <f>VLOOKUP(Q117,[95]Base_03!$A$5:$AS$24,16,0)</f>
        <v>B 3</v>
      </c>
      <c r="E137" s="78"/>
      <c r="F137" s="77">
        <f>VLOOKUP(Q117,[95]Base_03!$A$5:$AS$24,22,0)</f>
        <v>0</v>
      </c>
      <c r="G137" s="77"/>
      <c r="H137" s="23" t="s">
        <v>134</v>
      </c>
      <c r="I137" s="72" t="s">
        <v>136</v>
      </c>
      <c r="J137" s="73"/>
      <c r="K137" s="73"/>
      <c r="L137" s="78" t="str">
        <f>VLOOKUP(Q117,[95]Base_04!$A$5:$AS$24,16,0)</f>
        <v>B 3</v>
      </c>
      <c r="M137" s="78"/>
      <c r="N137" s="77">
        <f>VLOOKUP(Q117,[95]Base_04!$A$5:$AS$24,22,0)</f>
        <v>0</v>
      </c>
      <c r="O137" s="77"/>
      <c r="P137" s="37" t="s">
        <v>134</v>
      </c>
      <c r="Q137" s="23" t="s">
        <v>123</v>
      </c>
      <c r="R137" s="23"/>
      <c r="S137" s="23"/>
      <c r="T137" s="23"/>
      <c r="U137" s="23"/>
      <c r="V137" s="21"/>
      <c r="W137" s="21"/>
      <c r="X137" s="21"/>
      <c r="Y137" s="21"/>
    </row>
    <row r="138" spans="1:25" x14ac:dyDescent="0.2">
      <c r="A138" s="72" t="s">
        <v>135</v>
      </c>
      <c r="B138" s="73"/>
      <c r="C138" s="73" t="s">
        <v>112</v>
      </c>
      <c r="D138" s="78" t="str">
        <f>VLOOKUP(Q117,[95]Base_03!$A$5:$AS$24,23,0)</f>
        <v>K 3</v>
      </c>
      <c r="E138" s="78"/>
      <c r="F138" s="77">
        <f>VLOOKUP(Q117,[95]Base_03!$A$5:$AS$24,24,0)</f>
        <v>0</v>
      </c>
      <c r="G138" s="77"/>
      <c r="H138" s="23" t="s">
        <v>134</v>
      </c>
      <c r="I138" s="72" t="s">
        <v>135</v>
      </c>
      <c r="J138" s="73"/>
      <c r="K138" s="73"/>
      <c r="L138" s="78" t="str">
        <f>VLOOKUP(Q117,[95]Base_04!$A$5:$AS$24,23,0)</f>
        <v>K 3</v>
      </c>
      <c r="M138" s="78"/>
      <c r="N138" s="77">
        <f>VLOOKUP(Q117,[95]Base_04!$A$5:$AS$24,24,0)</f>
        <v>0</v>
      </c>
      <c r="O138" s="77"/>
      <c r="P138" s="37" t="s">
        <v>134</v>
      </c>
      <c r="Q138" s="23" t="s">
        <v>123</v>
      </c>
      <c r="R138" s="23"/>
      <c r="S138" s="23"/>
      <c r="T138" s="23"/>
      <c r="U138" s="23"/>
      <c r="V138" s="21"/>
      <c r="W138" s="21"/>
      <c r="X138" s="21"/>
      <c r="Y138" s="21"/>
    </row>
    <row r="139" spans="1:25" x14ac:dyDescent="0.2">
      <c r="A139" s="72" t="s">
        <v>133</v>
      </c>
      <c r="B139" s="73"/>
      <c r="C139" s="73" t="s">
        <v>112</v>
      </c>
      <c r="D139" s="78" t="str">
        <f>VLOOKUP(Q117,[95]Base_03!$A$5:$AS$24,25,0)</f>
        <v>K 3</v>
      </c>
      <c r="E139" s="78"/>
      <c r="F139" s="77">
        <f>VLOOKUP(Q117,[95]Base_03!$A$5:$AS$24,26,0)</f>
        <v>73.900834456272094</v>
      </c>
      <c r="G139" s="77"/>
      <c r="H139" s="23" t="s">
        <v>124</v>
      </c>
      <c r="I139" s="72" t="s">
        <v>133</v>
      </c>
      <c r="J139" s="73"/>
      <c r="K139" s="73"/>
      <c r="L139" s="78" t="str">
        <f>VLOOKUP(Q117,[95]Base_04!$A$5:$AS$24,25,0)</f>
        <v>K 3</v>
      </c>
      <c r="M139" s="78"/>
      <c r="N139" s="77">
        <f>VLOOKUP(Q117,[95]Base_04!$A$5:$AS$24,26,0)</f>
        <v>93.530743608719362</v>
      </c>
      <c r="O139" s="77"/>
      <c r="P139" s="37" t="s">
        <v>124</v>
      </c>
      <c r="Q139" s="23" t="s">
        <v>123</v>
      </c>
      <c r="R139" s="23"/>
      <c r="S139" s="23"/>
      <c r="T139" s="23"/>
      <c r="U139" s="23"/>
      <c r="V139" s="21"/>
      <c r="W139" s="21"/>
      <c r="X139" s="21"/>
      <c r="Y139" s="21"/>
    </row>
    <row r="140" spans="1:25" x14ac:dyDescent="0.2">
      <c r="A140" s="40"/>
      <c r="B140" s="31"/>
      <c r="C140" s="31"/>
      <c r="D140" s="41"/>
      <c r="E140" s="41"/>
      <c r="F140" s="30"/>
      <c r="G140" s="23"/>
      <c r="H140" s="23"/>
      <c r="I140" s="40"/>
      <c r="J140" s="31"/>
      <c r="K140" s="31"/>
      <c r="L140" s="41"/>
      <c r="M140" s="41"/>
      <c r="N140" s="30"/>
      <c r="O140" s="23"/>
      <c r="P140" s="37"/>
      <c r="Q140" s="23"/>
      <c r="R140" s="23"/>
      <c r="S140" s="23"/>
      <c r="T140" s="23"/>
      <c r="U140" s="23"/>
      <c r="V140" s="21"/>
      <c r="W140" s="21"/>
      <c r="X140" s="21"/>
      <c r="Y140" s="21"/>
    </row>
    <row r="141" spans="1:25" x14ac:dyDescent="0.2">
      <c r="A141" s="38" t="s">
        <v>132</v>
      </c>
      <c r="B141" s="23"/>
      <c r="C141" s="26"/>
      <c r="D141" s="79" t="s">
        <v>131</v>
      </c>
      <c r="E141" s="79"/>
      <c r="F141" s="79" t="s">
        <v>130</v>
      </c>
      <c r="G141" s="79"/>
      <c r="H141" s="23"/>
      <c r="I141" s="38" t="s">
        <v>132</v>
      </c>
      <c r="J141" s="23"/>
      <c r="K141" s="26"/>
      <c r="L141" s="79" t="s">
        <v>131</v>
      </c>
      <c r="M141" s="79"/>
      <c r="N141" s="79" t="s">
        <v>130</v>
      </c>
      <c r="O141" s="79"/>
      <c r="P141" s="52"/>
      <c r="Q141" s="23"/>
      <c r="R141" s="23"/>
      <c r="S141" s="23"/>
      <c r="T141" s="23"/>
      <c r="U141" s="23"/>
      <c r="V141" s="21"/>
      <c r="W141" s="21"/>
      <c r="X141" s="21"/>
      <c r="Y141" s="21"/>
    </row>
    <row r="142" spans="1:25" x14ac:dyDescent="0.2">
      <c r="A142" s="39"/>
      <c r="B142" s="23"/>
      <c r="C142" s="26"/>
      <c r="D142" s="79"/>
      <c r="E142" s="79"/>
      <c r="F142" s="79"/>
      <c r="G142" s="79"/>
      <c r="H142" s="23"/>
      <c r="I142" s="39"/>
      <c r="J142" s="23"/>
      <c r="K142" s="26"/>
      <c r="L142" s="79"/>
      <c r="M142" s="79"/>
      <c r="N142" s="79"/>
      <c r="O142" s="79"/>
      <c r="P142" s="52"/>
      <c r="Q142" s="23"/>
      <c r="R142" s="23"/>
      <c r="S142" s="23"/>
      <c r="T142" s="23"/>
      <c r="U142" s="23"/>
      <c r="V142" s="21"/>
      <c r="W142" s="21"/>
      <c r="X142" s="21"/>
      <c r="Y142" s="21"/>
    </row>
    <row r="143" spans="1:25" x14ac:dyDescent="0.2">
      <c r="A143" s="72" t="s">
        <v>129</v>
      </c>
      <c r="B143" s="73"/>
      <c r="C143" s="73" t="s">
        <v>119</v>
      </c>
      <c r="D143" s="78" t="str">
        <f>VLOOKUP(Q117,[95]Base_03!$A$5:$AS$24,28,0)</f>
        <v xml:space="preserve"> G 3</v>
      </c>
      <c r="E143" s="78"/>
      <c r="F143" s="77">
        <f>VLOOKUP(Q117,[95]Base_03!$A$5:$AS$24,30,0)</f>
        <v>55</v>
      </c>
      <c r="G143" s="77"/>
      <c r="H143" s="23" t="s">
        <v>124</v>
      </c>
      <c r="I143" s="72" t="s">
        <v>129</v>
      </c>
      <c r="J143" s="73"/>
      <c r="K143" s="73" t="s">
        <v>119</v>
      </c>
      <c r="L143" s="78" t="str">
        <f>VLOOKUP(Q117,[95]Base_04!$A$5:$AS$24,28,0)</f>
        <v xml:space="preserve"> G 3</v>
      </c>
      <c r="M143" s="78"/>
      <c r="N143" s="77">
        <f>VLOOKUP(Q117,[95]Base_04!$A$5:$AS$24,30,0)</f>
        <v>55</v>
      </c>
      <c r="O143" s="77"/>
      <c r="P143" s="37" t="s">
        <v>124</v>
      </c>
      <c r="Q143" s="23" t="s">
        <v>123</v>
      </c>
      <c r="R143" s="23"/>
      <c r="S143" s="23"/>
      <c r="T143" s="23"/>
      <c r="U143" s="23"/>
      <c r="V143" s="21"/>
      <c r="W143" s="21"/>
      <c r="X143" s="21"/>
      <c r="Y143" s="21"/>
    </row>
    <row r="144" spans="1:25" x14ac:dyDescent="0.2">
      <c r="A144" s="72" t="s">
        <v>128</v>
      </c>
      <c r="B144" s="73"/>
      <c r="C144" s="73" t="s">
        <v>119</v>
      </c>
      <c r="D144" s="78" t="str">
        <f>VLOOKUP(Q117,[95]Base_03!$A$5:$AS$24,31,0)</f>
        <v>H 3</v>
      </c>
      <c r="E144" s="78"/>
      <c r="F144" s="77">
        <f>VLOOKUP(Q117,[95]Base_03!$A$5:$AS$24,34,0)</f>
        <v>-5.76</v>
      </c>
      <c r="G144" s="77"/>
      <c r="H144" s="23" t="s">
        <v>124</v>
      </c>
      <c r="I144" s="72" t="s">
        <v>128</v>
      </c>
      <c r="J144" s="73"/>
      <c r="K144" s="73" t="s">
        <v>119</v>
      </c>
      <c r="L144" s="78" t="str">
        <f>VLOOKUP(Q117,[95]Base_04!$A$5:$AS$24,31,0)</f>
        <v>H 3</v>
      </c>
      <c r="M144" s="78"/>
      <c r="N144" s="77">
        <f>VLOOKUP(Q117,[95]Base_04!$A$5:$AS$24,34,0)</f>
        <v>-5.76</v>
      </c>
      <c r="O144" s="77"/>
      <c r="P144" s="37" t="s">
        <v>124</v>
      </c>
      <c r="Q144" s="23" t="s">
        <v>123</v>
      </c>
      <c r="R144" s="23"/>
      <c r="S144" s="23"/>
      <c r="T144" s="23"/>
      <c r="U144" s="23"/>
      <c r="V144" s="21"/>
      <c r="W144" s="21"/>
      <c r="X144" s="21"/>
      <c r="Y144" s="21"/>
    </row>
    <row r="145" spans="1:25" x14ac:dyDescent="0.2">
      <c r="A145" s="89" t="s">
        <v>127</v>
      </c>
      <c r="B145" s="90"/>
      <c r="C145" s="90" t="s">
        <v>119</v>
      </c>
      <c r="D145" s="91" t="str">
        <f>VLOOKUP(Q117,[95]Base_03!$A$5:$AS$24,35,0)</f>
        <v>Kayu</v>
      </c>
      <c r="E145" s="91"/>
      <c r="F145" s="92">
        <f>VLOOKUP(Q117,[95]Base_03!$A$5:$AS$24,36,0)</f>
        <v>5.76</v>
      </c>
      <c r="G145" s="92"/>
      <c r="H145" s="23" t="s">
        <v>124</v>
      </c>
      <c r="I145" s="89" t="s">
        <v>127</v>
      </c>
      <c r="J145" s="90"/>
      <c r="K145" s="90" t="s">
        <v>119</v>
      </c>
      <c r="L145" s="91" t="str">
        <f>VLOOKUP(Q117,[95]Base_04!$A$5:$AS$24,35,0)</f>
        <v>Kayu</v>
      </c>
      <c r="M145" s="91"/>
      <c r="N145" s="92">
        <f>VLOOKUP(Q117,[95]Base_04!$A$5:$AS$24,36,0)</f>
        <v>5.76</v>
      </c>
      <c r="O145" s="92"/>
      <c r="P145" s="37" t="s">
        <v>124</v>
      </c>
      <c r="Q145" s="23" t="s">
        <v>123</v>
      </c>
      <c r="R145" s="23"/>
      <c r="S145" s="23"/>
      <c r="T145" s="23"/>
      <c r="U145" s="23"/>
      <c r="V145" s="21"/>
      <c r="W145" s="21"/>
      <c r="X145" s="21"/>
      <c r="Y145" s="21"/>
    </row>
    <row r="146" spans="1:25" x14ac:dyDescent="0.2">
      <c r="A146" s="74" t="s">
        <v>126</v>
      </c>
      <c r="B146" s="75"/>
      <c r="C146" s="75"/>
      <c r="D146" s="91"/>
      <c r="E146" s="91"/>
      <c r="F146" s="92"/>
      <c r="G146" s="92"/>
      <c r="H146" s="23"/>
      <c r="I146" s="74" t="s">
        <v>126</v>
      </c>
      <c r="J146" s="75"/>
      <c r="K146" s="75"/>
      <c r="L146" s="91"/>
      <c r="M146" s="91"/>
      <c r="N146" s="92"/>
      <c r="O146" s="92"/>
      <c r="P146" s="37"/>
      <c r="Q146" s="23"/>
      <c r="R146" s="23"/>
      <c r="S146" s="23"/>
      <c r="T146" s="23"/>
      <c r="U146" s="23"/>
      <c r="V146" s="21"/>
      <c r="W146" s="21"/>
      <c r="X146" s="21"/>
      <c r="Y146" s="21"/>
    </row>
    <row r="147" spans="1:25" x14ac:dyDescent="0.2">
      <c r="A147" s="72" t="s">
        <v>125</v>
      </c>
      <c r="B147" s="73"/>
      <c r="C147" s="73" t="s">
        <v>119</v>
      </c>
      <c r="D147" s="78" t="str">
        <f>VLOOKUP(Q117,[95]Base_03!$A$5:$AS$24,39,0)</f>
        <v>R 3</v>
      </c>
      <c r="E147" s="78"/>
      <c r="F147" s="77">
        <f>VLOOKUP(Q117,[95]Base_03!$A$5:$AS$24,40,0)</f>
        <v>36</v>
      </c>
      <c r="G147" s="77"/>
      <c r="H147" s="23" t="s">
        <v>124</v>
      </c>
      <c r="I147" s="72" t="s">
        <v>125</v>
      </c>
      <c r="J147" s="73"/>
      <c r="K147" s="73" t="s">
        <v>119</v>
      </c>
      <c r="L147" s="78" t="str">
        <f>VLOOKUP(Q117,[95]Base_04!$A$5:$AS$24,39,0)</f>
        <v>R 3</v>
      </c>
      <c r="M147" s="78"/>
      <c r="N147" s="77">
        <f>VLOOKUP(Q117,[95]Base_04!$A$5:$AS$24,40,0)</f>
        <v>49</v>
      </c>
      <c r="O147" s="77"/>
      <c r="P147" s="37" t="s">
        <v>124</v>
      </c>
      <c r="Q147" s="23" t="s">
        <v>123</v>
      </c>
      <c r="R147" s="23"/>
      <c r="S147" s="23"/>
      <c r="T147" s="23"/>
      <c r="U147" s="23"/>
      <c r="V147" s="21"/>
      <c r="W147" s="21"/>
      <c r="X147" s="21"/>
      <c r="Y147" s="21"/>
    </row>
    <row r="148" spans="1:25" x14ac:dyDescent="0.2">
      <c r="A148" s="39"/>
      <c r="B148" s="23"/>
      <c r="C148" s="23"/>
      <c r="D148" s="23"/>
      <c r="E148" s="23"/>
      <c r="F148" s="23"/>
      <c r="G148" s="23"/>
      <c r="H148" s="23"/>
      <c r="I148" s="39"/>
      <c r="J148" s="45"/>
      <c r="K148" s="45"/>
      <c r="L148" s="45"/>
      <c r="M148" s="23"/>
      <c r="N148" s="30"/>
      <c r="O148" s="23"/>
      <c r="P148" s="37"/>
      <c r="Q148" s="23"/>
      <c r="R148" s="23"/>
      <c r="S148" s="23"/>
      <c r="T148" s="23"/>
      <c r="U148" s="23"/>
      <c r="V148" s="21"/>
      <c r="W148" s="21"/>
      <c r="X148" s="21"/>
      <c r="Y148" s="21"/>
    </row>
    <row r="149" spans="1:25" x14ac:dyDescent="0.2">
      <c r="A149" s="72" t="s">
        <v>122</v>
      </c>
      <c r="B149" s="73"/>
      <c r="C149" s="73" t="s">
        <v>112</v>
      </c>
      <c r="D149" s="76">
        <f>VLOOKUP(Q117,[95]Base_03!$A$5:$AS$24,42,0)</f>
        <v>6.666666666666667</v>
      </c>
      <c r="E149" s="76"/>
      <c r="F149" s="25" t="s">
        <v>118</v>
      </c>
      <c r="G149" s="23"/>
      <c r="H149" s="23"/>
      <c r="I149" s="72" t="s">
        <v>122</v>
      </c>
      <c r="J149" s="73"/>
      <c r="K149" s="73" t="s">
        <v>112</v>
      </c>
      <c r="L149" s="76">
        <f>VLOOKUP(Q117,[95]Base_04!$A$5:$AS$24,42,0)</f>
        <v>4.8979591836734695</v>
      </c>
      <c r="M149" s="76"/>
      <c r="N149" s="46" t="s">
        <v>118</v>
      </c>
      <c r="O149" s="23"/>
      <c r="P149" s="37"/>
      <c r="Q149" s="32" t="s">
        <v>121</v>
      </c>
      <c r="R149" s="23"/>
      <c r="S149" s="23"/>
      <c r="T149" s="23"/>
      <c r="U149" s="23"/>
      <c r="V149" s="21"/>
      <c r="W149" s="21"/>
      <c r="X149" s="21"/>
      <c r="Y149" s="21"/>
    </row>
    <row r="150" spans="1:25" x14ac:dyDescent="0.2">
      <c r="A150" s="72" t="s">
        <v>120</v>
      </c>
      <c r="B150" s="73"/>
      <c r="C150" s="73" t="s">
        <v>119</v>
      </c>
      <c r="D150" s="76">
        <f>VLOOKUP(Q117,[95]Base_03!$A$5:$AS$24,43,0)</f>
        <v>9.6666666666666661</v>
      </c>
      <c r="E150" s="76"/>
      <c r="F150" s="25" t="s">
        <v>118</v>
      </c>
      <c r="G150" s="23"/>
      <c r="H150" s="23"/>
      <c r="I150" s="72" t="s">
        <v>120</v>
      </c>
      <c r="J150" s="73"/>
      <c r="K150" s="73" t="s">
        <v>119</v>
      </c>
      <c r="L150" s="76">
        <f>VLOOKUP(Q117,[95]Base_04!$A$5:$AS$24,43,0)</f>
        <v>7.1020408163265314</v>
      </c>
      <c r="M150" s="76"/>
      <c r="N150" s="46" t="s">
        <v>118</v>
      </c>
      <c r="O150" s="23"/>
      <c r="P150" s="37"/>
      <c r="Q150" s="32" t="s">
        <v>117</v>
      </c>
      <c r="R150" s="23"/>
      <c r="S150" s="23"/>
      <c r="T150" s="23"/>
      <c r="U150" s="23"/>
      <c r="V150" s="21"/>
      <c r="W150" s="21"/>
      <c r="X150" s="21"/>
      <c r="Y150" s="21"/>
    </row>
    <row r="151" spans="1:25" x14ac:dyDescent="0.2">
      <c r="A151" s="72" t="s">
        <v>115</v>
      </c>
      <c r="B151" s="73"/>
      <c r="C151" s="73"/>
      <c r="D151" s="71" t="str">
        <f>VLOOKUP(Q117,[95]Base_03!$A$5:$AS$24,44,0)</f>
        <v>(Ada) Baik</v>
      </c>
      <c r="E151" s="71"/>
      <c r="F151" s="23"/>
      <c r="G151" s="23"/>
      <c r="H151" s="23"/>
      <c r="I151" s="72" t="s">
        <v>115</v>
      </c>
      <c r="J151" s="73"/>
      <c r="K151" s="73"/>
      <c r="L151" s="71" t="str">
        <f>VLOOKUP(Q117,[95]Base_04!$A$5:$AS$24,44,0)</f>
        <v>(Ada) Baik</v>
      </c>
      <c r="M151" s="71"/>
      <c r="N151" s="30"/>
      <c r="O151" s="23"/>
      <c r="P151" s="37"/>
      <c r="Q151" s="23"/>
      <c r="R151" s="23"/>
      <c r="S151" s="23"/>
      <c r="T151" s="23"/>
      <c r="U151" s="23"/>
      <c r="V151" s="21"/>
      <c r="W151" s="21"/>
      <c r="X151" s="21"/>
      <c r="Y151" s="21"/>
    </row>
    <row r="152" spans="1:25" x14ac:dyDescent="0.2">
      <c r="A152" s="74" t="s">
        <v>116</v>
      </c>
      <c r="B152" s="75"/>
      <c r="C152" s="26"/>
      <c r="D152" s="25"/>
      <c r="E152" s="25"/>
      <c r="F152" s="23"/>
      <c r="G152" s="23"/>
      <c r="H152" s="23"/>
      <c r="I152" s="74" t="s">
        <v>116</v>
      </c>
      <c r="J152" s="75"/>
      <c r="K152" s="26"/>
      <c r="L152" s="25"/>
      <c r="M152" s="25"/>
      <c r="N152" s="30"/>
      <c r="O152" s="23"/>
      <c r="P152" s="37"/>
      <c r="Q152" s="23"/>
      <c r="R152" s="23"/>
      <c r="S152" s="23"/>
      <c r="T152" s="23"/>
      <c r="U152" s="23"/>
      <c r="V152" s="21"/>
      <c r="W152" s="21"/>
      <c r="X152" s="21"/>
      <c r="Y152" s="21"/>
    </row>
    <row r="153" spans="1:25" x14ac:dyDescent="0.2">
      <c r="A153" s="72" t="s">
        <v>115</v>
      </c>
      <c r="B153" s="73"/>
      <c r="C153" s="73"/>
      <c r="D153" s="71" t="str">
        <f>VLOOKUP(Q117,[95]Base_03!$A$5:$AS$24,45,0)</f>
        <v>Air Pam (Baik)</v>
      </c>
      <c r="E153" s="71"/>
      <c r="F153" s="23"/>
      <c r="G153" s="23"/>
      <c r="H153" s="23"/>
      <c r="I153" s="72" t="s">
        <v>115</v>
      </c>
      <c r="J153" s="73"/>
      <c r="K153" s="73"/>
      <c r="L153" s="71" t="str">
        <f>VLOOKUP(Q117,[95]Base_04!$A$5:$AS$24,45,0)</f>
        <v>Air Pam (Baik)</v>
      </c>
      <c r="M153" s="71"/>
      <c r="N153" s="30"/>
      <c r="O153" s="23"/>
      <c r="P153" s="37"/>
      <c r="Q153" s="23"/>
      <c r="R153" s="23"/>
      <c r="S153" s="23"/>
      <c r="T153" s="23"/>
      <c r="U153" s="23"/>
      <c r="V153" s="21"/>
      <c r="W153" s="21"/>
      <c r="X153" s="21"/>
      <c r="Y153" s="21"/>
    </row>
    <row r="154" spans="1:25" x14ac:dyDescent="0.2">
      <c r="A154" s="74" t="s">
        <v>114</v>
      </c>
      <c r="B154" s="75"/>
      <c r="C154" s="26"/>
      <c r="D154" s="25"/>
      <c r="E154" s="25"/>
      <c r="F154" s="23"/>
      <c r="G154" s="23"/>
      <c r="H154" s="23"/>
      <c r="I154" s="74" t="s">
        <v>114</v>
      </c>
      <c r="J154" s="75"/>
      <c r="K154" s="26"/>
      <c r="L154" s="25"/>
      <c r="M154" s="25"/>
      <c r="N154" s="30"/>
      <c r="O154" s="23"/>
      <c r="P154" s="37"/>
      <c r="Q154" s="23"/>
      <c r="R154" s="23"/>
      <c r="S154" s="23"/>
      <c r="T154" s="23"/>
      <c r="U154" s="23"/>
      <c r="V154" s="21"/>
      <c r="W154" s="21"/>
      <c r="X154" s="21"/>
      <c r="Y154" s="21"/>
    </row>
    <row r="155" spans="1:25" x14ac:dyDescent="0.2">
      <c r="A155" s="36" t="s">
        <v>113</v>
      </c>
      <c r="B155" s="23"/>
      <c r="C155" s="26" t="s">
        <v>112</v>
      </c>
      <c r="D155" s="71">
        <f>VLOOKUP(Q117,[94]Base_02!$A$5:$S$24,18,0)</f>
        <v>-7.4688999999999997</v>
      </c>
      <c r="E155" s="71"/>
      <c r="F155" s="23" t="str">
        <f>IF(D155&gt;0,"LU","LS")</f>
        <v>LS</v>
      </c>
      <c r="G155" s="23"/>
      <c r="H155" s="23"/>
      <c r="I155" s="36" t="s">
        <v>113</v>
      </c>
      <c r="J155" s="26"/>
      <c r="K155" s="26" t="s">
        <v>112</v>
      </c>
      <c r="L155" s="71">
        <f>D155</f>
        <v>-7.4688999999999997</v>
      </c>
      <c r="M155" s="71"/>
      <c r="N155" s="23" t="str">
        <f>IF(L155&gt;0,"LU","LS")</f>
        <v>LS</v>
      </c>
      <c r="O155" s="23"/>
      <c r="P155" s="37"/>
      <c r="Q155" s="23"/>
      <c r="R155" s="23"/>
      <c r="S155" s="23"/>
      <c r="T155" s="23"/>
      <c r="U155" s="23"/>
      <c r="V155" s="21"/>
      <c r="W155" s="21"/>
      <c r="X155" s="21"/>
      <c r="Y155" s="21"/>
    </row>
    <row r="156" spans="1:25" x14ac:dyDescent="0.2">
      <c r="A156" s="42"/>
      <c r="B156" s="43"/>
      <c r="C156" s="44" t="s">
        <v>111</v>
      </c>
      <c r="D156" s="70">
        <f>VLOOKUP(Q117,[94]Base_02!$A$5:$S$24,19,0)</f>
        <v>109.5595</v>
      </c>
      <c r="E156" s="70"/>
      <c r="F156" s="43" t="s">
        <v>110</v>
      </c>
      <c r="G156" s="43"/>
      <c r="H156" s="43"/>
      <c r="I156" s="42"/>
      <c r="J156" s="43"/>
      <c r="K156" s="43"/>
      <c r="L156" s="70">
        <f>D156</f>
        <v>109.5595</v>
      </c>
      <c r="M156" s="70"/>
      <c r="N156" s="47" t="s">
        <v>110</v>
      </c>
      <c r="O156" s="44"/>
      <c r="P156" s="53"/>
      <c r="Q156" s="23"/>
      <c r="R156" s="23"/>
      <c r="S156" s="23"/>
      <c r="T156" s="23"/>
      <c r="U156" s="23"/>
      <c r="V156" s="21"/>
      <c r="W156" s="21"/>
      <c r="X156" s="21"/>
      <c r="Y156" s="21"/>
    </row>
    <row r="157" spans="1:25" x14ac:dyDescent="0.2">
      <c r="A157" s="23"/>
      <c r="B157" s="23"/>
      <c r="C157" s="26"/>
      <c r="D157" s="23"/>
      <c r="E157" s="23"/>
      <c r="F157" s="23"/>
      <c r="G157" s="23"/>
      <c r="H157" s="23"/>
      <c r="I157" s="23"/>
      <c r="J157" s="23"/>
      <c r="K157" s="25"/>
      <c r="L157" s="25"/>
      <c r="M157" s="30"/>
      <c r="N157" s="23"/>
      <c r="O157" s="23"/>
      <c r="P157" s="23"/>
      <c r="Q157" s="23"/>
      <c r="R157" s="23"/>
      <c r="S157" s="23"/>
      <c r="T157" s="23"/>
      <c r="U157" s="23"/>
      <c r="V157" s="23"/>
      <c r="W157" s="23"/>
      <c r="X157" s="23"/>
      <c r="Y157" s="23"/>
    </row>
    <row r="158" spans="1:25" x14ac:dyDescent="0.2">
      <c r="A158" s="23"/>
      <c r="B158" s="23"/>
      <c r="C158" s="23"/>
      <c r="D158" s="23"/>
      <c r="E158" s="23"/>
      <c r="F158" s="23"/>
      <c r="G158" s="23"/>
      <c r="H158" s="23"/>
      <c r="I158" s="23"/>
      <c r="J158" s="23"/>
      <c r="K158" s="23"/>
      <c r="L158" s="23"/>
      <c r="M158" s="30"/>
      <c r="N158" s="23"/>
      <c r="O158" s="23"/>
      <c r="P158" s="23"/>
      <c r="Q158" s="23"/>
      <c r="R158" s="23"/>
      <c r="S158" s="23"/>
      <c r="T158" s="23"/>
      <c r="U158" s="23"/>
      <c r="V158" s="23"/>
      <c r="W158" s="23"/>
      <c r="X158" s="23"/>
      <c r="Y158" s="23"/>
    </row>
    <row r="159" spans="1:25" x14ac:dyDescent="0.2">
      <c r="A159" s="23"/>
      <c r="B159" s="23"/>
      <c r="C159" s="23"/>
      <c r="D159" s="23"/>
      <c r="E159" s="23"/>
      <c r="F159" s="23"/>
      <c r="G159" s="23"/>
      <c r="H159" s="23"/>
      <c r="I159" s="23"/>
      <c r="J159" s="23"/>
      <c r="K159" s="23"/>
      <c r="L159" s="71" t="str">
        <f>[94]Base_01!$C$4&amp;", …..  …........................  2026"</f>
        <v>Sorong, …..  …........................  2026</v>
      </c>
      <c r="M159" s="71"/>
      <c r="N159" s="71"/>
      <c r="O159" s="71"/>
      <c r="P159" s="71"/>
      <c r="Q159" s="23"/>
      <c r="R159" s="23"/>
      <c r="S159" s="23"/>
      <c r="T159" s="23"/>
      <c r="U159" s="23"/>
      <c r="V159" s="23"/>
      <c r="W159" s="23"/>
      <c r="X159" s="23"/>
      <c r="Y159" s="23"/>
    </row>
    <row r="160" spans="1:25" x14ac:dyDescent="0.2">
      <c r="A160" s="71" t="s">
        <v>108</v>
      </c>
      <c r="B160" s="71"/>
      <c r="C160" s="71"/>
      <c r="D160" s="71"/>
      <c r="E160" s="71"/>
      <c r="F160" s="71"/>
      <c r="G160" s="23"/>
      <c r="H160" s="23"/>
      <c r="I160" s="23"/>
      <c r="J160" s="23"/>
      <c r="K160" s="23"/>
      <c r="L160" s="71" t="s">
        <v>152</v>
      </c>
      <c r="M160" s="71"/>
      <c r="N160" s="71"/>
      <c r="O160" s="71"/>
      <c r="P160" s="71"/>
      <c r="Q160" s="23"/>
      <c r="R160" s="23"/>
      <c r="S160" s="23"/>
      <c r="T160" s="23"/>
      <c r="U160" s="23"/>
      <c r="V160" s="23"/>
      <c r="W160" s="23"/>
      <c r="X160" s="23"/>
      <c r="Y160" s="23"/>
    </row>
    <row r="161" spans="1:25" x14ac:dyDescent="0.2">
      <c r="A161" s="71" t="s">
        <v>153</v>
      </c>
      <c r="B161" s="71"/>
      <c r="C161" s="71"/>
      <c r="D161" s="71"/>
      <c r="E161" s="71"/>
      <c r="F161" s="71"/>
      <c r="G161" s="23"/>
      <c r="H161" s="23"/>
      <c r="I161" s="23"/>
      <c r="J161" s="23"/>
      <c r="K161" s="23"/>
      <c r="L161" s="71" t="s">
        <v>107</v>
      </c>
      <c r="M161" s="71"/>
      <c r="N161" s="71"/>
      <c r="O161" s="71"/>
      <c r="P161" s="71"/>
      <c r="Q161" s="23"/>
      <c r="R161" s="23"/>
      <c r="S161" s="23"/>
      <c r="T161" s="23"/>
      <c r="U161" s="23"/>
      <c r="V161" s="23"/>
      <c r="W161" s="23"/>
      <c r="X161" s="23"/>
      <c r="Y161" s="23"/>
    </row>
    <row r="162" spans="1:25" x14ac:dyDescent="0.2">
      <c r="A162" s="23"/>
      <c r="B162" s="23"/>
      <c r="C162" s="23"/>
      <c r="D162" s="23"/>
      <c r="E162" s="23"/>
      <c r="F162" s="23"/>
      <c r="G162" s="23"/>
      <c r="H162" s="23"/>
      <c r="I162" s="23"/>
      <c r="J162" s="23"/>
      <c r="K162" s="23"/>
      <c r="L162" s="23"/>
      <c r="M162" s="30"/>
      <c r="N162" s="23"/>
      <c r="O162" s="23"/>
      <c r="P162" s="23"/>
      <c r="Q162" s="23"/>
      <c r="R162" s="23"/>
      <c r="S162" s="23"/>
      <c r="T162" s="23"/>
      <c r="U162" s="23"/>
      <c r="V162" s="23"/>
      <c r="W162" s="23"/>
      <c r="X162" s="23"/>
      <c r="Y162" s="23"/>
    </row>
    <row r="163" spans="1:25" x14ac:dyDescent="0.2">
      <c r="A163" s="23"/>
      <c r="B163" s="23"/>
      <c r="C163" s="23"/>
      <c r="D163" s="23"/>
      <c r="E163" s="23"/>
      <c r="F163" s="23"/>
      <c r="G163" s="23"/>
      <c r="H163" s="23"/>
      <c r="I163" s="23"/>
      <c r="J163" s="23"/>
      <c r="K163" s="23"/>
      <c r="L163" s="23"/>
      <c r="M163" s="30"/>
      <c r="N163" s="23"/>
      <c r="O163" s="23"/>
      <c r="P163" s="23"/>
      <c r="Q163" s="23"/>
      <c r="R163" s="23"/>
      <c r="S163" s="23"/>
      <c r="T163" s="23"/>
      <c r="U163" s="23"/>
      <c r="V163" s="23"/>
      <c r="W163" s="23"/>
      <c r="X163" s="23"/>
      <c r="Y163" s="23"/>
    </row>
    <row r="164" spans="1:25" x14ac:dyDescent="0.2">
      <c r="A164" s="23"/>
      <c r="B164" s="23"/>
      <c r="C164" s="23"/>
      <c r="D164" s="23"/>
      <c r="E164" s="23"/>
      <c r="F164" s="23"/>
      <c r="G164" s="23"/>
      <c r="H164" s="23"/>
      <c r="I164" s="23"/>
      <c r="J164" s="23"/>
      <c r="K164" s="23"/>
      <c r="L164" s="23"/>
      <c r="M164" s="30"/>
      <c r="N164" s="23"/>
      <c r="O164" s="23"/>
      <c r="P164" s="23"/>
      <c r="Q164" s="23"/>
      <c r="R164" s="23"/>
      <c r="S164" s="23"/>
      <c r="T164" s="23"/>
      <c r="U164" s="23"/>
      <c r="V164" s="23"/>
      <c r="W164" s="23"/>
      <c r="X164" s="23"/>
      <c r="Y164" s="23"/>
    </row>
    <row r="165" spans="1:25" x14ac:dyDescent="0.2">
      <c r="A165" s="23"/>
      <c r="B165" s="23"/>
      <c r="C165" s="23"/>
      <c r="D165" s="23"/>
      <c r="E165" s="23"/>
      <c r="F165" s="23"/>
      <c r="G165" s="23"/>
      <c r="H165" s="23"/>
      <c r="I165" s="23"/>
      <c r="J165" s="23"/>
      <c r="K165" s="23"/>
      <c r="L165" s="23"/>
      <c r="M165" s="30"/>
      <c r="N165" s="23"/>
      <c r="O165" s="23"/>
      <c r="P165" s="23"/>
      <c r="Q165" s="23"/>
      <c r="R165" s="23"/>
      <c r="S165" s="23"/>
      <c r="T165" s="23"/>
      <c r="U165" s="23"/>
      <c r="V165" s="23"/>
      <c r="W165" s="23"/>
      <c r="X165" s="23"/>
      <c r="Y165" s="23"/>
    </row>
    <row r="166" spans="1:25" x14ac:dyDescent="0.2">
      <c r="A166" s="87" t="str">
        <f>[94]Base_02!$C$28</f>
        <v>Nama PB 1</v>
      </c>
      <c r="B166" s="87"/>
      <c r="C166" s="87"/>
      <c r="D166" s="87"/>
      <c r="E166" s="87"/>
      <c r="F166" s="87"/>
      <c r="G166" s="23"/>
      <c r="H166" s="23"/>
      <c r="I166" s="23"/>
      <c r="J166" s="23"/>
      <c r="K166" s="23"/>
      <c r="L166" s="71" t="str">
        <f>E122</f>
        <v>Nama PB 3</v>
      </c>
      <c r="M166" s="71"/>
      <c r="N166" s="71"/>
      <c r="O166" s="71"/>
      <c r="P166" s="71"/>
      <c r="Q166" s="23"/>
      <c r="R166" s="23"/>
      <c r="S166" s="23"/>
      <c r="T166" s="23"/>
      <c r="U166" s="23"/>
      <c r="V166" s="23"/>
      <c r="W166" s="23"/>
      <c r="X166" s="23"/>
      <c r="Y166" s="23"/>
    </row>
    <row r="167" spans="1:25" x14ac:dyDescent="0.2">
      <c r="A167" s="23"/>
      <c r="B167" s="23"/>
      <c r="C167" s="23"/>
      <c r="D167" s="23"/>
      <c r="E167" s="23"/>
      <c r="F167" s="23"/>
      <c r="G167" s="23"/>
      <c r="H167" s="23"/>
      <c r="I167" s="23"/>
      <c r="J167" s="23"/>
      <c r="K167" s="23"/>
      <c r="L167" s="23"/>
      <c r="M167" s="30"/>
      <c r="N167" s="23"/>
      <c r="O167" s="23"/>
      <c r="P167" s="23"/>
      <c r="Q167" s="23"/>
      <c r="R167" s="23"/>
      <c r="S167" s="23"/>
      <c r="T167" s="23"/>
      <c r="U167" s="23"/>
      <c r="V167" s="23"/>
      <c r="W167" s="23"/>
      <c r="X167" s="23"/>
      <c r="Y167" s="23"/>
    </row>
    <row r="168" spans="1:25" x14ac:dyDescent="0.2">
      <c r="A168" s="87" t="s">
        <v>109</v>
      </c>
      <c r="B168" s="87"/>
      <c r="C168" s="87"/>
      <c r="D168" s="87"/>
      <c r="E168" s="87"/>
      <c r="F168" s="87"/>
      <c r="G168" s="23"/>
      <c r="H168" s="23"/>
      <c r="I168" s="29"/>
      <c r="J168" s="24"/>
      <c r="K168" s="24"/>
      <c r="L168" s="88" t="s">
        <v>92</v>
      </c>
      <c r="M168" s="88"/>
      <c r="N168" s="88"/>
      <c r="O168" s="88"/>
      <c r="P168" s="88"/>
      <c r="Q168" s="23"/>
      <c r="R168" s="23"/>
      <c r="S168" s="23"/>
      <c r="T168" s="23"/>
      <c r="U168" s="23"/>
      <c r="V168" s="23"/>
      <c r="W168" s="23"/>
      <c r="X168" s="23"/>
      <c r="Y168" s="23"/>
    </row>
    <row r="169" spans="1:25" x14ac:dyDescent="0.2">
      <c r="A169" s="68" t="s">
        <v>91</v>
      </c>
      <c r="B169" s="68"/>
      <c r="C169" s="68"/>
      <c r="D169" s="68"/>
      <c r="E169" s="68"/>
      <c r="F169" s="68"/>
      <c r="I169" s="28"/>
      <c r="J169" s="28"/>
      <c r="K169" s="28"/>
      <c r="L169" s="69" t="str">
        <f>[94]Base_01!$B$17&amp;" "&amp;[94]Base_01!$C$4</f>
        <v>Koordinator Kota Sorong</v>
      </c>
      <c r="M169" s="69"/>
      <c r="N169" s="69"/>
      <c r="O169" s="69"/>
      <c r="P169" s="69"/>
      <c r="Q169" s="23"/>
      <c r="R169" s="23"/>
      <c r="S169" s="23"/>
      <c r="T169" s="23"/>
      <c r="U169" s="23"/>
      <c r="V169" s="23"/>
      <c r="W169" s="23"/>
      <c r="X169" s="23"/>
      <c r="Y169" s="23"/>
    </row>
    <row r="170" spans="1:25" x14ac:dyDescent="0.2">
      <c r="M170" s="27"/>
      <c r="Q170" s="23"/>
      <c r="R170" s="23"/>
      <c r="S170" s="23"/>
      <c r="T170" s="23"/>
      <c r="U170" s="23"/>
      <c r="V170" s="23"/>
      <c r="W170" s="23"/>
      <c r="X170" s="23"/>
      <c r="Y170" s="23"/>
    </row>
    <row r="171" spans="1:25" x14ac:dyDescent="0.2">
      <c r="M171" s="27"/>
      <c r="Q171" s="23"/>
      <c r="R171" s="23"/>
      <c r="S171" s="23"/>
      <c r="T171" s="23"/>
      <c r="U171" s="23"/>
      <c r="V171" s="23"/>
      <c r="W171" s="23"/>
      <c r="X171" s="23"/>
      <c r="Y171" s="23"/>
    </row>
    <row r="172" spans="1:25" x14ac:dyDescent="0.2">
      <c r="M172" s="27"/>
      <c r="Q172" s="23"/>
      <c r="R172" s="23"/>
      <c r="S172" s="23"/>
      <c r="T172" s="23"/>
      <c r="U172" s="23"/>
      <c r="V172" s="23"/>
      <c r="W172" s="23"/>
      <c r="X172" s="23"/>
      <c r="Y172" s="23"/>
    </row>
    <row r="173" spans="1:25" x14ac:dyDescent="0.2">
      <c r="M173" s="27"/>
      <c r="Q173" s="23"/>
      <c r="R173" s="23"/>
      <c r="S173" s="23"/>
      <c r="T173" s="23"/>
      <c r="U173" s="23"/>
      <c r="V173" s="23"/>
      <c r="W173" s="23"/>
      <c r="X173" s="23"/>
      <c r="Y173" s="23"/>
    </row>
    <row r="174" spans="1:25" x14ac:dyDescent="0.2">
      <c r="A174" s="68" t="str">
        <f>[94]Base_01!$C$20</f>
        <v>…...............         …...............</v>
      </c>
      <c r="B174" s="68"/>
      <c r="C174" s="68"/>
      <c r="D174" s="68"/>
      <c r="E174" s="68"/>
      <c r="F174" s="68"/>
      <c r="L174" s="68" t="str">
        <f>[94]Base_01!$C$17</f>
        <v>AfrIandi Yudhistira, S.T.</v>
      </c>
      <c r="M174" s="68"/>
      <c r="N174" s="68"/>
      <c r="O174" s="68"/>
      <c r="P174" s="68"/>
      <c r="Q174" s="23"/>
      <c r="R174" s="23"/>
      <c r="S174" s="23"/>
      <c r="T174" s="23"/>
      <c r="U174" s="23"/>
      <c r="V174" s="23"/>
      <c r="W174" s="23"/>
      <c r="X174" s="23"/>
      <c r="Y174" s="23"/>
    </row>
    <row r="175" spans="1:25" x14ac:dyDescent="0.2">
      <c r="A175" s="86" t="s">
        <v>149</v>
      </c>
      <c r="B175" s="86"/>
      <c r="C175" s="86"/>
      <c r="D175" s="86"/>
      <c r="E175" s="86"/>
      <c r="F175" s="86"/>
      <c r="G175" s="86"/>
      <c r="H175" s="86"/>
      <c r="I175" s="86"/>
      <c r="J175" s="86"/>
      <c r="K175" s="86"/>
      <c r="L175" s="86"/>
      <c r="M175" s="86"/>
      <c r="N175" s="86"/>
      <c r="O175" s="86"/>
      <c r="P175" s="86"/>
      <c r="Q175" s="23">
        <f>Q117+1</f>
        <v>4</v>
      </c>
      <c r="R175" s="23"/>
      <c r="S175" s="23"/>
      <c r="T175" s="23"/>
      <c r="U175" s="23"/>
      <c r="V175" s="23"/>
      <c r="W175" s="23"/>
      <c r="X175" s="23"/>
      <c r="Y175" s="23"/>
    </row>
    <row r="176" spans="1:25" x14ac:dyDescent="0.2">
      <c r="A176" s="71" t="s">
        <v>148</v>
      </c>
      <c r="B176" s="71"/>
      <c r="C176" s="71"/>
      <c r="D176" s="71"/>
      <c r="E176" s="71"/>
      <c r="F176" s="71"/>
      <c r="G176" s="71"/>
      <c r="H176" s="71"/>
      <c r="I176" s="71"/>
      <c r="J176" s="71"/>
      <c r="K176" s="71"/>
      <c r="L176" s="71"/>
      <c r="M176" s="71"/>
      <c r="N176" s="71"/>
      <c r="O176" s="71"/>
      <c r="P176" s="71"/>
      <c r="Q176" s="23"/>
      <c r="R176" s="23"/>
      <c r="S176" s="23"/>
      <c r="T176" s="23"/>
      <c r="U176" s="23"/>
      <c r="V176" s="23"/>
      <c r="W176" s="23"/>
      <c r="X176" s="23"/>
      <c r="Y176" s="23"/>
    </row>
    <row r="177" spans="1:25" x14ac:dyDescent="0.2">
      <c r="A177" s="25"/>
      <c r="B177" s="25"/>
      <c r="C177" s="25"/>
      <c r="D177" s="25"/>
      <c r="E177" s="25"/>
      <c r="F177" s="25"/>
      <c r="G177" s="25"/>
      <c r="H177" s="25"/>
      <c r="I177" s="23"/>
      <c r="J177" s="24"/>
      <c r="K177" s="24"/>
      <c r="L177" s="24"/>
      <c r="M177" s="24"/>
      <c r="N177" s="24"/>
      <c r="O177" s="24"/>
      <c r="P177" s="24"/>
      <c r="Q177" s="23"/>
      <c r="R177" s="23"/>
      <c r="S177" s="23"/>
      <c r="T177" s="23"/>
      <c r="U177" s="23"/>
      <c r="V177" s="23"/>
      <c r="W177" s="23"/>
      <c r="X177" s="23"/>
      <c r="Y177" s="23"/>
    </row>
    <row r="178" spans="1:25" x14ac:dyDescent="0.2">
      <c r="A178" s="73" t="s">
        <v>147</v>
      </c>
      <c r="B178" s="73"/>
      <c r="C178" s="73"/>
      <c r="D178" s="73"/>
      <c r="E178" s="35" t="str">
        <f>VLOOKUP(Q175,[94]Base_02!$A$5:$AD$24,2,0)</f>
        <v>000004</v>
      </c>
      <c r="F178" s="23"/>
      <c r="G178" s="23"/>
      <c r="H178" s="24"/>
      <c r="I178" s="23"/>
      <c r="J178" s="24"/>
      <c r="K178" s="24"/>
      <c r="L178" s="24"/>
      <c r="M178" s="24"/>
      <c r="N178" s="24"/>
      <c r="O178" s="24"/>
      <c r="P178" s="24"/>
      <c r="Q178" s="23"/>
      <c r="R178" s="23"/>
      <c r="S178" s="23"/>
      <c r="T178" s="23"/>
      <c r="U178" s="23"/>
      <c r="V178" s="23"/>
      <c r="W178" s="23"/>
      <c r="X178" s="23"/>
      <c r="Y178" s="23"/>
    </row>
    <row r="179" spans="1:25" x14ac:dyDescent="0.2">
      <c r="A179" s="73" t="s">
        <v>68</v>
      </c>
      <c r="B179" s="73"/>
      <c r="C179" s="73"/>
      <c r="D179" s="73"/>
      <c r="E179" s="35" t="str">
        <f>VLOOKUP(Q175,[94]Base_02!$A$5:$AD$24,14,0)</f>
        <v>3304160101830004</v>
      </c>
      <c r="F179" s="23"/>
      <c r="G179" s="23"/>
      <c r="H179" s="24"/>
      <c r="I179" s="23"/>
      <c r="J179" s="24"/>
      <c r="K179" s="24"/>
      <c r="L179" s="24"/>
      <c r="M179" s="24"/>
      <c r="N179" s="24"/>
      <c r="O179" s="24"/>
      <c r="P179" s="24"/>
      <c r="Q179" s="23"/>
      <c r="R179" s="23"/>
      <c r="S179" s="23"/>
      <c r="T179" s="23"/>
      <c r="U179" s="23"/>
      <c r="V179" s="23"/>
      <c r="W179" s="23"/>
      <c r="X179" s="23"/>
      <c r="Y179" s="23"/>
    </row>
    <row r="180" spans="1:25" x14ac:dyDescent="0.2">
      <c r="A180" s="73" t="s">
        <v>150</v>
      </c>
      <c r="B180" s="73"/>
      <c r="C180" s="73"/>
      <c r="D180" s="73"/>
      <c r="E180" s="35" t="str">
        <f>VLOOKUP(Q175,[94]Base_02!$A$5:$AD$24,3,0)</f>
        <v>Nama PB 4</v>
      </c>
      <c r="F180" s="23"/>
      <c r="G180" s="23"/>
      <c r="H180" s="24"/>
      <c r="I180" s="23"/>
      <c r="J180" s="24"/>
      <c r="K180" s="24"/>
      <c r="L180" s="24"/>
      <c r="M180" s="24"/>
      <c r="N180" s="24"/>
      <c r="O180" s="24"/>
      <c r="P180" s="24"/>
      <c r="Q180" s="23"/>
      <c r="R180" s="23"/>
      <c r="S180" s="23"/>
      <c r="T180" s="23"/>
      <c r="U180" s="23"/>
      <c r="V180" s="23"/>
      <c r="W180" s="23"/>
      <c r="X180" s="23"/>
      <c r="Y180" s="23"/>
    </row>
    <row r="181" spans="1:25" x14ac:dyDescent="0.2">
      <c r="A181" s="73" t="s">
        <v>18</v>
      </c>
      <c r="B181" s="73"/>
      <c r="C181" s="73"/>
      <c r="D181" s="73"/>
      <c r="E181" s="35" t="str">
        <f>VLOOKUP(Q175,[94]Base_02!$A$5:$Z$24,11,FALSE)&amp;", RT "&amp;VLOOKUP(Q175,[94]Base_02!$A$5:$Z$24,12,FALSE)&amp;", RW "&amp;VLOOKUP(Q175,[94]Base_02!$A$5:$Z$24,13,FALSE)</f>
        <v>Jalan Kanal Victory, RT 1, RW 1</v>
      </c>
      <c r="F181" s="23"/>
      <c r="G181" s="23"/>
      <c r="H181" s="35"/>
      <c r="I181" s="23"/>
      <c r="J181" s="24"/>
      <c r="K181" s="24"/>
      <c r="L181" s="24"/>
      <c r="M181" s="24"/>
      <c r="N181" s="24"/>
      <c r="O181" s="24"/>
      <c r="P181" s="24"/>
      <c r="Q181" s="23"/>
      <c r="R181" s="23"/>
      <c r="S181" s="23"/>
      <c r="T181" s="23"/>
      <c r="U181" s="23"/>
      <c r="V181" s="23"/>
      <c r="W181" s="23"/>
      <c r="X181" s="23"/>
      <c r="Y181" s="23"/>
    </row>
    <row r="182" spans="1:25" x14ac:dyDescent="0.2">
      <c r="A182" s="73" t="str">
        <f>[94]Base_01!$B$2</f>
        <v>Kelurahan</v>
      </c>
      <c r="B182" s="73"/>
      <c r="C182" s="73"/>
      <c r="D182" s="73"/>
      <c r="E182" s="35" t="str">
        <f>[94]Base_01!$C$2</f>
        <v>Klasabi</v>
      </c>
      <c r="F182" s="23"/>
      <c r="G182" s="23"/>
      <c r="H182" s="24"/>
      <c r="I182" s="23"/>
      <c r="J182" s="24"/>
      <c r="K182" s="24"/>
      <c r="L182" s="24"/>
      <c r="M182" s="24"/>
      <c r="N182" s="24"/>
      <c r="O182" s="24"/>
      <c r="P182" s="24"/>
      <c r="Q182" s="23" t="s">
        <v>146</v>
      </c>
      <c r="R182" s="23"/>
      <c r="S182" s="23"/>
      <c r="T182" s="23"/>
      <c r="U182" s="23"/>
      <c r="V182" s="23"/>
      <c r="W182" s="23"/>
      <c r="X182" s="23"/>
      <c r="Y182" s="23"/>
    </row>
    <row r="183" spans="1:25" x14ac:dyDescent="0.2">
      <c r="A183" s="73" t="s">
        <v>19</v>
      </c>
      <c r="B183" s="73"/>
      <c r="C183" s="73"/>
      <c r="D183" s="73"/>
      <c r="E183" s="35" t="str">
        <f>[94]Base_01!$C$3</f>
        <v>Sorong Manoi</v>
      </c>
      <c r="F183" s="23"/>
      <c r="G183" s="23"/>
      <c r="H183" s="24"/>
      <c r="I183" s="23"/>
      <c r="J183" s="24"/>
      <c r="K183" s="24"/>
      <c r="L183" s="24"/>
      <c r="M183" s="24"/>
      <c r="N183" s="24"/>
      <c r="O183" s="24"/>
      <c r="P183" s="24"/>
      <c r="Q183" s="23" t="s">
        <v>145</v>
      </c>
      <c r="R183" s="23"/>
      <c r="S183" s="23"/>
      <c r="T183" s="23"/>
      <c r="U183" s="23"/>
      <c r="V183" s="23"/>
      <c r="W183" s="23"/>
      <c r="X183" s="23"/>
      <c r="Y183" s="23"/>
    </row>
    <row r="184" spans="1:25" x14ac:dyDescent="0.2">
      <c r="A184" s="73" t="str">
        <f>[94]Base_01!$B$4</f>
        <v>Kota</v>
      </c>
      <c r="B184" s="73"/>
      <c r="C184" s="73"/>
      <c r="D184" s="73"/>
      <c r="E184" s="35" t="str">
        <f>[94]Base_01!$C$4</f>
        <v>Sorong</v>
      </c>
      <c r="F184" s="23"/>
      <c r="G184" s="23"/>
      <c r="H184" s="24"/>
      <c r="I184" s="23"/>
      <c r="J184" s="24"/>
      <c r="K184" s="24"/>
      <c r="L184" s="24"/>
      <c r="M184" s="24"/>
      <c r="N184" s="24"/>
      <c r="O184" s="24"/>
      <c r="P184" s="24"/>
      <c r="Q184" s="23" t="s">
        <v>144</v>
      </c>
      <c r="R184" s="23"/>
      <c r="S184" s="23"/>
      <c r="T184" s="23"/>
      <c r="U184" s="23"/>
      <c r="V184" s="23"/>
      <c r="W184" s="23"/>
      <c r="X184" s="23"/>
      <c r="Y184" s="23"/>
    </row>
    <row r="185" spans="1:25" x14ac:dyDescent="0.2">
      <c r="A185" s="73" t="str">
        <f>[94]Base_01!$B$5</f>
        <v>Provinsi</v>
      </c>
      <c r="B185" s="73"/>
      <c r="C185" s="73"/>
      <c r="D185" s="73"/>
      <c r="E185" s="23" t="str">
        <f>[94]Base_01!$C$5</f>
        <v>Papua Barat Daya</v>
      </c>
      <c r="F185" s="23"/>
      <c r="G185" s="24"/>
      <c r="H185" s="24"/>
      <c r="I185" s="23"/>
      <c r="J185" s="24"/>
      <c r="K185" s="24"/>
      <c r="L185" s="24"/>
      <c r="M185" s="24"/>
      <c r="N185" s="24"/>
      <c r="O185" s="24"/>
      <c r="P185" s="24"/>
      <c r="Q185" s="23" t="s">
        <v>143</v>
      </c>
      <c r="R185" s="23"/>
      <c r="S185" s="23"/>
      <c r="T185" s="23"/>
      <c r="U185" s="23"/>
      <c r="V185" s="23"/>
      <c r="W185" s="23"/>
      <c r="X185" s="23"/>
      <c r="Y185" s="23"/>
    </row>
    <row r="186" spans="1:25" x14ac:dyDescent="0.2">
      <c r="A186" s="23"/>
      <c r="B186" s="23"/>
      <c r="C186" s="23"/>
      <c r="D186" s="23"/>
      <c r="E186" s="23"/>
      <c r="F186" s="23"/>
      <c r="G186" s="23"/>
      <c r="H186" s="23"/>
      <c r="I186" s="24"/>
      <c r="J186" s="24"/>
      <c r="K186" s="24"/>
      <c r="L186" s="24"/>
      <c r="M186" s="24"/>
      <c r="N186" s="24"/>
      <c r="O186" s="24"/>
      <c r="P186" s="24"/>
      <c r="Q186" s="23"/>
      <c r="R186" s="23"/>
      <c r="S186" s="23"/>
      <c r="T186" s="23"/>
      <c r="U186" s="23"/>
      <c r="V186" s="23"/>
      <c r="W186" s="23"/>
      <c r="X186" s="23"/>
      <c r="Y186" s="23"/>
    </row>
    <row r="187" spans="1:25" x14ac:dyDescent="0.2">
      <c r="A187" s="33"/>
      <c r="B187" s="33"/>
      <c r="C187" s="33"/>
      <c r="D187" s="33"/>
      <c r="E187" s="33"/>
      <c r="F187" s="33"/>
      <c r="G187" s="33"/>
      <c r="H187" s="33"/>
      <c r="I187" s="33"/>
      <c r="J187" s="33"/>
      <c r="K187" s="33"/>
      <c r="L187" s="33"/>
      <c r="M187" s="34"/>
      <c r="N187" s="33"/>
      <c r="O187" s="33"/>
      <c r="P187" s="33"/>
      <c r="Q187" s="23"/>
      <c r="R187" s="23"/>
      <c r="S187" s="23"/>
      <c r="T187" s="23"/>
      <c r="U187" s="23"/>
      <c r="V187" s="23"/>
      <c r="W187" s="23"/>
      <c r="X187" s="23"/>
      <c r="Y187" s="23"/>
    </row>
    <row r="188" spans="1:25" x14ac:dyDescent="0.2">
      <c r="A188" s="80" t="s">
        <v>142</v>
      </c>
      <c r="B188" s="81"/>
      <c r="C188" s="81"/>
      <c r="D188" s="81"/>
      <c r="E188" s="81"/>
      <c r="F188" s="81"/>
      <c r="G188" s="81"/>
      <c r="H188" s="81"/>
      <c r="I188" s="80" t="s">
        <v>151</v>
      </c>
      <c r="J188" s="81"/>
      <c r="K188" s="81"/>
      <c r="L188" s="81"/>
      <c r="M188" s="81"/>
      <c r="N188" s="81"/>
      <c r="O188" s="81"/>
      <c r="P188" s="82"/>
      <c r="Q188" s="23"/>
      <c r="R188" s="23"/>
      <c r="S188" s="23"/>
      <c r="T188" s="23"/>
      <c r="U188" s="23"/>
      <c r="V188" s="21"/>
      <c r="W188" s="21"/>
      <c r="X188" s="21"/>
      <c r="Y188" s="21"/>
    </row>
    <row r="189" spans="1:25" x14ac:dyDescent="0.2">
      <c r="A189" s="48"/>
      <c r="B189" s="49"/>
      <c r="C189" s="49"/>
      <c r="D189" s="50"/>
      <c r="E189" s="50"/>
      <c r="F189" s="49"/>
      <c r="G189" s="49"/>
      <c r="H189" s="49"/>
      <c r="I189" s="48"/>
      <c r="J189" s="49"/>
      <c r="K189" s="49"/>
      <c r="L189" s="50"/>
      <c r="M189" s="50"/>
      <c r="N189" s="49"/>
      <c r="O189" s="49"/>
      <c r="P189" s="51"/>
      <c r="Q189" s="23"/>
      <c r="R189" s="23"/>
      <c r="S189" s="23"/>
      <c r="T189" s="23"/>
      <c r="U189" s="23"/>
      <c r="V189" s="21"/>
      <c r="W189" s="21"/>
      <c r="X189" s="21"/>
      <c r="Y189" s="21"/>
    </row>
    <row r="190" spans="1:25" ht="16" x14ac:dyDescent="0.2">
      <c r="A190" s="36" t="s">
        <v>141</v>
      </c>
      <c r="B190" s="23"/>
      <c r="C190" s="26" t="s">
        <v>112</v>
      </c>
      <c r="D190" s="83">
        <f>VLOOKUP(Q175,[95]Base_03!$A$5:$AS$24,5,0)</f>
        <v>36</v>
      </c>
      <c r="E190" s="84"/>
      <c r="F190" s="23" t="s">
        <v>140</v>
      </c>
      <c r="G190" s="23"/>
      <c r="H190" s="23"/>
      <c r="I190" s="36" t="s">
        <v>141</v>
      </c>
      <c r="J190" s="26"/>
      <c r="K190" s="26" t="s">
        <v>119</v>
      </c>
      <c r="L190" s="85">
        <f>VLOOKUP(Q175,[95]Base_04!$A$5:$AS$24,5,0)</f>
        <v>49</v>
      </c>
      <c r="M190" s="85"/>
      <c r="N190" s="30" t="s">
        <v>140</v>
      </c>
      <c r="O190" s="23"/>
      <c r="P190" s="37"/>
      <c r="Q190" s="23"/>
      <c r="R190" s="23"/>
      <c r="S190" s="23"/>
      <c r="T190" s="23"/>
      <c r="U190" s="23"/>
      <c r="V190" s="21"/>
      <c r="W190" s="21"/>
      <c r="X190" s="21"/>
      <c r="Y190" s="21"/>
    </row>
    <row r="191" spans="1:25" ht="15" customHeight="1" x14ac:dyDescent="0.2">
      <c r="A191" s="38" t="s">
        <v>139</v>
      </c>
      <c r="B191" s="23"/>
      <c r="C191" s="26"/>
      <c r="D191" s="79" t="s">
        <v>131</v>
      </c>
      <c r="E191" s="79"/>
      <c r="F191" s="79" t="s">
        <v>130</v>
      </c>
      <c r="G191" s="79"/>
      <c r="H191" s="23"/>
      <c r="I191" s="38" t="s">
        <v>139</v>
      </c>
      <c r="J191" s="23"/>
      <c r="K191" s="26"/>
      <c r="L191" s="79" t="s">
        <v>131</v>
      </c>
      <c r="M191" s="79"/>
      <c r="N191" s="79" t="s">
        <v>130</v>
      </c>
      <c r="O191" s="79"/>
      <c r="P191" s="52"/>
      <c r="Q191" s="23"/>
      <c r="R191" s="23"/>
      <c r="S191" s="23"/>
      <c r="T191" s="23"/>
      <c r="U191" s="23"/>
      <c r="V191" s="21"/>
      <c r="W191" s="21"/>
      <c r="X191" s="21"/>
      <c r="Y191" s="21"/>
    </row>
    <row r="192" spans="1:25" x14ac:dyDescent="0.2">
      <c r="A192" s="39"/>
      <c r="B192" s="23"/>
      <c r="C192" s="26"/>
      <c r="D192" s="79"/>
      <c r="E192" s="79"/>
      <c r="F192" s="79"/>
      <c r="G192" s="79"/>
      <c r="H192" s="23"/>
      <c r="I192" s="39"/>
      <c r="J192" s="23"/>
      <c r="K192" s="26"/>
      <c r="L192" s="79"/>
      <c r="M192" s="79"/>
      <c r="N192" s="79"/>
      <c r="O192" s="79"/>
      <c r="P192" s="52"/>
      <c r="Q192" s="23"/>
      <c r="R192" s="23"/>
      <c r="S192" s="23"/>
      <c r="T192" s="23"/>
      <c r="U192" s="23"/>
      <c r="V192" s="21"/>
      <c r="W192" s="21"/>
      <c r="X192" s="21"/>
      <c r="Y192" s="21"/>
    </row>
    <row r="193" spans="1:25" x14ac:dyDescent="0.2">
      <c r="A193" s="72" t="s">
        <v>138</v>
      </c>
      <c r="B193" s="73"/>
      <c r="C193" s="73" t="s">
        <v>112</v>
      </c>
      <c r="D193" s="78" t="str">
        <f>VLOOKUP(Q175,[95]Base_03!$A$5:$AS$24,6,0)</f>
        <v>Pondasi Titik</v>
      </c>
      <c r="E193" s="78"/>
      <c r="F193" s="77">
        <f>VLOOKUP(Q175,[95]Base_03!$A$5:$AS$24,12,0)</f>
        <v>0</v>
      </c>
      <c r="G193" s="77"/>
      <c r="H193" s="23" t="s">
        <v>134</v>
      </c>
      <c r="I193" s="72" t="s">
        <v>138</v>
      </c>
      <c r="J193" s="73"/>
      <c r="K193" s="73"/>
      <c r="L193" s="78" t="str">
        <f>VLOOKUP(Q175,[95]Base_04!$A$5:$AS$24,6,0)</f>
        <v>Pondasi Titik</v>
      </c>
      <c r="M193" s="78"/>
      <c r="N193" s="77">
        <f>VLOOKUP(Q175,[95]Base_04!$A$5:$AS$24,12,0)</f>
        <v>0</v>
      </c>
      <c r="O193" s="77"/>
      <c r="P193" s="37" t="s">
        <v>134</v>
      </c>
      <c r="Q193" s="23" t="s">
        <v>123</v>
      </c>
      <c r="R193" s="23"/>
      <c r="S193" s="23"/>
      <c r="T193" s="23"/>
      <c r="U193" s="23"/>
      <c r="V193" s="21"/>
      <c r="W193" s="21"/>
      <c r="X193" s="21"/>
      <c r="Y193" s="21"/>
    </row>
    <row r="194" spans="1:25" x14ac:dyDescent="0.2">
      <c r="A194" s="72" t="s">
        <v>137</v>
      </c>
      <c r="B194" s="73"/>
      <c r="C194" s="73" t="s">
        <v>112</v>
      </c>
      <c r="D194" s="78" t="str">
        <f>VLOOKUP(Q175,[95]Base_03!$A$5:$AS$24,13,0)</f>
        <v>S 4</v>
      </c>
      <c r="E194" s="78"/>
      <c r="F194" s="77">
        <f>VLOOKUP(Q175,[95]Base_03!$A$5:$AS$24,15,0)</f>
        <v>0</v>
      </c>
      <c r="G194" s="77"/>
      <c r="H194" s="23" t="s">
        <v>134</v>
      </c>
      <c r="I194" s="72" t="s">
        <v>137</v>
      </c>
      <c r="J194" s="73"/>
      <c r="K194" s="73"/>
      <c r="L194" s="78" t="str">
        <f>VLOOKUP(Q175,[95]Base_04!$A$5:$AS$24,13,0)</f>
        <v>S 4</v>
      </c>
      <c r="M194" s="78"/>
      <c r="N194" s="77">
        <f>VLOOKUP(Q175,[95]Base_04!$A$5:$AS$24,15,0)</f>
        <v>0</v>
      </c>
      <c r="O194" s="77"/>
      <c r="P194" s="37" t="s">
        <v>134</v>
      </c>
      <c r="Q194" s="23" t="s">
        <v>123</v>
      </c>
      <c r="R194" s="23"/>
      <c r="S194" s="23"/>
      <c r="T194" s="23"/>
      <c r="U194" s="23"/>
      <c r="V194" s="21"/>
      <c r="W194" s="21"/>
      <c r="X194" s="21"/>
      <c r="Y194" s="21"/>
    </row>
    <row r="195" spans="1:25" x14ac:dyDescent="0.2">
      <c r="A195" s="72" t="s">
        <v>136</v>
      </c>
      <c r="B195" s="73"/>
      <c r="C195" s="73" t="s">
        <v>112</v>
      </c>
      <c r="D195" s="78" t="str">
        <f>VLOOKUP(Q175,[95]Base_03!$A$5:$AS$24,16,0)</f>
        <v>B 4</v>
      </c>
      <c r="E195" s="78"/>
      <c r="F195" s="77">
        <f>VLOOKUP(Q175,[95]Base_03!$A$5:$AS$24,22,0)</f>
        <v>0</v>
      </c>
      <c r="G195" s="77"/>
      <c r="H195" s="23" t="s">
        <v>134</v>
      </c>
      <c r="I195" s="72" t="s">
        <v>136</v>
      </c>
      <c r="J195" s="73"/>
      <c r="K195" s="73"/>
      <c r="L195" s="78" t="str">
        <f>VLOOKUP(Q175,[95]Base_04!$A$5:$AS$24,16,0)</f>
        <v>B 4</v>
      </c>
      <c r="M195" s="78"/>
      <c r="N195" s="77">
        <f>VLOOKUP(Q175,[95]Base_04!$A$5:$AS$24,22,0)</f>
        <v>0</v>
      </c>
      <c r="O195" s="77"/>
      <c r="P195" s="37" t="s">
        <v>134</v>
      </c>
      <c r="Q195" s="23" t="s">
        <v>123</v>
      </c>
      <c r="R195" s="23"/>
      <c r="S195" s="23"/>
      <c r="T195" s="23"/>
      <c r="U195" s="23"/>
      <c r="V195" s="21"/>
      <c r="W195" s="21"/>
      <c r="X195" s="21"/>
      <c r="Y195" s="21"/>
    </row>
    <row r="196" spans="1:25" x14ac:dyDescent="0.2">
      <c r="A196" s="72" t="s">
        <v>135</v>
      </c>
      <c r="B196" s="73"/>
      <c r="C196" s="73" t="s">
        <v>112</v>
      </c>
      <c r="D196" s="78" t="str">
        <f>VLOOKUP(Q175,[95]Base_03!$A$5:$AS$24,23,0)</f>
        <v>K 4</v>
      </c>
      <c r="E196" s="78"/>
      <c r="F196" s="77">
        <f>VLOOKUP(Q175,[95]Base_03!$A$5:$AS$24,24,0)</f>
        <v>0</v>
      </c>
      <c r="G196" s="77"/>
      <c r="H196" s="23" t="s">
        <v>134</v>
      </c>
      <c r="I196" s="72" t="s">
        <v>135</v>
      </c>
      <c r="J196" s="73"/>
      <c r="K196" s="73"/>
      <c r="L196" s="78" t="str">
        <f>VLOOKUP(Q175,[95]Base_04!$A$5:$AS$24,23,0)</f>
        <v>K 4</v>
      </c>
      <c r="M196" s="78"/>
      <c r="N196" s="77">
        <f>VLOOKUP(Q175,[95]Base_04!$A$5:$AS$24,24,0)</f>
        <v>0</v>
      </c>
      <c r="O196" s="77"/>
      <c r="P196" s="37" t="s">
        <v>134</v>
      </c>
      <c r="Q196" s="23" t="s">
        <v>123</v>
      </c>
      <c r="R196" s="23"/>
      <c r="S196" s="23"/>
      <c r="T196" s="23"/>
      <c r="U196" s="23"/>
      <c r="V196" s="21"/>
      <c r="W196" s="21"/>
      <c r="X196" s="21"/>
      <c r="Y196" s="21"/>
    </row>
    <row r="197" spans="1:25" x14ac:dyDescent="0.2">
      <c r="A197" s="72" t="s">
        <v>133</v>
      </c>
      <c r="B197" s="73"/>
      <c r="C197" s="73" t="s">
        <v>112</v>
      </c>
      <c r="D197" s="78" t="str">
        <f>VLOOKUP(Q175,[95]Base_03!$A$5:$AS$24,25,0)</f>
        <v>K 4</v>
      </c>
      <c r="E197" s="78"/>
      <c r="F197" s="77">
        <f>VLOOKUP(Q175,[95]Base_03!$A$5:$AS$24,26,0)</f>
        <v>73.900834456272094</v>
      </c>
      <c r="G197" s="77"/>
      <c r="H197" s="23" t="s">
        <v>124</v>
      </c>
      <c r="I197" s="72" t="s">
        <v>133</v>
      </c>
      <c r="J197" s="73"/>
      <c r="K197" s="73"/>
      <c r="L197" s="78" t="str">
        <f>VLOOKUP(Q175,[95]Base_04!$A$5:$AS$24,25,0)</f>
        <v>K 4</v>
      </c>
      <c r="M197" s="78"/>
      <c r="N197" s="77">
        <f>VLOOKUP(Q175,[95]Base_04!$A$5:$AS$24,26,0)</f>
        <v>93.530743608719362</v>
      </c>
      <c r="O197" s="77"/>
      <c r="P197" s="37" t="s">
        <v>124</v>
      </c>
      <c r="Q197" s="23" t="s">
        <v>123</v>
      </c>
      <c r="R197" s="23"/>
      <c r="S197" s="23"/>
      <c r="T197" s="23"/>
      <c r="U197" s="23"/>
      <c r="V197" s="21"/>
      <c r="W197" s="21"/>
      <c r="X197" s="21"/>
      <c r="Y197" s="21"/>
    </row>
    <row r="198" spans="1:25" x14ac:dyDescent="0.2">
      <c r="A198" s="40"/>
      <c r="B198" s="31"/>
      <c r="C198" s="31"/>
      <c r="D198" s="41"/>
      <c r="E198" s="41"/>
      <c r="F198" s="30"/>
      <c r="G198" s="23"/>
      <c r="H198" s="23"/>
      <c r="I198" s="40"/>
      <c r="J198" s="31"/>
      <c r="K198" s="31"/>
      <c r="L198" s="41"/>
      <c r="M198" s="41"/>
      <c r="N198" s="30"/>
      <c r="O198" s="23"/>
      <c r="P198" s="37"/>
      <c r="Q198" s="23"/>
      <c r="R198" s="23"/>
      <c r="S198" s="23"/>
      <c r="T198" s="23"/>
      <c r="U198" s="23"/>
      <c r="V198" s="21"/>
      <c r="W198" s="21"/>
      <c r="X198" s="21"/>
      <c r="Y198" s="21"/>
    </row>
    <row r="199" spans="1:25" x14ac:dyDescent="0.2">
      <c r="A199" s="38" t="s">
        <v>132</v>
      </c>
      <c r="B199" s="23"/>
      <c r="C199" s="26"/>
      <c r="D199" s="79" t="s">
        <v>131</v>
      </c>
      <c r="E199" s="79"/>
      <c r="F199" s="79" t="s">
        <v>130</v>
      </c>
      <c r="G199" s="79"/>
      <c r="H199" s="23"/>
      <c r="I199" s="38" t="s">
        <v>132</v>
      </c>
      <c r="J199" s="23"/>
      <c r="K199" s="26"/>
      <c r="L199" s="79" t="s">
        <v>131</v>
      </c>
      <c r="M199" s="79"/>
      <c r="N199" s="79" t="s">
        <v>130</v>
      </c>
      <c r="O199" s="79"/>
      <c r="P199" s="52"/>
      <c r="Q199" s="23"/>
      <c r="R199" s="23"/>
      <c r="S199" s="23"/>
      <c r="T199" s="23"/>
      <c r="U199" s="23"/>
      <c r="V199" s="21"/>
      <c r="W199" s="21"/>
      <c r="X199" s="21"/>
      <c r="Y199" s="21"/>
    </row>
    <row r="200" spans="1:25" x14ac:dyDescent="0.2">
      <c r="A200" s="39"/>
      <c r="B200" s="23"/>
      <c r="C200" s="26"/>
      <c r="D200" s="79"/>
      <c r="E200" s="79"/>
      <c r="F200" s="79"/>
      <c r="G200" s="79"/>
      <c r="H200" s="23"/>
      <c r="I200" s="39"/>
      <c r="J200" s="23"/>
      <c r="K200" s="26"/>
      <c r="L200" s="79"/>
      <c r="M200" s="79"/>
      <c r="N200" s="79"/>
      <c r="O200" s="79"/>
      <c r="P200" s="52"/>
      <c r="Q200" s="23"/>
      <c r="R200" s="23"/>
      <c r="S200" s="23"/>
      <c r="T200" s="23"/>
      <c r="U200" s="23"/>
      <c r="V200" s="21"/>
      <c r="W200" s="21"/>
      <c r="X200" s="21"/>
      <c r="Y200" s="21"/>
    </row>
    <row r="201" spans="1:25" x14ac:dyDescent="0.2">
      <c r="A201" s="72" t="s">
        <v>129</v>
      </c>
      <c r="B201" s="73"/>
      <c r="C201" s="73" t="s">
        <v>119</v>
      </c>
      <c r="D201" s="78" t="str">
        <f>VLOOKUP(Q175,[95]Base_03!$A$5:$AS$24,28,0)</f>
        <v xml:space="preserve"> G 4</v>
      </c>
      <c r="E201" s="78"/>
      <c r="F201" s="77">
        <f>VLOOKUP(Q175,[95]Base_03!$A$5:$AS$24,30,0)</f>
        <v>55</v>
      </c>
      <c r="G201" s="77"/>
      <c r="H201" s="23" t="s">
        <v>124</v>
      </c>
      <c r="I201" s="72" t="s">
        <v>129</v>
      </c>
      <c r="J201" s="73"/>
      <c r="K201" s="73" t="s">
        <v>119</v>
      </c>
      <c r="L201" s="78" t="str">
        <f>VLOOKUP(Q175,[95]Base_04!$A$5:$AS$24,28,0)</f>
        <v xml:space="preserve"> G 4</v>
      </c>
      <c r="M201" s="78"/>
      <c r="N201" s="77">
        <f>VLOOKUP(Q175,[95]Base_04!$A$5:$AS$24,30,0)</f>
        <v>55</v>
      </c>
      <c r="O201" s="77"/>
      <c r="P201" s="37" t="s">
        <v>124</v>
      </c>
      <c r="Q201" s="23" t="s">
        <v>123</v>
      </c>
      <c r="R201" s="23"/>
      <c r="S201" s="23"/>
      <c r="T201" s="23"/>
      <c r="U201" s="23"/>
      <c r="V201" s="21"/>
      <c r="W201" s="21"/>
      <c r="X201" s="21"/>
      <c r="Y201" s="21"/>
    </row>
    <row r="202" spans="1:25" x14ac:dyDescent="0.2">
      <c r="A202" s="72" t="s">
        <v>128</v>
      </c>
      <c r="B202" s="73"/>
      <c r="C202" s="73" t="s">
        <v>119</v>
      </c>
      <c r="D202" s="78" t="str">
        <f>VLOOKUP(Q175,[95]Base_03!$A$5:$AS$24,31,0)</f>
        <v>H 4</v>
      </c>
      <c r="E202" s="78"/>
      <c r="F202" s="77">
        <f>VLOOKUP(Q175,[95]Base_03!$A$5:$AS$24,34,0)</f>
        <v>-5.76</v>
      </c>
      <c r="G202" s="77"/>
      <c r="H202" s="23" t="s">
        <v>124</v>
      </c>
      <c r="I202" s="72" t="s">
        <v>128</v>
      </c>
      <c r="J202" s="73"/>
      <c r="K202" s="73" t="s">
        <v>119</v>
      </c>
      <c r="L202" s="78" t="str">
        <f>VLOOKUP(Q175,[95]Base_04!$A$5:$AS$24,31,0)</f>
        <v>H 4</v>
      </c>
      <c r="M202" s="78"/>
      <c r="N202" s="77">
        <f>VLOOKUP(Q175,[95]Base_04!$A$5:$AS$24,34,0)</f>
        <v>-5.76</v>
      </c>
      <c r="O202" s="77"/>
      <c r="P202" s="37" t="s">
        <v>124</v>
      </c>
      <c r="Q202" s="23" t="s">
        <v>123</v>
      </c>
      <c r="R202" s="23"/>
      <c r="S202" s="23"/>
      <c r="T202" s="23"/>
      <c r="U202" s="23"/>
      <c r="V202" s="21"/>
      <c r="W202" s="21"/>
      <c r="X202" s="21"/>
      <c r="Y202" s="21"/>
    </row>
    <row r="203" spans="1:25" x14ac:dyDescent="0.2">
      <c r="A203" s="89" t="s">
        <v>127</v>
      </c>
      <c r="B203" s="90"/>
      <c r="C203" s="90" t="s">
        <v>119</v>
      </c>
      <c r="D203" s="91" t="str">
        <f>VLOOKUP(Q175,[95]Base_03!$A$5:$AS$24,35,0)</f>
        <v>Kayu</v>
      </c>
      <c r="E203" s="91"/>
      <c r="F203" s="92">
        <f>VLOOKUP(Q175,[95]Base_03!$A$5:$AS$24,36,0)</f>
        <v>5.76</v>
      </c>
      <c r="G203" s="92"/>
      <c r="H203" s="23" t="s">
        <v>124</v>
      </c>
      <c r="I203" s="89" t="s">
        <v>127</v>
      </c>
      <c r="J203" s="90"/>
      <c r="K203" s="90" t="s">
        <v>119</v>
      </c>
      <c r="L203" s="91" t="str">
        <f>VLOOKUP(Q175,[95]Base_04!$A$5:$AS$24,35,0)</f>
        <v>Kayu</v>
      </c>
      <c r="M203" s="91"/>
      <c r="N203" s="92">
        <f>VLOOKUP(Q175,[95]Base_04!$A$5:$AS$24,36,0)</f>
        <v>5.76</v>
      </c>
      <c r="O203" s="92"/>
      <c r="P203" s="37" t="s">
        <v>124</v>
      </c>
      <c r="Q203" s="23" t="s">
        <v>123</v>
      </c>
      <c r="R203" s="23"/>
      <c r="S203" s="23"/>
      <c r="T203" s="23"/>
      <c r="U203" s="23"/>
      <c r="V203" s="21"/>
      <c r="W203" s="21"/>
      <c r="X203" s="21"/>
      <c r="Y203" s="21"/>
    </row>
    <row r="204" spans="1:25" x14ac:dyDescent="0.2">
      <c r="A204" s="74" t="s">
        <v>126</v>
      </c>
      <c r="B204" s="75"/>
      <c r="C204" s="75"/>
      <c r="D204" s="91"/>
      <c r="E204" s="91"/>
      <c r="F204" s="92"/>
      <c r="G204" s="92"/>
      <c r="H204" s="23"/>
      <c r="I204" s="74" t="s">
        <v>126</v>
      </c>
      <c r="J204" s="75"/>
      <c r="K204" s="75"/>
      <c r="L204" s="91"/>
      <c r="M204" s="91"/>
      <c r="N204" s="92"/>
      <c r="O204" s="92"/>
      <c r="P204" s="37"/>
      <c r="Q204" s="23"/>
      <c r="R204" s="23"/>
      <c r="S204" s="23"/>
      <c r="T204" s="23"/>
      <c r="U204" s="23"/>
      <c r="V204" s="21"/>
      <c r="W204" s="21"/>
      <c r="X204" s="21"/>
      <c r="Y204" s="21"/>
    </row>
    <row r="205" spans="1:25" x14ac:dyDescent="0.2">
      <c r="A205" s="72" t="s">
        <v>125</v>
      </c>
      <c r="B205" s="73"/>
      <c r="C205" s="73" t="s">
        <v>119</v>
      </c>
      <c r="D205" s="78" t="str">
        <f>VLOOKUP(Q175,[95]Base_03!$A$5:$AS$24,39,0)</f>
        <v>R 4</v>
      </c>
      <c r="E205" s="78"/>
      <c r="F205" s="77">
        <f>VLOOKUP(Q175,[95]Base_03!$A$5:$AS$24,40,0)</f>
        <v>36</v>
      </c>
      <c r="G205" s="77"/>
      <c r="H205" s="23" t="s">
        <v>124</v>
      </c>
      <c r="I205" s="72" t="s">
        <v>125</v>
      </c>
      <c r="J205" s="73"/>
      <c r="K205" s="73" t="s">
        <v>119</v>
      </c>
      <c r="L205" s="78" t="str">
        <f>VLOOKUP(Q175,[95]Base_04!$A$5:$AS$24,39,0)</f>
        <v>R 4</v>
      </c>
      <c r="M205" s="78"/>
      <c r="N205" s="77">
        <f>VLOOKUP(Q175,[95]Base_04!$A$5:$AS$24,40,0)</f>
        <v>49</v>
      </c>
      <c r="O205" s="77"/>
      <c r="P205" s="37" t="s">
        <v>124</v>
      </c>
      <c r="Q205" s="23" t="s">
        <v>123</v>
      </c>
      <c r="R205" s="23"/>
      <c r="S205" s="23"/>
      <c r="T205" s="23"/>
      <c r="U205" s="23"/>
      <c r="V205" s="21"/>
      <c r="W205" s="21"/>
      <c r="X205" s="21"/>
      <c r="Y205" s="21"/>
    </row>
    <row r="206" spans="1:25" x14ac:dyDescent="0.2">
      <c r="A206" s="39"/>
      <c r="B206" s="23"/>
      <c r="C206" s="23"/>
      <c r="D206" s="23"/>
      <c r="E206" s="23"/>
      <c r="F206" s="23"/>
      <c r="G206" s="23"/>
      <c r="H206" s="23"/>
      <c r="I206" s="39"/>
      <c r="J206" s="45"/>
      <c r="K206" s="45"/>
      <c r="L206" s="45"/>
      <c r="M206" s="23"/>
      <c r="N206" s="30"/>
      <c r="O206" s="23"/>
      <c r="P206" s="37"/>
      <c r="Q206" s="23"/>
      <c r="R206" s="23"/>
      <c r="S206" s="23"/>
      <c r="T206" s="23"/>
      <c r="U206" s="23"/>
      <c r="V206" s="21"/>
      <c r="W206" s="21"/>
      <c r="X206" s="21"/>
      <c r="Y206" s="21"/>
    </row>
    <row r="207" spans="1:25" x14ac:dyDescent="0.2">
      <c r="A207" s="72" t="s">
        <v>122</v>
      </c>
      <c r="B207" s="73"/>
      <c r="C207" s="73" t="s">
        <v>112</v>
      </c>
      <c r="D207" s="76">
        <f>VLOOKUP(Q175,[95]Base_03!$A$5:$AS$24,42,0)</f>
        <v>6.666666666666667</v>
      </c>
      <c r="E207" s="76"/>
      <c r="F207" s="25" t="s">
        <v>118</v>
      </c>
      <c r="G207" s="23"/>
      <c r="H207" s="23"/>
      <c r="I207" s="72" t="s">
        <v>122</v>
      </c>
      <c r="J207" s="73"/>
      <c r="K207" s="73" t="s">
        <v>112</v>
      </c>
      <c r="L207" s="76">
        <f>VLOOKUP(Q175,[95]Base_04!$A$5:$AS$24,42,0)</f>
        <v>4.8979591836734695</v>
      </c>
      <c r="M207" s="76"/>
      <c r="N207" s="46" t="s">
        <v>118</v>
      </c>
      <c r="O207" s="23"/>
      <c r="P207" s="37"/>
      <c r="Q207" s="32" t="s">
        <v>121</v>
      </c>
      <c r="R207" s="23"/>
      <c r="S207" s="23"/>
      <c r="T207" s="23"/>
      <c r="U207" s="23"/>
      <c r="V207" s="21"/>
      <c r="W207" s="21"/>
      <c r="X207" s="21"/>
      <c r="Y207" s="21"/>
    </row>
    <row r="208" spans="1:25" x14ac:dyDescent="0.2">
      <c r="A208" s="72" t="s">
        <v>120</v>
      </c>
      <c r="B208" s="73"/>
      <c r="C208" s="73" t="s">
        <v>119</v>
      </c>
      <c r="D208" s="76">
        <f>VLOOKUP(Q175,[95]Base_03!$A$5:$AS$24,43,0)</f>
        <v>9.6666666666666661</v>
      </c>
      <c r="E208" s="76"/>
      <c r="F208" s="25" t="s">
        <v>118</v>
      </c>
      <c r="G208" s="23"/>
      <c r="H208" s="23"/>
      <c r="I208" s="72" t="s">
        <v>120</v>
      </c>
      <c r="J208" s="73"/>
      <c r="K208" s="73" t="s">
        <v>119</v>
      </c>
      <c r="L208" s="76">
        <f>VLOOKUP(Q175,[95]Base_04!$A$5:$AS$24,43,0)</f>
        <v>7.1020408163265314</v>
      </c>
      <c r="M208" s="76"/>
      <c r="N208" s="46" t="s">
        <v>118</v>
      </c>
      <c r="O208" s="23"/>
      <c r="P208" s="37"/>
      <c r="Q208" s="32" t="s">
        <v>117</v>
      </c>
      <c r="R208" s="23"/>
      <c r="S208" s="23"/>
      <c r="T208" s="23"/>
      <c r="U208" s="23"/>
      <c r="V208" s="21"/>
      <c r="W208" s="21"/>
      <c r="X208" s="21"/>
      <c r="Y208" s="21"/>
    </row>
    <row r="209" spans="1:25" x14ac:dyDescent="0.2">
      <c r="A209" s="72" t="s">
        <v>115</v>
      </c>
      <c r="B209" s="73"/>
      <c r="C209" s="73"/>
      <c r="D209" s="71" t="str">
        <f>VLOOKUP(Q175,[95]Base_03!$A$5:$AS$24,44,0)</f>
        <v>(Ada) Baik</v>
      </c>
      <c r="E209" s="71"/>
      <c r="F209" s="23"/>
      <c r="G209" s="23"/>
      <c r="H209" s="23"/>
      <c r="I209" s="72" t="s">
        <v>115</v>
      </c>
      <c r="J209" s="73"/>
      <c r="K209" s="73"/>
      <c r="L209" s="71" t="str">
        <f>VLOOKUP(Q175,[95]Base_04!$A$5:$AS$24,44,0)</f>
        <v>(Ada) Baik</v>
      </c>
      <c r="M209" s="71"/>
      <c r="N209" s="30"/>
      <c r="O209" s="23"/>
      <c r="P209" s="37"/>
      <c r="Q209" s="23"/>
      <c r="R209" s="23"/>
      <c r="S209" s="23"/>
      <c r="T209" s="23"/>
      <c r="U209" s="23"/>
      <c r="V209" s="21"/>
      <c r="W209" s="21"/>
      <c r="X209" s="21"/>
      <c r="Y209" s="21"/>
    </row>
    <row r="210" spans="1:25" x14ac:dyDescent="0.2">
      <c r="A210" s="74" t="s">
        <v>116</v>
      </c>
      <c r="B210" s="75"/>
      <c r="C210" s="26"/>
      <c r="D210" s="25"/>
      <c r="E210" s="25"/>
      <c r="F210" s="23"/>
      <c r="G210" s="23"/>
      <c r="H210" s="23"/>
      <c r="I210" s="74" t="s">
        <v>116</v>
      </c>
      <c r="J210" s="75"/>
      <c r="K210" s="26"/>
      <c r="L210" s="25"/>
      <c r="M210" s="25"/>
      <c r="N210" s="30"/>
      <c r="O210" s="23"/>
      <c r="P210" s="37"/>
      <c r="Q210" s="23"/>
      <c r="R210" s="23"/>
      <c r="S210" s="23"/>
      <c r="T210" s="23"/>
      <c r="U210" s="23"/>
      <c r="V210" s="21"/>
      <c r="W210" s="21"/>
      <c r="X210" s="21"/>
      <c r="Y210" s="21"/>
    </row>
    <row r="211" spans="1:25" x14ac:dyDescent="0.2">
      <c r="A211" s="72" t="s">
        <v>115</v>
      </c>
      <c r="B211" s="73"/>
      <c r="C211" s="73"/>
      <c r="D211" s="71" t="str">
        <f>VLOOKUP(Q175,[95]Base_03!$A$5:$AS$24,45,0)</f>
        <v>Air Pam (Baik)</v>
      </c>
      <c r="E211" s="71"/>
      <c r="F211" s="23"/>
      <c r="G211" s="23"/>
      <c r="H211" s="23"/>
      <c r="I211" s="72" t="s">
        <v>115</v>
      </c>
      <c r="J211" s="73"/>
      <c r="K211" s="73"/>
      <c r="L211" s="71" t="str">
        <f>VLOOKUP(Q175,[95]Base_04!$A$5:$AS$24,45,0)</f>
        <v>Air Pam (Baik)</v>
      </c>
      <c r="M211" s="71"/>
      <c r="N211" s="30"/>
      <c r="O211" s="23"/>
      <c r="P211" s="37"/>
      <c r="Q211" s="23"/>
      <c r="R211" s="23"/>
      <c r="S211" s="23"/>
      <c r="T211" s="23"/>
      <c r="U211" s="23"/>
      <c r="V211" s="21"/>
      <c r="W211" s="21"/>
      <c r="X211" s="21"/>
      <c r="Y211" s="21"/>
    </row>
    <row r="212" spans="1:25" x14ac:dyDescent="0.2">
      <c r="A212" s="74" t="s">
        <v>114</v>
      </c>
      <c r="B212" s="75"/>
      <c r="C212" s="26"/>
      <c r="D212" s="25"/>
      <c r="E212" s="25"/>
      <c r="F212" s="23"/>
      <c r="G212" s="23"/>
      <c r="H212" s="23"/>
      <c r="I212" s="74" t="s">
        <v>114</v>
      </c>
      <c r="J212" s="75"/>
      <c r="K212" s="26"/>
      <c r="L212" s="25"/>
      <c r="M212" s="25"/>
      <c r="N212" s="30"/>
      <c r="O212" s="23"/>
      <c r="P212" s="37"/>
      <c r="Q212" s="23"/>
      <c r="R212" s="23"/>
      <c r="S212" s="23"/>
      <c r="T212" s="23"/>
      <c r="U212" s="23"/>
      <c r="V212" s="21"/>
      <c r="W212" s="21"/>
      <c r="X212" s="21"/>
      <c r="Y212" s="21"/>
    </row>
    <row r="213" spans="1:25" x14ac:dyDescent="0.2">
      <c r="A213" s="36" t="s">
        <v>113</v>
      </c>
      <c r="B213" s="23"/>
      <c r="C213" s="26" t="s">
        <v>112</v>
      </c>
      <c r="D213" s="71">
        <f>VLOOKUP(Q175,[94]Base_02!$A$5:$S$24,18,0)</f>
        <v>-7.4710999999999999</v>
      </c>
      <c r="E213" s="71"/>
      <c r="F213" s="23" t="str">
        <f>IF(D213&gt;0,"LU","LS")</f>
        <v>LS</v>
      </c>
      <c r="G213" s="23"/>
      <c r="H213" s="23"/>
      <c r="I213" s="36" t="s">
        <v>113</v>
      </c>
      <c r="J213" s="26"/>
      <c r="K213" s="26" t="s">
        <v>112</v>
      </c>
      <c r="L213" s="71">
        <f>D213</f>
        <v>-7.4710999999999999</v>
      </c>
      <c r="M213" s="71"/>
      <c r="N213" s="23" t="str">
        <f>IF(L213&gt;0,"LU","LS")</f>
        <v>LS</v>
      </c>
      <c r="O213" s="23"/>
      <c r="P213" s="37"/>
      <c r="Q213" s="23"/>
      <c r="R213" s="23"/>
      <c r="S213" s="23"/>
      <c r="T213" s="23"/>
      <c r="U213" s="23"/>
      <c r="V213" s="21"/>
      <c r="W213" s="21"/>
      <c r="X213" s="21"/>
      <c r="Y213" s="21"/>
    </row>
    <row r="214" spans="1:25" x14ac:dyDescent="0.2">
      <c r="A214" s="42"/>
      <c r="B214" s="43"/>
      <c r="C214" s="44" t="s">
        <v>111</v>
      </c>
      <c r="D214" s="70">
        <f>VLOOKUP(Q175,[94]Base_02!$A$5:$S$24,19,0)</f>
        <v>109.5635</v>
      </c>
      <c r="E214" s="70"/>
      <c r="F214" s="43" t="s">
        <v>110</v>
      </c>
      <c r="G214" s="43"/>
      <c r="H214" s="43"/>
      <c r="I214" s="42"/>
      <c r="J214" s="43"/>
      <c r="K214" s="43"/>
      <c r="L214" s="70">
        <f>D214</f>
        <v>109.5635</v>
      </c>
      <c r="M214" s="70"/>
      <c r="N214" s="47" t="s">
        <v>110</v>
      </c>
      <c r="O214" s="44"/>
      <c r="P214" s="53"/>
      <c r="Q214" s="23"/>
      <c r="R214" s="23"/>
      <c r="S214" s="23"/>
      <c r="T214" s="23"/>
      <c r="U214" s="23"/>
      <c r="V214" s="21"/>
      <c r="W214" s="21"/>
      <c r="X214" s="21"/>
      <c r="Y214" s="21"/>
    </row>
    <row r="215" spans="1:25" x14ac:dyDescent="0.2">
      <c r="A215" s="23"/>
      <c r="B215" s="23"/>
      <c r="C215" s="26"/>
      <c r="D215" s="23"/>
      <c r="E215" s="23"/>
      <c r="F215" s="23"/>
      <c r="G215" s="23"/>
      <c r="H215" s="23"/>
      <c r="I215" s="23"/>
      <c r="J215" s="23"/>
      <c r="K215" s="25"/>
      <c r="L215" s="25"/>
      <c r="M215" s="30"/>
      <c r="N215" s="23"/>
      <c r="O215" s="23"/>
      <c r="P215" s="23"/>
      <c r="Q215" s="23"/>
      <c r="R215" s="23"/>
      <c r="S215" s="23"/>
      <c r="T215" s="23"/>
      <c r="U215" s="23"/>
      <c r="V215" s="23"/>
      <c r="W215" s="23"/>
      <c r="X215" s="23"/>
      <c r="Y215" s="23"/>
    </row>
    <row r="216" spans="1:25" x14ac:dyDescent="0.2">
      <c r="A216" s="23"/>
      <c r="B216" s="23"/>
      <c r="C216" s="23"/>
      <c r="D216" s="23"/>
      <c r="E216" s="23"/>
      <c r="F216" s="23"/>
      <c r="G216" s="23"/>
      <c r="H216" s="23"/>
      <c r="I216" s="23"/>
      <c r="J216" s="23"/>
      <c r="K216" s="23"/>
      <c r="L216" s="23"/>
      <c r="M216" s="30"/>
      <c r="N216" s="23"/>
      <c r="O216" s="23"/>
      <c r="P216" s="23"/>
      <c r="Q216" s="23"/>
      <c r="R216" s="23"/>
      <c r="S216" s="23"/>
      <c r="T216" s="23"/>
      <c r="U216" s="23"/>
      <c r="V216" s="23"/>
      <c r="W216" s="23"/>
      <c r="X216" s="23"/>
      <c r="Y216" s="23"/>
    </row>
    <row r="217" spans="1:25" x14ac:dyDescent="0.2">
      <c r="A217" s="23"/>
      <c r="B217" s="23"/>
      <c r="C217" s="23"/>
      <c r="D217" s="23"/>
      <c r="E217" s="23"/>
      <c r="F217" s="23"/>
      <c r="G217" s="23"/>
      <c r="H217" s="23"/>
      <c r="I217" s="23"/>
      <c r="J217" s="23"/>
      <c r="K217" s="23"/>
      <c r="L217" s="71" t="str">
        <f>[94]Base_01!$C$4&amp;", …..  …........................  2026"</f>
        <v>Sorong, …..  …........................  2026</v>
      </c>
      <c r="M217" s="71"/>
      <c r="N217" s="71"/>
      <c r="O217" s="71"/>
      <c r="P217" s="71"/>
      <c r="Q217" s="23"/>
      <c r="R217" s="23"/>
      <c r="S217" s="23"/>
      <c r="T217" s="23"/>
      <c r="U217" s="23"/>
      <c r="V217" s="23"/>
      <c r="W217" s="23"/>
      <c r="X217" s="23"/>
      <c r="Y217" s="23"/>
    </row>
    <row r="218" spans="1:25" x14ac:dyDescent="0.2">
      <c r="A218" s="71" t="s">
        <v>108</v>
      </c>
      <c r="B218" s="71"/>
      <c r="C218" s="71"/>
      <c r="D218" s="71"/>
      <c r="E218" s="71"/>
      <c r="F218" s="71"/>
      <c r="G218" s="23"/>
      <c r="H218" s="23"/>
      <c r="I218" s="23"/>
      <c r="J218" s="23"/>
      <c r="K218" s="23"/>
      <c r="L218" s="71" t="s">
        <v>152</v>
      </c>
      <c r="M218" s="71"/>
      <c r="N218" s="71"/>
      <c r="O218" s="71"/>
      <c r="P218" s="71"/>
      <c r="Q218" s="23"/>
      <c r="R218" s="23"/>
      <c r="S218" s="23"/>
      <c r="T218" s="23"/>
      <c r="U218" s="23"/>
      <c r="V218" s="23"/>
      <c r="W218" s="23"/>
      <c r="X218" s="23"/>
      <c r="Y218" s="23"/>
    </row>
    <row r="219" spans="1:25" x14ac:dyDescent="0.2">
      <c r="A219" s="71" t="s">
        <v>153</v>
      </c>
      <c r="B219" s="71"/>
      <c r="C219" s="71"/>
      <c r="D219" s="71"/>
      <c r="E219" s="71"/>
      <c r="F219" s="71"/>
      <c r="G219" s="23"/>
      <c r="H219" s="23"/>
      <c r="I219" s="23"/>
      <c r="J219" s="23"/>
      <c r="K219" s="23"/>
      <c r="L219" s="71" t="s">
        <v>107</v>
      </c>
      <c r="M219" s="71"/>
      <c r="N219" s="71"/>
      <c r="O219" s="71"/>
      <c r="P219" s="71"/>
      <c r="Q219" s="23"/>
      <c r="R219" s="23"/>
      <c r="S219" s="23"/>
      <c r="T219" s="23"/>
      <c r="U219" s="23"/>
      <c r="V219" s="23"/>
      <c r="W219" s="23"/>
      <c r="X219" s="23"/>
      <c r="Y219" s="23"/>
    </row>
    <row r="220" spans="1:25" x14ac:dyDescent="0.2">
      <c r="A220" s="23"/>
      <c r="B220" s="23"/>
      <c r="C220" s="23"/>
      <c r="D220" s="23"/>
      <c r="E220" s="23"/>
      <c r="F220" s="23"/>
      <c r="G220" s="23"/>
      <c r="H220" s="23"/>
      <c r="I220" s="23"/>
      <c r="J220" s="23"/>
      <c r="K220" s="23"/>
      <c r="L220" s="23"/>
      <c r="M220" s="30"/>
      <c r="N220" s="23"/>
      <c r="O220" s="23"/>
      <c r="P220" s="23"/>
      <c r="Q220" s="23"/>
      <c r="R220" s="23"/>
      <c r="S220" s="23"/>
      <c r="T220" s="23"/>
      <c r="U220" s="23"/>
      <c r="V220" s="23"/>
      <c r="W220" s="23"/>
      <c r="X220" s="23"/>
      <c r="Y220" s="23"/>
    </row>
    <row r="221" spans="1:25" x14ac:dyDescent="0.2">
      <c r="A221" s="23"/>
      <c r="B221" s="23"/>
      <c r="C221" s="23"/>
      <c r="D221" s="23"/>
      <c r="E221" s="23"/>
      <c r="F221" s="23"/>
      <c r="G221" s="23"/>
      <c r="H221" s="23"/>
      <c r="I221" s="23"/>
      <c r="J221" s="23"/>
      <c r="K221" s="23"/>
      <c r="L221" s="23"/>
      <c r="M221" s="30"/>
      <c r="N221" s="23"/>
      <c r="O221" s="23"/>
      <c r="P221" s="23"/>
      <c r="Q221" s="23"/>
      <c r="R221" s="23"/>
      <c r="S221" s="23"/>
      <c r="T221" s="23"/>
      <c r="U221" s="23"/>
      <c r="V221" s="23"/>
      <c r="W221" s="23"/>
      <c r="X221" s="23"/>
      <c r="Y221" s="23"/>
    </row>
    <row r="222" spans="1:25" x14ac:dyDescent="0.2">
      <c r="A222" s="23"/>
      <c r="B222" s="23"/>
      <c r="C222" s="23"/>
      <c r="D222" s="23"/>
      <c r="E222" s="23"/>
      <c r="F222" s="23"/>
      <c r="G222" s="23"/>
      <c r="H222" s="23"/>
      <c r="I222" s="23"/>
      <c r="J222" s="23"/>
      <c r="K222" s="23"/>
      <c r="L222" s="23"/>
      <c r="M222" s="30"/>
      <c r="N222" s="23"/>
      <c r="O222" s="23"/>
      <c r="P222" s="23"/>
      <c r="Q222" s="23"/>
      <c r="R222" s="23"/>
      <c r="S222" s="23"/>
      <c r="T222" s="23"/>
      <c r="U222" s="23"/>
      <c r="V222" s="23"/>
      <c r="W222" s="23"/>
      <c r="X222" s="23"/>
      <c r="Y222" s="23"/>
    </row>
    <row r="223" spans="1:25" x14ac:dyDescent="0.2">
      <c r="A223" s="23"/>
      <c r="B223" s="23"/>
      <c r="C223" s="23"/>
      <c r="D223" s="23"/>
      <c r="E223" s="23"/>
      <c r="F223" s="23"/>
      <c r="G223" s="23"/>
      <c r="H223" s="23"/>
      <c r="I223" s="23"/>
      <c r="J223" s="23"/>
      <c r="K223" s="23"/>
      <c r="L223" s="23"/>
      <c r="M223" s="30"/>
      <c r="N223" s="23"/>
      <c r="O223" s="23"/>
      <c r="P223" s="23"/>
      <c r="Q223" s="23"/>
      <c r="R223" s="23"/>
      <c r="S223" s="23"/>
      <c r="T223" s="23"/>
      <c r="U223" s="23"/>
      <c r="V223" s="23"/>
      <c r="W223" s="23"/>
      <c r="X223" s="23"/>
      <c r="Y223" s="23"/>
    </row>
    <row r="224" spans="1:25" x14ac:dyDescent="0.2">
      <c r="A224" s="87" t="str">
        <f>[94]Base_02!$C$28</f>
        <v>Nama PB 1</v>
      </c>
      <c r="B224" s="87"/>
      <c r="C224" s="87"/>
      <c r="D224" s="87"/>
      <c r="E224" s="87"/>
      <c r="F224" s="87"/>
      <c r="G224" s="23"/>
      <c r="H224" s="23"/>
      <c r="I224" s="23"/>
      <c r="J224" s="23"/>
      <c r="K224" s="23"/>
      <c r="L224" s="71" t="str">
        <f>E180</f>
        <v>Nama PB 4</v>
      </c>
      <c r="M224" s="71"/>
      <c r="N224" s="71"/>
      <c r="O224" s="71"/>
      <c r="P224" s="71"/>
      <c r="Q224" s="23"/>
      <c r="R224" s="23"/>
      <c r="S224" s="23"/>
      <c r="T224" s="23"/>
      <c r="U224" s="23"/>
      <c r="V224" s="23"/>
      <c r="W224" s="23"/>
      <c r="X224" s="23"/>
      <c r="Y224" s="23"/>
    </row>
    <row r="225" spans="1:25" x14ac:dyDescent="0.2">
      <c r="A225" s="23"/>
      <c r="B225" s="23"/>
      <c r="C225" s="23"/>
      <c r="D225" s="23"/>
      <c r="E225" s="23"/>
      <c r="F225" s="23"/>
      <c r="G225" s="23"/>
      <c r="H225" s="23"/>
      <c r="I225" s="23"/>
      <c r="J225" s="23"/>
      <c r="K225" s="23"/>
      <c r="L225" s="23"/>
      <c r="M225" s="30"/>
      <c r="N225" s="23"/>
      <c r="O225" s="23"/>
      <c r="P225" s="23"/>
      <c r="Q225" s="23"/>
      <c r="R225" s="23"/>
      <c r="S225" s="23"/>
      <c r="T225" s="23"/>
      <c r="U225" s="23"/>
      <c r="V225" s="23"/>
      <c r="W225" s="23"/>
      <c r="X225" s="23"/>
      <c r="Y225" s="23"/>
    </row>
    <row r="226" spans="1:25" x14ac:dyDescent="0.2">
      <c r="A226" s="87" t="s">
        <v>109</v>
      </c>
      <c r="B226" s="87"/>
      <c r="C226" s="87"/>
      <c r="D226" s="87"/>
      <c r="E226" s="87"/>
      <c r="F226" s="87"/>
      <c r="G226" s="23"/>
      <c r="H226" s="23"/>
      <c r="I226" s="29"/>
      <c r="J226" s="24"/>
      <c r="K226" s="24"/>
      <c r="L226" s="88" t="s">
        <v>92</v>
      </c>
      <c r="M226" s="88"/>
      <c r="N226" s="88"/>
      <c r="O226" s="88"/>
      <c r="P226" s="88"/>
      <c r="Q226" s="23"/>
      <c r="R226" s="23"/>
      <c r="S226" s="23"/>
      <c r="T226" s="23"/>
      <c r="U226" s="23"/>
      <c r="V226" s="23"/>
      <c r="W226" s="23"/>
      <c r="X226" s="23"/>
      <c r="Y226" s="23"/>
    </row>
    <row r="227" spans="1:25" x14ac:dyDescent="0.2">
      <c r="A227" s="68" t="s">
        <v>91</v>
      </c>
      <c r="B227" s="68"/>
      <c r="C227" s="68"/>
      <c r="D227" s="68"/>
      <c r="E227" s="68"/>
      <c r="F227" s="68"/>
      <c r="I227" s="28"/>
      <c r="J227" s="28"/>
      <c r="K227" s="28"/>
      <c r="L227" s="69" t="str">
        <f>[94]Base_01!$B$17&amp;" "&amp;[94]Base_01!$C$4</f>
        <v>Koordinator Kota Sorong</v>
      </c>
      <c r="M227" s="69"/>
      <c r="N227" s="69"/>
      <c r="O227" s="69"/>
      <c r="P227" s="69"/>
      <c r="Q227" s="23"/>
      <c r="R227" s="23"/>
      <c r="S227" s="23"/>
      <c r="T227" s="23"/>
      <c r="U227" s="23"/>
      <c r="V227" s="23"/>
      <c r="W227" s="23"/>
      <c r="X227" s="23"/>
      <c r="Y227" s="23"/>
    </row>
    <row r="228" spans="1:25" x14ac:dyDescent="0.2">
      <c r="M228" s="27"/>
      <c r="Q228" s="23"/>
      <c r="R228" s="23"/>
      <c r="S228" s="23"/>
      <c r="T228" s="23"/>
      <c r="U228" s="23"/>
      <c r="V228" s="23"/>
      <c r="W228" s="23"/>
      <c r="X228" s="23"/>
      <c r="Y228" s="23"/>
    </row>
    <row r="229" spans="1:25" x14ac:dyDescent="0.2">
      <c r="M229" s="27"/>
      <c r="Q229" s="23"/>
      <c r="R229" s="23"/>
      <c r="S229" s="23"/>
      <c r="T229" s="23"/>
      <c r="U229" s="23"/>
      <c r="V229" s="23"/>
      <c r="W229" s="23"/>
      <c r="X229" s="23"/>
      <c r="Y229" s="23"/>
    </row>
    <row r="230" spans="1:25" x14ac:dyDescent="0.2">
      <c r="M230" s="27"/>
      <c r="Q230" s="23"/>
      <c r="R230" s="23"/>
      <c r="S230" s="23"/>
      <c r="T230" s="23"/>
      <c r="U230" s="23"/>
      <c r="V230" s="23"/>
      <c r="W230" s="23"/>
      <c r="X230" s="23"/>
      <c r="Y230" s="23"/>
    </row>
    <row r="231" spans="1:25" x14ac:dyDescent="0.2">
      <c r="M231" s="27"/>
      <c r="Q231" s="23"/>
      <c r="R231" s="23"/>
      <c r="S231" s="23"/>
      <c r="T231" s="23"/>
      <c r="U231" s="23"/>
      <c r="V231" s="23"/>
      <c r="W231" s="23"/>
      <c r="X231" s="23"/>
      <c r="Y231" s="23"/>
    </row>
    <row r="232" spans="1:25" x14ac:dyDescent="0.2">
      <c r="A232" s="68" t="str">
        <f>[94]Base_01!$C$20</f>
        <v>…...............         …...............</v>
      </c>
      <c r="B232" s="68"/>
      <c r="C232" s="68"/>
      <c r="D232" s="68"/>
      <c r="E232" s="68"/>
      <c r="F232" s="68"/>
      <c r="L232" s="68" t="str">
        <f>[94]Base_01!$C$17</f>
        <v>AfrIandi Yudhistira, S.T.</v>
      </c>
      <c r="M232" s="68"/>
      <c r="N232" s="68"/>
      <c r="O232" s="68"/>
      <c r="P232" s="68"/>
      <c r="Q232" s="23"/>
      <c r="R232" s="23"/>
      <c r="S232" s="23"/>
      <c r="T232" s="23"/>
      <c r="U232" s="23"/>
      <c r="V232" s="23"/>
      <c r="W232" s="23"/>
      <c r="X232" s="23"/>
      <c r="Y232" s="23"/>
    </row>
    <row r="233" spans="1:25" x14ac:dyDescent="0.2">
      <c r="A233" s="86" t="s">
        <v>149</v>
      </c>
      <c r="B233" s="86"/>
      <c r="C233" s="86"/>
      <c r="D233" s="86"/>
      <c r="E233" s="86"/>
      <c r="F233" s="86"/>
      <c r="G233" s="86"/>
      <c r="H233" s="86"/>
      <c r="I233" s="86"/>
      <c r="J233" s="86"/>
      <c r="K233" s="86"/>
      <c r="L233" s="86"/>
      <c r="M233" s="86"/>
      <c r="N233" s="86"/>
      <c r="O233" s="86"/>
      <c r="P233" s="86"/>
      <c r="Q233" s="23">
        <f>Q175+1</f>
        <v>5</v>
      </c>
      <c r="R233" s="23"/>
      <c r="S233" s="23"/>
      <c r="T233" s="23"/>
      <c r="U233" s="23"/>
      <c r="V233" s="23"/>
      <c r="W233" s="23"/>
      <c r="X233" s="23"/>
      <c r="Y233" s="23"/>
    </row>
    <row r="234" spans="1:25" x14ac:dyDescent="0.2">
      <c r="A234" s="71" t="s">
        <v>148</v>
      </c>
      <c r="B234" s="71"/>
      <c r="C234" s="71"/>
      <c r="D234" s="71"/>
      <c r="E234" s="71"/>
      <c r="F234" s="71"/>
      <c r="G234" s="71"/>
      <c r="H234" s="71"/>
      <c r="I234" s="71"/>
      <c r="J234" s="71"/>
      <c r="K234" s="71"/>
      <c r="L234" s="71"/>
      <c r="M234" s="71"/>
      <c r="N234" s="71"/>
      <c r="O234" s="71"/>
      <c r="P234" s="71"/>
      <c r="Q234" s="23"/>
      <c r="R234" s="23"/>
      <c r="S234" s="23"/>
      <c r="T234" s="23"/>
      <c r="U234" s="23"/>
      <c r="V234" s="23"/>
      <c r="W234" s="23"/>
      <c r="X234" s="23"/>
      <c r="Y234" s="23"/>
    </row>
    <row r="235" spans="1:25" x14ac:dyDescent="0.2">
      <c r="A235" s="25"/>
      <c r="B235" s="25"/>
      <c r="C235" s="25"/>
      <c r="D235" s="25"/>
      <c r="E235" s="25"/>
      <c r="F235" s="25"/>
      <c r="G235" s="25"/>
      <c r="H235" s="25"/>
      <c r="I235" s="23"/>
      <c r="J235" s="24"/>
      <c r="K235" s="24"/>
      <c r="L235" s="24"/>
      <c r="M235" s="24"/>
      <c r="N235" s="24"/>
      <c r="O235" s="24"/>
      <c r="P235" s="24"/>
      <c r="Q235" s="23"/>
      <c r="R235" s="23"/>
      <c r="S235" s="23"/>
      <c r="T235" s="23"/>
      <c r="U235" s="23"/>
      <c r="V235" s="23"/>
      <c r="W235" s="23"/>
      <c r="X235" s="23"/>
      <c r="Y235" s="23"/>
    </row>
    <row r="236" spans="1:25" x14ac:dyDescent="0.2">
      <c r="A236" s="73" t="s">
        <v>147</v>
      </c>
      <c r="B236" s="73"/>
      <c r="C236" s="73"/>
      <c r="D236" s="73"/>
      <c r="E236" s="35" t="str">
        <f>VLOOKUP(Q233,[94]Base_02!$A$5:$AD$24,2,0)</f>
        <v>000005</v>
      </c>
      <c r="F236" s="23"/>
      <c r="G236" s="23"/>
      <c r="H236" s="24"/>
      <c r="I236" s="23"/>
      <c r="J236" s="24"/>
      <c r="K236" s="24"/>
      <c r="L236" s="24"/>
      <c r="M236" s="24"/>
      <c r="N236" s="24"/>
      <c r="O236" s="24"/>
      <c r="P236" s="24"/>
      <c r="Q236" s="23"/>
      <c r="R236" s="23"/>
      <c r="S236" s="23"/>
      <c r="T236" s="23"/>
      <c r="U236" s="23"/>
      <c r="V236" s="23"/>
      <c r="W236" s="23"/>
      <c r="X236" s="23"/>
      <c r="Y236" s="23"/>
    </row>
    <row r="237" spans="1:25" x14ac:dyDescent="0.2">
      <c r="A237" s="73" t="s">
        <v>68</v>
      </c>
      <c r="B237" s="73"/>
      <c r="C237" s="73"/>
      <c r="D237" s="73"/>
      <c r="E237" s="35" t="str">
        <f>VLOOKUP(Q233,[94]Base_02!$A$5:$AD$24,14,0)</f>
        <v>3304160101840004</v>
      </c>
      <c r="F237" s="23"/>
      <c r="G237" s="23"/>
      <c r="H237" s="24"/>
      <c r="I237" s="23"/>
      <c r="J237" s="24"/>
      <c r="K237" s="24"/>
      <c r="L237" s="24"/>
      <c r="M237" s="24"/>
      <c r="N237" s="24"/>
      <c r="O237" s="24"/>
      <c r="P237" s="24"/>
      <c r="Q237" s="23"/>
      <c r="R237" s="23"/>
      <c r="S237" s="23"/>
      <c r="T237" s="23"/>
      <c r="U237" s="23"/>
      <c r="V237" s="23"/>
      <c r="W237" s="23"/>
      <c r="X237" s="23"/>
      <c r="Y237" s="23"/>
    </row>
    <row r="238" spans="1:25" x14ac:dyDescent="0.2">
      <c r="A238" s="73" t="s">
        <v>150</v>
      </c>
      <c r="B238" s="73"/>
      <c r="C238" s="73"/>
      <c r="D238" s="73"/>
      <c r="E238" s="35" t="str">
        <f>VLOOKUP(Q233,[94]Base_02!$A$5:$AD$24,3,0)</f>
        <v>Nama PB 5</v>
      </c>
      <c r="F238" s="23"/>
      <c r="G238" s="23"/>
      <c r="H238" s="24"/>
      <c r="I238" s="23"/>
      <c r="J238" s="24"/>
      <c r="K238" s="24"/>
      <c r="L238" s="24"/>
      <c r="M238" s="24"/>
      <c r="N238" s="24"/>
      <c r="O238" s="24"/>
      <c r="P238" s="24"/>
      <c r="Q238" s="23"/>
      <c r="R238" s="23"/>
      <c r="S238" s="23"/>
      <c r="T238" s="23"/>
      <c r="U238" s="23"/>
      <c r="V238" s="23"/>
      <c r="W238" s="23"/>
      <c r="X238" s="23"/>
      <c r="Y238" s="23"/>
    </row>
    <row r="239" spans="1:25" x14ac:dyDescent="0.2">
      <c r="A239" s="73" t="s">
        <v>18</v>
      </c>
      <c r="B239" s="73"/>
      <c r="C239" s="73"/>
      <c r="D239" s="73"/>
      <c r="E239" s="35" t="str">
        <f>VLOOKUP(Q233,[94]Base_02!$A$5:$Z$24,11,FALSE)&amp;", RT "&amp;VLOOKUP(Q233,[94]Base_02!$A$5:$Z$24,12,FALSE)&amp;", RW "&amp;VLOOKUP(Q233,[94]Base_02!$A$5:$Z$24,13,FALSE)</f>
        <v>Jalan Kanal Victory, RT 1, RW 1</v>
      </c>
      <c r="F239" s="23"/>
      <c r="G239" s="23"/>
      <c r="H239" s="35"/>
      <c r="I239" s="23"/>
      <c r="J239" s="24"/>
      <c r="K239" s="24"/>
      <c r="L239" s="24"/>
      <c r="M239" s="24"/>
      <c r="N239" s="24"/>
      <c r="O239" s="24"/>
      <c r="P239" s="24"/>
      <c r="Q239" s="23"/>
      <c r="R239" s="23"/>
      <c r="S239" s="23"/>
      <c r="T239" s="23"/>
      <c r="U239" s="23"/>
      <c r="V239" s="23"/>
      <c r="W239" s="23"/>
      <c r="X239" s="23"/>
      <c r="Y239" s="23"/>
    </row>
    <row r="240" spans="1:25" x14ac:dyDescent="0.2">
      <c r="A240" s="73" t="str">
        <f>[94]Base_01!$B$2</f>
        <v>Kelurahan</v>
      </c>
      <c r="B240" s="73"/>
      <c r="C240" s="73"/>
      <c r="D240" s="73"/>
      <c r="E240" s="35" t="str">
        <f>[94]Base_01!$C$2</f>
        <v>Klasabi</v>
      </c>
      <c r="F240" s="23"/>
      <c r="G240" s="23"/>
      <c r="H240" s="24"/>
      <c r="I240" s="23"/>
      <c r="J240" s="24"/>
      <c r="K240" s="24"/>
      <c r="L240" s="24"/>
      <c r="M240" s="24"/>
      <c r="N240" s="24"/>
      <c r="O240" s="24"/>
      <c r="P240" s="24"/>
      <c r="Q240" s="23" t="s">
        <v>146</v>
      </c>
      <c r="R240" s="23"/>
      <c r="S240" s="23"/>
      <c r="T240" s="23"/>
      <c r="U240" s="23"/>
      <c r="V240" s="23"/>
      <c r="W240" s="23"/>
      <c r="X240" s="23"/>
      <c r="Y240" s="23"/>
    </row>
    <row r="241" spans="1:25" x14ac:dyDescent="0.2">
      <c r="A241" s="73" t="s">
        <v>19</v>
      </c>
      <c r="B241" s="73"/>
      <c r="C241" s="73"/>
      <c r="D241" s="73"/>
      <c r="E241" s="35" t="str">
        <f>[94]Base_01!$C$3</f>
        <v>Sorong Manoi</v>
      </c>
      <c r="F241" s="23"/>
      <c r="G241" s="23"/>
      <c r="H241" s="24"/>
      <c r="I241" s="23"/>
      <c r="J241" s="24"/>
      <c r="K241" s="24"/>
      <c r="L241" s="24"/>
      <c r="M241" s="24"/>
      <c r="N241" s="24"/>
      <c r="O241" s="24"/>
      <c r="P241" s="24"/>
      <c r="Q241" s="23" t="s">
        <v>145</v>
      </c>
      <c r="R241" s="23"/>
      <c r="S241" s="23"/>
      <c r="T241" s="23"/>
      <c r="U241" s="23"/>
      <c r="V241" s="23"/>
      <c r="W241" s="23"/>
      <c r="X241" s="23"/>
      <c r="Y241" s="23"/>
    </row>
    <row r="242" spans="1:25" x14ac:dyDescent="0.2">
      <c r="A242" s="73" t="str">
        <f>[94]Base_01!$B$4</f>
        <v>Kota</v>
      </c>
      <c r="B242" s="73"/>
      <c r="C242" s="73"/>
      <c r="D242" s="73"/>
      <c r="E242" s="35" t="str">
        <f>[94]Base_01!$C$4</f>
        <v>Sorong</v>
      </c>
      <c r="F242" s="23"/>
      <c r="G242" s="23"/>
      <c r="H242" s="24"/>
      <c r="I242" s="23"/>
      <c r="J242" s="24"/>
      <c r="K242" s="24"/>
      <c r="L242" s="24"/>
      <c r="M242" s="24"/>
      <c r="N242" s="24"/>
      <c r="O242" s="24"/>
      <c r="P242" s="24"/>
      <c r="Q242" s="23" t="s">
        <v>144</v>
      </c>
      <c r="R242" s="23"/>
      <c r="S242" s="23"/>
      <c r="T242" s="23"/>
      <c r="U242" s="23"/>
      <c r="V242" s="23"/>
      <c r="W242" s="23"/>
      <c r="X242" s="23"/>
      <c r="Y242" s="23"/>
    </row>
    <row r="243" spans="1:25" x14ac:dyDescent="0.2">
      <c r="A243" s="73" t="str">
        <f>[94]Base_01!$B$5</f>
        <v>Provinsi</v>
      </c>
      <c r="B243" s="73"/>
      <c r="C243" s="73"/>
      <c r="D243" s="73"/>
      <c r="E243" s="23" t="str">
        <f>[94]Base_01!$C$5</f>
        <v>Papua Barat Daya</v>
      </c>
      <c r="F243" s="23"/>
      <c r="G243" s="24"/>
      <c r="H243" s="24"/>
      <c r="I243" s="23"/>
      <c r="J243" s="24"/>
      <c r="K243" s="24"/>
      <c r="L243" s="24"/>
      <c r="M243" s="24"/>
      <c r="N243" s="24"/>
      <c r="O243" s="24"/>
      <c r="P243" s="24"/>
      <c r="Q243" s="23" t="s">
        <v>143</v>
      </c>
      <c r="R243" s="23"/>
      <c r="S243" s="23"/>
      <c r="T243" s="23"/>
      <c r="U243" s="23"/>
      <c r="V243" s="23"/>
      <c r="W243" s="23"/>
      <c r="X243" s="23"/>
      <c r="Y243" s="23"/>
    </row>
    <row r="244" spans="1:25" x14ac:dyDescent="0.2">
      <c r="A244" s="23"/>
      <c r="B244" s="23"/>
      <c r="C244" s="23"/>
      <c r="D244" s="23"/>
      <c r="E244" s="23"/>
      <c r="F244" s="23"/>
      <c r="G244" s="23"/>
      <c r="H244" s="23"/>
      <c r="I244" s="24"/>
      <c r="J244" s="24"/>
      <c r="K244" s="24"/>
      <c r="L244" s="24"/>
      <c r="M244" s="24"/>
      <c r="N244" s="24"/>
      <c r="O244" s="24"/>
      <c r="P244" s="24"/>
      <c r="Q244" s="23"/>
      <c r="R244" s="23"/>
      <c r="S244" s="23"/>
      <c r="T244" s="23"/>
      <c r="U244" s="23"/>
      <c r="V244" s="23"/>
      <c r="W244" s="23"/>
      <c r="X244" s="23"/>
      <c r="Y244" s="23"/>
    </row>
    <row r="245" spans="1:25" x14ac:dyDescent="0.2">
      <c r="A245" s="33"/>
      <c r="B245" s="33"/>
      <c r="C245" s="33"/>
      <c r="D245" s="33"/>
      <c r="E245" s="33"/>
      <c r="F245" s="33"/>
      <c r="G245" s="33"/>
      <c r="H245" s="33"/>
      <c r="I245" s="33"/>
      <c r="J245" s="33"/>
      <c r="K245" s="33"/>
      <c r="L245" s="33"/>
      <c r="M245" s="34"/>
      <c r="N245" s="33"/>
      <c r="O245" s="33"/>
      <c r="P245" s="33"/>
      <c r="Q245" s="23"/>
      <c r="R245" s="23"/>
      <c r="S245" s="23"/>
      <c r="T245" s="23"/>
      <c r="U245" s="23"/>
      <c r="V245" s="23"/>
      <c r="W245" s="23"/>
      <c r="X245" s="23"/>
      <c r="Y245" s="23"/>
    </row>
    <row r="246" spans="1:25" x14ac:dyDescent="0.2">
      <c r="A246" s="80" t="s">
        <v>142</v>
      </c>
      <c r="B246" s="81"/>
      <c r="C246" s="81"/>
      <c r="D246" s="81"/>
      <c r="E246" s="81"/>
      <c r="F246" s="81"/>
      <c r="G246" s="81"/>
      <c r="H246" s="81"/>
      <c r="I246" s="80" t="s">
        <v>151</v>
      </c>
      <c r="J246" s="81"/>
      <c r="K246" s="81"/>
      <c r="L246" s="81"/>
      <c r="M246" s="81"/>
      <c r="N246" s="81"/>
      <c r="O246" s="81"/>
      <c r="P246" s="82"/>
      <c r="Q246" s="23"/>
      <c r="R246" s="23"/>
      <c r="S246" s="23"/>
      <c r="T246" s="23"/>
      <c r="U246" s="23"/>
      <c r="V246" s="21"/>
      <c r="W246" s="21"/>
      <c r="X246" s="21"/>
      <c r="Y246" s="21"/>
    </row>
    <row r="247" spans="1:25" x14ac:dyDescent="0.2">
      <c r="A247" s="48"/>
      <c r="B247" s="49"/>
      <c r="C247" s="49"/>
      <c r="D247" s="50"/>
      <c r="E247" s="50"/>
      <c r="F247" s="49"/>
      <c r="G247" s="49"/>
      <c r="H247" s="49"/>
      <c r="I247" s="48"/>
      <c r="J247" s="49"/>
      <c r="K247" s="49"/>
      <c r="L247" s="50"/>
      <c r="M247" s="50"/>
      <c r="N247" s="49"/>
      <c r="O247" s="49"/>
      <c r="P247" s="51"/>
      <c r="Q247" s="23"/>
      <c r="R247" s="23"/>
      <c r="S247" s="23"/>
      <c r="T247" s="23"/>
      <c r="U247" s="23"/>
      <c r="V247" s="21"/>
      <c r="W247" s="21"/>
      <c r="X247" s="21"/>
      <c r="Y247" s="21"/>
    </row>
    <row r="248" spans="1:25" ht="16" x14ac:dyDescent="0.2">
      <c r="A248" s="36" t="s">
        <v>141</v>
      </c>
      <c r="B248" s="23"/>
      <c r="C248" s="26" t="s">
        <v>112</v>
      </c>
      <c r="D248" s="83">
        <f>VLOOKUP(Q233,[95]Base_03!$A$5:$AS$24,5,0)</f>
        <v>36</v>
      </c>
      <c r="E248" s="84"/>
      <c r="F248" s="23" t="s">
        <v>140</v>
      </c>
      <c r="G248" s="23"/>
      <c r="H248" s="23"/>
      <c r="I248" s="36" t="s">
        <v>141</v>
      </c>
      <c r="J248" s="26"/>
      <c r="K248" s="26" t="s">
        <v>119</v>
      </c>
      <c r="L248" s="85">
        <f>VLOOKUP(Q233,[95]Base_04!$A$5:$AS$24,5,0)</f>
        <v>49</v>
      </c>
      <c r="M248" s="85"/>
      <c r="N248" s="30" t="s">
        <v>140</v>
      </c>
      <c r="O248" s="23"/>
      <c r="P248" s="37"/>
      <c r="Q248" s="23"/>
      <c r="R248" s="23"/>
      <c r="S248" s="23"/>
      <c r="T248" s="23"/>
      <c r="U248" s="23"/>
      <c r="V248" s="21"/>
      <c r="W248" s="21"/>
      <c r="X248" s="21"/>
      <c r="Y248" s="21"/>
    </row>
    <row r="249" spans="1:25" ht="15" customHeight="1" x14ac:dyDescent="0.2">
      <c r="A249" s="38" t="s">
        <v>139</v>
      </c>
      <c r="B249" s="23"/>
      <c r="C249" s="26"/>
      <c r="D249" s="79" t="s">
        <v>131</v>
      </c>
      <c r="E249" s="79"/>
      <c r="F249" s="79" t="s">
        <v>130</v>
      </c>
      <c r="G249" s="79"/>
      <c r="H249" s="23"/>
      <c r="I249" s="38" t="s">
        <v>139</v>
      </c>
      <c r="J249" s="23"/>
      <c r="K249" s="26"/>
      <c r="L249" s="79" t="s">
        <v>131</v>
      </c>
      <c r="M249" s="79"/>
      <c r="N249" s="79" t="s">
        <v>130</v>
      </c>
      <c r="O249" s="79"/>
      <c r="P249" s="52"/>
      <c r="Q249" s="23"/>
      <c r="R249" s="23"/>
      <c r="S249" s="23"/>
      <c r="T249" s="23"/>
      <c r="U249" s="23"/>
      <c r="V249" s="21"/>
      <c r="W249" s="21"/>
      <c r="X249" s="21"/>
      <c r="Y249" s="21"/>
    </row>
    <row r="250" spans="1:25" x14ac:dyDescent="0.2">
      <c r="A250" s="39"/>
      <c r="B250" s="23"/>
      <c r="C250" s="26"/>
      <c r="D250" s="79"/>
      <c r="E250" s="79"/>
      <c r="F250" s="79"/>
      <c r="G250" s="79"/>
      <c r="H250" s="23"/>
      <c r="I250" s="39"/>
      <c r="J250" s="23"/>
      <c r="K250" s="26"/>
      <c r="L250" s="79"/>
      <c r="M250" s="79"/>
      <c r="N250" s="79"/>
      <c r="O250" s="79"/>
      <c r="P250" s="52"/>
      <c r="Q250" s="23"/>
      <c r="R250" s="23"/>
      <c r="S250" s="23"/>
      <c r="T250" s="23"/>
      <c r="U250" s="23"/>
      <c r="V250" s="21"/>
      <c r="W250" s="21"/>
      <c r="X250" s="21"/>
      <c r="Y250" s="21"/>
    </row>
    <row r="251" spans="1:25" x14ac:dyDescent="0.2">
      <c r="A251" s="72" t="s">
        <v>138</v>
      </c>
      <c r="B251" s="73"/>
      <c r="C251" s="73" t="s">
        <v>112</v>
      </c>
      <c r="D251" s="78" t="str">
        <f>VLOOKUP(Q233,[95]Base_03!$A$5:$AS$24,6,0)</f>
        <v>BT 5</v>
      </c>
      <c r="E251" s="78"/>
      <c r="F251" s="77">
        <f>VLOOKUP(Q233,[95]Base_03!$A$5:$AS$24,12,0)</f>
        <v>0</v>
      </c>
      <c r="G251" s="77"/>
      <c r="H251" s="23" t="s">
        <v>134</v>
      </c>
      <c r="I251" s="72" t="s">
        <v>138</v>
      </c>
      <c r="J251" s="73"/>
      <c r="K251" s="73"/>
      <c r="L251" s="78" t="str">
        <f>VLOOKUP(Q233,[95]Base_04!$A$5:$AS$24,6,0)</f>
        <v>BT 5</v>
      </c>
      <c r="M251" s="78"/>
      <c r="N251" s="77">
        <f>VLOOKUP(Q233,[95]Base_04!$A$5:$AS$24,12,0)</f>
        <v>0</v>
      </c>
      <c r="O251" s="77"/>
      <c r="P251" s="37" t="s">
        <v>134</v>
      </c>
      <c r="Q251" s="23" t="s">
        <v>123</v>
      </c>
      <c r="R251" s="23"/>
      <c r="S251" s="23"/>
      <c r="T251" s="23"/>
      <c r="U251" s="23"/>
      <c r="V251" s="21"/>
      <c r="W251" s="21"/>
      <c r="X251" s="21"/>
      <c r="Y251" s="21"/>
    </row>
    <row r="252" spans="1:25" x14ac:dyDescent="0.2">
      <c r="A252" s="72" t="s">
        <v>137</v>
      </c>
      <c r="B252" s="73"/>
      <c r="C252" s="73" t="s">
        <v>112</v>
      </c>
      <c r="D252" s="78" t="str">
        <f>VLOOKUP(Q233,[95]Base_03!$A$5:$AS$24,13,0)</f>
        <v>S 5</v>
      </c>
      <c r="E252" s="78"/>
      <c r="F252" s="77">
        <f>VLOOKUP(Q233,[95]Base_03!$A$5:$AS$24,15,0)</f>
        <v>0</v>
      </c>
      <c r="G252" s="77"/>
      <c r="H252" s="23" t="s">
        <v>134</v>
      </c>
      <c r="I252" s="72" t="s">
        <v>137</v>
      </c>
      <c r="J252" s="73"/>
      <c r="K252" s="73"/>
      <c r="L252" s="78" t="str">
        <f>VLOOKUP(Q233,[95]Base_04!$A$5:$AS$24,13,0)</f>
        <v>S 5</v>
      </c>
      <c r="M252" s="78"/>
      <c r="N252" s="77">
        <f>VLOOKUP(Q233,[95]Base_04!$A$5:$AS$24,15,0)</f>
        <v>0</v>
      </c>
      <c r="O252" s="77"/>
      <c r="P252" s="37" t="s">
        <v>134</v>
      </c>
      <c r="Q252" s="23" t="s">
        <v>123</v>
      </c>
      <c r="R252" s="23"/>
      <c r="S252" s="23"/>
      <c r="T252" s="23"/>
      <c r="U252" s="23"/>
      <c r="V252" s="21"/>
      <c r="W252" s="21"/>
      <c r="X252" s="21"/>
      <c r="Y252" s="21"/>
    </row>
    <row r="253" spans="1:25" x14ac:dyDescent="0.2">
      <c r="A253" s="72" t="s">
        <v>136</v>
      </c>
      <c r="B253" s="73"/>
      <c r="C253" s="73" t="s">
        <v>112</v>
      </c>
      <c r="D253" s="78" t="str">
        <f>VLOOKUP(Q233,[95]Base_03!$A$5:$AS$24,16,0)</f>
        <v>B 5</v>
      </c>
      <c r="E253" s="78"/>
      <c r="F253" s="77">
        <f>VLOOKUP(Q233,[95]Base_03!$A$5:$AS$24,22,0)</f>
        <v>0</v>
      </c>
      <c r="G253" s="77"/>
      <c r="H253" s="23" t="s">
        <v>134</v>
      </c>
      <c r="I253" s="72" t="s">
        <v>136</v>
      </c>
      <c r="J253" s="73"/>
      <c r="K253" s="73"/>
      <c r="L253" s="78" t="str">
        <f>VLOOKUP(Q233,[95]Base_04!$A$5:$AS$24,16,0)</f>
        <v>B 5</v>
      </c>
      <c r="M253" s="78"/>
      <c r="N253" s="77">
        <f>VLOOKUP(Q233,[95]Base_04!$A$5:$AS$24,22,0)</f>
        <v>0</v>
      </c>
      <c r="O253" s="77"/>
      <c r="P253" s="37" t="s">
        <v>134</v>
      </c>
      <c r="Q253" s="23" t="s">
        <v>123</v>
      </c>
      <c r="R253" s="23"/>
      <c r="S253" s="23"/>
      <c r="T253" s="23"/>
      <c r="U253" s="23"/>
      <c r="V253" s="21"/>
      <c r="W253" s="21"/>
      <c r="X253" s="21"/>
      <c r="Y253" s="21"/>
    </row>
    <row r="254" spans="1:25" x14ac:dyDescent="0.2">
      <c r="A254" s="72" t="s">
        <v>135</v>
      </c>
      <c r="B254" s="73"/>
      <c r="C254" s="73" t="s">
        <v>112</v>
      </c>
      <c r="D254" s="78" t="str">
        <f>VLOOKUP(Q233,[95]Base_03!$A$5:$AS$24,23,0)</f>
        <v>K 5</v>
      </c>
      <c r="E254" s="78"/>
      <c r="F254" s="77">
        <f>VLOOKUP(Q233,[95]Base_03!$A$5:$AS$24,24,0)</f>
        <v>0</v>
      </c>
      <c r="G254" s="77"/>
      <c r="H254" s="23" t="s">
        <v>134</v>
      </c>
      <c r="I254" s="72" t="s">
        <v>135</v>
      </c>
      <c r="J254" s="73"/>
      <c r="K254" s="73"/>
      <c r="L254" s="78" t="str">
        <f>VLOOKUP(Q233,[95]Base_04!$A$5:$AS$24,23,0)</f>
        <v>K 5</v>
      </c>
      <c r="M254" s="78"/>
      <c r="N254" s="77">
        <f>VLOOKUP(Q233,[95]Base_04!$A$5:$AS$24,24,0)</f>
        <v>0</v>
      </c>
      <c r="O254" s="77"/>
      <c r="P254" s="37" t="s">
        <v>134</v>
      </c>
      <c r="Q254" s="23" t="s">
        <v>123</v>
      </c>
      <c r="R254" s="23"/>
      <c r="S254" s="23"/>
      <c r="T254" s="23"/>
      <c r="U254" s="23"/>
      <c r="V254" s="21"/>
      <c r="W254" s="21"/>
      <c r="X254" s="21"/>
      <c r="Y254" s="21"/>
    </row>
    <row r="255" spans="1:25" x14ac:dyDescent="0.2">
      <c r="A255" s="72" t="s">
        <v>133</v>
      </c>
      <c r="B255" s="73"/>
      <c r="C255" s="73" t="s">
        <v>112</v>
      </c>
      <c r="D255" s="78" t="str">
        <f>VLOOKUP(Q233,[95]Base_03!$A$5:$AS$24,25,0)</f>
        <v>K 5</v>
      </c>
      <c r="E255" s="78"/>
      <c r="F255" s="77">
        <f>VLOOKUP(Q233,[95]Base_03!$A$5:$AS$24,26,0)</f>
        <v>73.900834456272094</v>
      </c>
      <c r="G255" s="77"/>
      <c r="H255" s="23" t="s">
        <v>124</v>
      </c>
      <c r="I255" s="72" t="s">
        <v>133</v>
      </c>
      <c r="J255" s="73"/>
      <c r="K255" s="73"/>
      <c r="L255" s="78" t="str">
        <f>VLOOKUP(Q233,[95]Base_04!$A$5:$AS$24,25,0)</f>
        <v>K 5</v>
      </c>
      <c r="M255" s="78"/>
      <c r="N255" s="77">
        <f>VLOOKUP(Q233,[95]Base_04!$A$5:$AS$24,26,0)</f>
        <v>93.530743608719362</v>
      </c>
      <c r="O255" s="77"/>
      <c r="P255" s="37" t="s">
        <v>124</v>
      </c>
      <c r="Q255" s="23" t="s">
        <v>123</v>
      </c>
      <c r="R255" s="23"/>
      <c r="S255" s="23"/>
      <c r="T255" s="23"/>
      <c r="U255" s="23"/>
      <c r="V255" s="21"/>
      <c r="W255" s="21"/>
      <c r="X255" s="21"/>
      <c r="Y255" s="21"/>
    </row>
    <row r="256" spans="1:25" x14ac:dyDescent="0.2">
      <c r="A256" s="40"/>
      <c r="B256" s="31"/>
      <c r="C256" s="31"/>
      <c r="D256" s="41"/>
      <c r="E256" s="41"/>
      <c r="F256" s="30"/>
      <c r="G256" s="23"/>
      <c r="H256" s="23"/>
      <c r="I256" s="40"/>
      <c r="J256" s="31"/>
      <c r="K256" s="31"/>
      <c r="L256" s="41"/>
      <c r="M256" s="41"/>
      <c r="N256" s="30"/>
      <c r="O256" s="23"/>
      <c r="P256" s="37"/>
      <c r="Q256" s="23"/>
      <c r="R256" s="23"/>
      <c r="S256" s="23"/>
      <c r="T256" s="23"/>
      <c r="U256" s="23"/>
      <c r="V256" s="21"/>
      <c r="W256" s="21"/>
      <c r="X256" s="21"/>
      <c r="Y256" s="21"/>
    </row>
    <row r="257" spans="1:25" x14ac:dyDescent="0.2">
      <c r="A257" s="38" t="s">
        <v>132</v>
      </c>
      <c r="B257" s="23"/>
      <c r="C257" s="26"/>
      <c r="D257" s="79" t="s">
        <v>131</v>
      </c>
      <c r="E257" s="79"/>
      <c r="F257" s="79" t="s">
        <v>130</v>
      </c>
      <c r="G257" s="79"/>
      <c r="H257" s="23"/>
      <c r="I257" s="38" t="s">
        <v>132</v>
      </c>
      <c r="J257" s="23"/>
      <c r="K257" s="26"/>
      <c r="L257" s="79" t="s">
        <v>131</v>
      </c>
      <c r="M257" s="79"/>
      <c r="N257" s="79" t="s">
        <v>130</v>
      </c>
      <c r="O257" s="79"/>
      <c r="P257" s="52"/>
      <c r="Q257" s="23"/>
      <c r="R257" s="23"/>
      <c r="S257" s="23"/>
      <c r="T257" s="23"/>
      <c r="U257" s="23"/>
      <c r="V257" s="21"/>
      <c r="W257" s="21"/>
      <c r="X257" s="21"/>
      <c r="Y257" s="21"/>
    </row>
    <row r="258" spans="1:25" x14ac:dyDescent="0.2">
      <c r="A258" s="39"/>
      <c r="B258" s="23"/>
      <c r="C258" s="26"/>
      <c r="D258" s="79"/>
      <c r="E258" s="79"/>
      <c r="F258" s="79"/>
      <c r="G258" s="79"/>
      <c r="H258" s="23"/>
      <c r="I258" s="39"/>
      <c r="J258" s="23"/>
      <c r="K258" s="26"/>
      <c r="L258" s="79"/>
      <c r="M258" s="79"/>
      <c r="N258" s="79"/>
      <c r="O258" s="79"/>
      <c r="P258" s="52"/>
      <c r="Q258" s="23"/>
      <c r="R258" s="23"/>
      <c r="S258" s="23"/>
      <c r="T258" s="23"/>
      <c r="U258" s="23"/>
      <c r="V258" s="21"/>
      <c r="W258" s="21"/>
      <c r="X258" s="21"/>
      <c r="Y258" s="21"/>
    </row>
    <row r="259" spans="1:25" x14ac:dyDescent="0.2">
      <c r="A259" s="72" t="s">
        <v>129</v>
      </c>
      <c r="B259" s="73"/>
      <c r="C259" s="73" t="s">
        <v>119</v>
      </c>
      <c r="D259" s="78" t="str">
        <f>VLOOKUP(Q233,[95]Base_03!$A$5:$AS$24,28,0)</f>
        <v xml:space="preserve"> G 5</v>
      </c>
      <c r="E259" s="78"/>
      <c r="F259" s="77">
        <f>VLOOKUP(Q233,[95]Base_03!$A$5:$AS$24,30,0)</f>
        <v>55</v>
      </c>
      <c r="G259" s="77"/>
      <c r="H259" s="23" t="s">
        <v>124</v>
      </c>
      <c r="I259" s="72" t="s">
        <v>129</v>
      </c>
      <c r="J259" s="73"/>
      <c r="K259" s="73" t="s">
        <v>119</v>
      </c>
      <c r="L259" s="78" t="str">
        <f>VLOOKUP(Q233,[95]Base_04!$A$5:$AS$24,28,0)</f>
        <v xml:space="preserve"> G 5</v>
      </c>
      <c r="M259" s="78"/>
      <c r="N259" s="77">
        <f>VLOOKUP(Q233,[95]Base_04!$A$5:$AS$24,30,0)</f>
        <v>55</v>
      </c>
      <c r="O259" s="77"/>
      <c r="P259" s="37" t="s">
        <v>124</v>
      </c>
      <c r="Q259" s="23" t="s">
        <v>123</v>
      </c>
      <c r="R259" s="23"/>
      <c r="S259" s="23"/>
      <c r="T259" s="23"/>
      <c r="U259" s="23"/>
      <c r="V259" s="21"/>
      <c r="W259" s="21"/>
      <c r="X259" s="21"/>
      <c r="Y259" s="21"/>
    </row>
    <row r="260" spans="1:25" x14ac:dyDescent="0.2">
      <c r="A260" s="72" t="s">
        <v>128</v>
      </c>
      <c r="B260" s="73"/>
      <c r="C260" s="73" t="s">
        <v>119</v>
      </c>
      <c r="D260" s="78" t="str">
        <f>VLOOKUP(Q233,[95]Base_03!$A$5:$AS$24,31,0)</f>
        <v>H 5</v>
      </c>
      <c r="E260" s="78"/>
      <c r="F260" s="77">
        <f>VLOOKUP(Q233,[95]Base_03!$A$5:$AS$24,34,0)</f>
        <v>-5.76</v>
      </c>
      <c r="G260" s="77"/>
      <c r="H260" s="23" t="s">
        <v>124</v>
      </c>
      <c r="I260" s="72" t="s">
        <v>128</v>
      </c>
      <c r="J260" s="73"/>
      <c r="K260" s="73" t="s">
        <v>119</v>
      </c>
      <c r="L260" s="78" t="str">
        <f>VLOOKUP(Q233,[95]Base_04!$A$5:$AS$24,31,0)</f>
        <v>H 5</v>
      </c>
      <c r="M260" s="78"/>
      <c r="N260" s="77">
        <f>VLOOKUP(Q233,[95]Base_04!$A$5:$AS$24,34,0)</f>
        <v>-5.76</v>
      </c>
      <c r="O260" s="77"/>
      <c r="P260" s="37" t="s">
        <v>124</v>
      </c>
      <c r="Q260" s="23" t="s">
        <v>123</v>
      </c>
      <c r="R260" s="23"/>
      <c r="S260" s="23"/>
      <c r="T260" s="23"/>
      <c r="U260" s="23"/>
      <c r="V260" s="21"/>
      <c r="W260" s="21"/>
      <c r="X260" s="21"/>
      <c r="Y260" s="21"/>
    </row>
    <row r="261" spans="1:25" x14ac:dyDescent="0.2">
      <c r="A261" s="89" t="s">
        <v>127</v>
      </c>
      <c r="B261" s="90"/>
      <c r="C261" s="90" t="s">
        <v>119</v>
      </c>
      <c r="D261" s="91" t="str">
        <f>VLOOKUP(Q233,[95]Base_03!$A$5:$AS$24,35,0)</f>
        <v>Kayu</v>
      </c>
      <c r="E261" s="91"/>
      <c r="F261" s="92">
        <f>VLOOKUP(Q233,[95]Base_03!$A$5:$AS$24,36,0)</f>
        <v>5.76</v>
      </c>
      <c r="G261" s="92"/>
      <c r="H261" s="23" t="s">
        <v>124</v>
      </c>
      <c r="I261" s="89" t="s">
        <v>127</v>
      </c>
      <c r="J261" s="90"/>
      <c r="K261" s="90" t="s">
        <v>119</v>
      </c>
      <c r="L261" s="91" t="str">
        <f>VLOOKUP(Q233,[95]Base_04!$A$5:$AS$24,35,0)</f>
        <v>Kayu</v>
      </c>
      <c r="M261" s="91"/>
      <c r="N261" s="92">
        <f>VLOOKUP(Q233,[95]Base_04!$A$5:$AS$24,36,0)</f>
        <v>5.76</v>
      </c>
      <c r="O261" s="92"/>
      <c r="P261" s="37" t="s">
        <v>124</v>
      </c>
      <c r="Q261" s="23" t="s">
        <v>123</v>
      </c>
      <c r="R261" s="23"/>
      <c r="S261" s="23"/>
      <c r="T261" s="23"/>
      <c r="U261" s="23"/>
      <c r="V261" s="21"/>
      <c r="W261" s="21"/>
      <c r="X261" s="21"/>
      <c r="Y261" s="21"/>
    </row>
    <row r="262" spans="1:25" x14ac:dyDescent="0.2">
      <c r="A262" s="74" t="s">
        <v>126</v>
      </c>
      <c r="B262" s="75"/>
      <c r="C262" s="75"/>
      <c r="D262" s="91"/>
      <c r="E262" s="91"/>
      <c r="F262" s="92"/>
      <c r="G262" s="92"/>
      <c r="H262" s="23"/>
      <c r="I262" s="74" t="s">
        <v>126</v>
      </c>
      <c r="J262" s="75"/>
      <c r="K262" s="75"/>
      <c r="L262" s="91"/>
      <c r="M262" s="91"/>
      <c r="N262" s="92"/>
      <c r="O262" s="92"/>
      <c r="P262" s="37"/>
      <c r="Q262" s="23"/>
      <c r="R262" s="23"/>
      <c r="S262" s="23"/>
      <c r="T262" s="23"/>
      <c r="U262" s="23"/>
      <c r="V262" s="21"/>
      <c r="W262" s="21"/>
      <c r="X262" s="21"/>
      <c r="Y262" s="21"/>
    </row>
    <row r="263" spans="1:25" x14ac:dyDescent="0.2">
      <c r="A263" s="72" t="s">
        <v>125</v>
      </c>
      <c r="B263" s="73"/>
      <c r="C263" s="73" t="s">
        <v>119</v>
      </c>
      <c r="D263" s="78" t="str">
        <f>VLOOKUP(Q233,[95]Base_03!$A$5:$AS$24,39,0)</f>
        <v>R 5</v>
      </c>
      <c r="E263" s="78"/>
      <c r="F263" s="77">
        <f>VLOOKUP(Q233,[95]Base_03!$A$5:$AS$24,40,0)</f>
        <v>36</v>
      </c>
      <c r="G263" s="77"/>
      <c r="H263" s="23" t="s">
        <v>124</v>
      </c>
      <c r="I263" s="72" t="s">
        <v>125</v>
      </c>
      <c r="J263" s="73"/>
      <c r="K263" s="73" t="s">
        <v>119</v>
      </c>
      <c r="L263" s="78" t="str">
        <f>VLOOKUP(Q233,[95]Base_04!$A$5:$AS$24,39,0)</f>
        <v>R 5</v>
      </c>
      <c r="M263" s="78"/>
      <c r="N263" s="77">
        <f>VLOOKUP(Q233,[95]Base_04!$A$5:$AS$24,40,0)</f>
        <v>49</v>
      </c>
      <c r="O263" s="77"/>
      <c r="P263" s="37" t="s">
        <v>124</v>
      </c>
      <c r="Q263" s="23" t="s">
        <v>123</v>
      </c>
      <c r="R263" s="23"/>
      <c r="S263" s="23"/>
      <c r="T263" s="23"/>
      <c r="U263" s="23"/>
      <c r="V263" s="21"/>
      <c r="W263" s="21"/>
      <c r="X263" s="21"/>
      <c r="Y263" s="21"/>
    </row>
    <row r="264" spans="1:25" x14ac:dyDescent="0.2">
      <c r="A264" s="39"/>
      <c r="B264" s="23"/>
      <c r="C264" s="23"/>
      <c r="D264" s="23"/>
      <c r="E264" s="23"/>
      <c r="F264" s="23"/>
      <c r="G264" s="23"/>
      <c r="H264" s="23"/>
      <c r="I264" s="39"/>
      <c r="J264" s="45"/>
      <c r="K264" s="45"/>
      <c r="L264" s="45"/>
      <c r="M264" s="23"/>
      <c r="N264" s="30"/>
      <c r="O264" s="23"/>
      <c r="P264" s="37"/>
      <c r="Q264" s="23"/>
      <c r="R264" s="23"/>
      <c r="S264" s="23"/>
      <c r="T264" s="23"/>
      <c r="U264" s="23"/>
      <c r="V264" s="21"/>
      <c r="W264" s="21"/>
      <c r="X264" s="21"/>
      <c r="Y264" s="21"/>
    </row>
    <row r="265" spans="1:25" x14ac:dyDescent="0.2">
      <c r="A265" s="72" t="s">
        <v>122</v>
      </c>
      <c r="B265" s="73"/>
      <c r="C265" s="73" t="s">
        <v>112</v>
      </c>
      <c r="D265" s="76">
        <f>VLOOKUP(Q233,[95]Base_03!$A$5:$AS$24,42,0)</f>
        <v>6.666666666666667</v>
      </c>
      <c r="E265" s="76"/>
      <c r="F265" s="25" t="s">
        <v>118</v>
      </c>
      <c r="G265" s="23"/>
      <c r="H265" s="23"/>
      <c r="I265" s="72" t="s">
        <v>122</v>
      </c>
      <c r="J265" s="73"/>
      <c r="K265" s="73" t="s">
        <v>112</v>
      </c>
      <c r="L265" s="76">
        <f>VLOOKUP(Q233,[95]Base_04!$A$5:$AS$24,42,0)</f>
        <v>4.8979591836734695</v>
      </c>
      <c r="M265" s="76"/>
      <c r="N265" s="46" t="s">
        <v>118</v>
      </c>
      <c r="O265" s="23"/>
      <c r="P265" s="37"/>
      <c r="Q265" s="32" t="s">
        <v>121</v>
      </c>
      <c r="R265" s="23"/>
      <c r="S265" s="23"/>
      <c r="T265" s="23"/>
      <c r="U265" s="23"/>
      <c r="V265" s="21"/>
      <c r="W265" s="21"/>
      <c r="X265" s="21"/>
      <c r="Y265" s="21"/>
    </row>
    <row r="266" spans="1:25" x14ac:dyDescent="0.2">
      <c r="A266" s="72" t="s">
        <v>120</v>
      </c>
      <c r="B266" s="73"/>
      <c r="C266" s="73" t="s">
        <v>119</v>
      </c>
      <c r="D266" s="76">
        <f>VLOOKUP(Q233,[95]Base_03!$A$5:$AS$24,43,0)</f>
        <v>9.6666666666666661</v>
      </c>
      <c r="E266" s="76"/>
      <c r="F266" s="25" t="s">
        <v>118</v>
      </c>
      <c r="G266" s="23"/>
      <c r="H266" s="23"/>
      <c r="I266" s="72" t="s">
        <v>120</v>
      </c>
      <c r="J266" s="73"/>
      <c r="K266" s="73" t="s">
        <v>119</v>
      </c>
      <c r="L266" s="76">
        <f>VLOOKUP(Q233,[95]Base_04!$A$5:$AS$24,43,0)</f>
        <v>7.1020408163265314</v>
      </c>
      <c r="M266" s="76"/>
      <c r="N266" s="46" t="s">
        <v>118</v>
      </c>
      <c r="O266" s="23"/>
      <c r="P266" s="37"/>
      <c r="Q266" s="32" t="s">
        <v>117</v>
      </c>
      <c r="R266" s="23"/>
      <c r="S266" s="23"/>
      <c r="T266" s="23"/>
      <c r="U266" s="23"/>
      <c r="V266" s="21"/>
      <c r="W266" s="21"/>
      <c r="X266" s="21"/>
      <c r="Y266" s="21"/>
    </row>
    <row r="267" spans="1:25" x14ac:dyDescent="0.2">
      <c r="A267" s="72" t="s">
        <v>115</v>
      </c>
      <c r="B267" s="73"/>
      <c r="C267" s="73"/>
      <c r="D267" s="71" t="str">
        <f>VLOOKUP(Q233,[95]Base_03!$A$5:$AS$24,44,0)</f>
        <v>(Ada) Baik</v>
      </c>
      <c r="E267" s="71"/>
      <c r="F267" s="23"/>
      <c r="G267" s="23"/>
      <c r="H267" s="23"/>
      <c r="I267" s="72" t="s">
        <v>115</v>
      </c>
      <c r="J267" s="73"/>
      <c r="K267" s="73"/>
      <c r="L267" s="71" t="str">
        <f>VLOOKUP(Q233,[95]Base_04!$A$5:$AS$24,44,0)</f>
        <v>(Ada) Baik</v>
      </c>
      <c r="M267" s="71"/>
      <c r="N267" s="30"/>
      <c r="O267" s="23"/>
      <c r="P267" s="37"/>
      <c r="Q267" s="23"/>
      <c r="R267" s="23"/>
      <c r="S267" s="23"/>
      <c r="T267" s="23"/>
      <c r="U267" s="23"/>
      <c r="V267" s="21"/>
      <c r="W267" s="21"/>
      <c r="X267" s="21"/>
      <c r="Y267" s="21"/>
    </row>
    <row r="268" spans="1:25" x14ac:dyDescent="0.2">
      <c r="A268" s="74" t="s">
        <v>116</v>
      </c>
      <c r="B268" s="75"/>
      <c r="C268" s="26"/>
      <c r="D268" s="25"/>
      <c r="E268" s="25"/>
      <c r="F268" s="23"/>
      <c r="G268" s="23"/>
      <c r="H268" s="23"/>
      <c r="I268" s="74" t="s">
        <v>116</v>
      </c>
      <c r="J268" s="75"/>
      <c r="K268" s="26"/>
      <c r="L268" s="25"/>
      <c r="M268" s="25"/>
      <c r="N268" s="30"/>
      <c r="O268" s="23"/>
      <c r="P268" s="37"/>
      <c r="Q268" s="23"/>
      <c r="R268" s="23"/>
      <c r="S268" s="23"/>
      <c r="T268" s="23"/>
      <c r="U268" s="23"/>
      <c r="V268" s="21"/>
      <c r="W268" s="21"/>
      <c r="X268" s="21"/>
      <c r="Y268" s="21"/>
    </row>
    <row r="269" spans="1:25" x14ac:dyDescent="0.2">
      <c r="A269" s="72" t="s">
        <v>115</v>
      </c>
      <c r="B269" s="73"/>
      <c r="C269" s="73"/>
      <c r="D269" s="71" t="str">
        <f>VLOOKUP(Q233,[95]Base_03!$A$5:$AS$24,45,0)</f>
        <v>Air Pam (Baik)</v>
      </c>
      <c r="E269" s="71"/>
      <c r="F269" s="23"/>
      <c r="G269" s="23"/>
      <c r="H269" s="23"/>
      <c r="I269" s="72" t="s">
        <v>115</v>
      </c>
      <c r="J269" s="73"/>
      <c r="K269" s="73"/>
      <c r="L269" s="71" t="str">
        <f>VLOOKUP(Q233,[95]Base_04!$A$5:$AS$24,45,0)</f>
        <v>Air Pam (Baik)</v>
      </c>
      <c r="M269" s="71"/>
      <c r="N269" s="30"/>
      <c r="O269" s="23"/>
      <c r="P269" s="37"/>
      <c r="Q269" s="23"/>
      <c r="R269" s="23"/>
      <c r="S269" s="23"/>
      <c r="T269" s="23"/>
      <c r="U269" s="23"/>
      <c r="V269" s="21"/>
      <c r="W269" s="21"/>
      <c r="X269" s="21"/>
      <c r="Y269" s="21"/>
    </row>
    <row r="270" spans="1:25" x14ac:dyDescent="0.2">
      <c r="A270" s="74" t="s">
        <v>114</v>
      </c>
      <c r="B270" s="75"/>
      <c r="C270" s="26"/>
      <c r="D270" s="25"/>
      <c r="E270" s="25"/>
      <c r="F270" s="23"/>
      <c r="G270" s="23"/>
      <c r="H270" s="23"/>
      <c r="I270" s="74" t="s">
        <v>114</v>
      </c>
      <c r="J270" s="75"/>
      <c r="K270" s="26"/>
      <c r="L270" s="25"/>
      <c r="M270" s="25"/>
      <c r="N270" s="30"/>
      <c r="O270" s="23"/>
      <c r="P270" s="37"/>
      <c r="Q270" s="23"/>
      <c r="R270" s="23"/>
      <c r="S270" s="23"/>
      <c r="T270" s="23"/>
      <c r="U270" s="23"/>
      <c r="V270" s="21"/>
      <c r="W270" s="21"/>
      <c r="X270" s="21"/>
      <c r="Y270" s="21"/>
    </row>
    <row r="271" spans="1:25" x14ac:dyDescent="0.2">
      <c r="A271" s="36" t="s">
        <v>113</v>
      </c>
      <c r="B271" s="23"/>
      <c r="C271" s="26" t="s">
        <v>112</v>
      </c>
      <c r="D271" s="71">
        <f>VLOOKUP(Q233,[94]Base_02!$A$5:$S$24,18,0)</f>
        <v>-7.4684999999999997</v>
      </c>
      <c r="E271" s="71"/>
      <c r="F271" s="23" t="str">
        <f>IF(D271&gt;0,"LU","LS")</f>
        <v>LS</v>
      </c>
      <c r="G271" s="23"/>
      <c r="H271" s="23"/>
      <c r="I271" s="36" t="s">
        <v>113</v>
      </c>
      <c r="J271" s="26"/>
      <c r="K271" s="26" t="s">
        <v>112</v>
      </c>
      <c r="L271" s="71">
        <f>D271</f>
        <v>-7.4684999999999997</v>
      </c>
      <c r="M271" s="71"/>
      <c r="N271" s="23" t="str">
        <f>IF(L271&gt;0,"LU","LS")</f>
        <v>LS</v>
      </c>
      <c r="O271" s="23"/>
      <c r="P271" s="37"/>
      <c r="Q271" s="23"/>
      <c r="R271" s="23"/>
      <c r="S271" s="23"/>
      <c r="T271" s="23"/>
      <c r="U271" s="23"/>
      <c r="V271" s="21"/>
      <c r="W271" s="21"/>
      <c r="X271" s="21"/>
      <c r="Y271" s="21"/>
    </row>
    <row r="272" spans="1:25" x14ac:dyDescent="0.2">
      <c r="A272" s="42"/>
      <c r="B272" s="43"/>
      <c r="C272" s="44" t="s">
        <v>111</v>
      </c>
      <c r="D272" s="70">
        <f>VLOOKUP(Q233,[94]Base_02!$A$5:$S$24,19,0)</f>
        <v>109.5676</v>
      </c>
      <c r="E272" s="70"/>
      <c r="F272" s="43" t="s">
        <v>110</v>
      </c>
      <c r="G272" s="43"/>
      <c r="H272" s="43"/>
      <c r="I272" s="42"/>
      <c r="J272" s="43"/>
      <c r="K272" s="43"/>
      <c r="L272" s="70">
        <f>D272</f>
        <v>109.5676</v>
      </c>
      <c r="M272" s="70"/>
      <c r="N272" s="47" t="s">
        <v>110</v>
      </c>
      <c r="O272" s="44"/>
      <c r="P272" s="53"/>
      <c r="Q272" s="23"/>
      <c r="R272" s="23"/>
      <c r="S272" s="23"/>
      <c r="T272" s="23"/>
      <c r="U272" s="23"/>
      <c r="V272" s="21"/>
      <c r="W272" s="21"/>
      <c r="X272" s="21"/>
      <c r="Y272" s="21"/>
    </row>
    <row r="273" spans="1:25" x14ac:dyDescent="0.2">
      <c r="A273" s="23"/>
      <c r="B273" s="23"/>
      <c r="C273" s="26"/>
      <c r="D273" s="23"/>
      <c r="E273" s="23"/>
      <c r="F273" s="23"/>
      <c r="G273" s="23"/>
      <c r="H273" s="23"/>
      <c r="I273" s="23"/>
      <c r="J273" s="23"/>
      <c r="K273" s="25"/>
      <c r="L273" s="25"/>
      <c r="M273" s="30"/>
      <c r="N273" s="23"/>
      <c r="O273" s="23"/>
      <c r="P273" s="23"/>
      <c r="Q273" s="23"/>
      <c r="R273" s="23"/>
      <c r="S273" s="23"/>
      <c r="T273" s="23"/>
      <c r="U273" s="23"/>
      <c r="V273" s="23"/>
      <c r="W273" s="23"/>
      <c r="X273" s="23"/>
      <c r="Y273" s="23"/>
    </row>
    <row r="274" spans="1:25" x14ac:dyDescent="0.2">
      <c r="A274" s="23"/>
      <c r="B274" s="23"/>
      <c r="C274" s="23"/>
      <c r="D274" s="23"/>
      <c r="E274" s="23"/>
      <c r="F274" s="23"/>
      <c r="G274" s="23"/>
      <c r="H274" s="23"/>
      <c r="I274" s="23"/>
      <c r="J274" s="23"/>
      <c r="K274" s="23"/>
      <c r="L274" s="23"/>
      <c r="M274" s="30"/>
      <c r="N274" s="23"/>
      <c r="O274" s="23"/>
      <c r="P274" s="23"/>
      <c r="Q274" s="23"/>
      <c r="R274" s="23"/>
      <c r="S274" s="23"/>
      <c r="T274" s="23"/>
      <c r="U274" s="23"/>
      <c r="V274" s="23"/>
      <c r="W274" s="23"/>
      <c r="X274" s="23"/>
      <c r="Y274" s="23"/>
    </row>
    <row r="275" spans="1:25" x14ac:dyDescent="0.2">
      <c r="A275" s="23"/>
      <c r="B275" s="23"/>
      <c r="C275" s="23"/>
      <c r="D275" s="23"/>
      <c r="E275" s="23"/>
      <c r="F275" s="23"/>
      <c r="G275" s="23"/>
      <c r="H275" s="23"/>
      <c r="I275" s="23"/>
      <c r="J275" s="23"/>
      <c r="K275" s="23"/>
      <c r="L275" s="71" t="str">
        <f>[94]Base_01!$C$4&amp;", …..  …........................  2026"</f>
        <v>Sorong, …..  …........................  2026</v>
      </c>
      <c r="M275" s="71"/>
      <c r="N275" s="71"/>
      <c r="O275" s="71"/>
      <c r="P275" s="71"/>
      <c r="Q275" s="23"/>
      <c r="R275" s="23"/>
      <c r="S275" s="23"/>
      <c r="T275" s="23"/>
      <c r="U275" s="23"/>
      <c r="V275" s="23"/>
      <c r="W275" s="23"/>
      <c r="X275" s="23"/>
      <c r="Y275" s="23"/>
    </row>
    <row r="276" spans="1:25" x14ac:dyDescent="0.2">
      <c r="A276" s="71" t="s">
        <v>108</v>
      </c>
      <c r="B276" s="71"/>
      <c r="C276" s="71"/>
      <c r="D276" s="71"/>
      <c r="E276" s="71"/>
      <c r="F276" s="71"/>
      <c r="G276" s="23"/>
      <c r="H276" s="23"/>
      <c r="I276" s="23"/>
      <c r="J276" s="23"/>
      <c r="K276" s="23"/>
      <c r="L276" s="71" t="s">
        <v>152</v>
      </c>
      <c r="M276" s="71"/>
      <c r="N276" s="71"/>
      <c r="O276" s="71"/>
      <c r="P276" s="71"/>
      <c r="Q276" s="23"/>
      <c r="R276" s="23"/>
      <c r="S276" s="23"/>
      <c r="T276" s="23"/>
      <c r="U276" s="23"/>
      <c r="V276" s="23"/>
      <c r="W276" s="23"/>
      <c r="X276" s="23"/>
      <c r="Y276" s="23"/>
    </row>
    <row r="277" spans="1:25" x14ac:dyDescent="0.2">
      <c r="A277" s="71" t="s">
        <v>153</v>
      </c>
      <c r="B277" s="71"/>
      <c r="C277" s="71"/>
      <c r="D277" s="71"/>
      <c r="E277" s="71"/>
      <c r="F277" s="71"/>
      <c r="G277" s="23"/>
      <c r="H277" s="23"/>
      <c r="I277" s="23"/>
      <c r="J277" s="23"/>
      <c r="K277" s="23"/>
      <c r="L277" s="71" t="s">
        <v>107</v>
      </c>
      <c r="M277" s="71"/>
      <c r="N277" s="71"/>
      <c r="O277" s="71"/>
      <c r="P277" s="71"/>
      <c r="Q277" s="23"/>
      <c r="R277" s="23"/>
      <c r="S277" s="23"/>
      <c r="T277" s="23"/>
      <c r="U277" s="23"/>
      <c r="V277" s="23"/>
      <c r="W277" s="23"/>
      <c r="X277" s="23"/>
      <c r="Y277" s="23"/>
    </row>
    <row r="278" spans="1:25" x14ac:dyDescent="0.2">
      <c r="A278" s="23"/>
      <c r="B278" s="23"/>
      <c r="C278" s="23"/>
      <c r="D278" s="23"/>
      <c r="E278" s="23"/>
      <c r="F278" s="23"/>
      <c r="G278" s="23"/>
      <c r="H278" s="23"/>
      <c r="I278" s="23"/>
      <c r="J278" s="23"/>
      <c r="K278" s="23"/>
      <c r="L278" s="23"/>
      <c r="M278" s="30"/>
      <c r="N278" s="23"/>
      <c r="O278" s="23"/>
      <c r="P278" s="23"/>
      <c r="Q278" s="23"/>
      <c r="R278" s="23"/>
      <c r="S278" s="23"/>
      <c r="T278" s="23"/>
      <c r="U278" s="23"/>
      <c r="V278" s="23"/>
      <c r="W278" s="23"/>
      <c r="X278" s="23"/>
      <c r="Y278" s="23"/>
    </row>
    <row r="279" spans="1:25" x14ac:dyDescent="0.2">
      <c r="A279" s="23"/>
      <c r="B279" s="23"/>
      <c r="C279" s="23"/>
      <c r="D279" s="23"/>
      <c r="E279" s="23"/>
      <c r="F279" s="23"/>
      <c r="G279" s="23"/>
      <c r="H279" s="23"/>
      <c r="I279" s="23"/>
      <c r="J279" s="23"/>
      <c r="K279" s="23"/>
      <c r="L279" s="23"/>
      <c r="M279" s="30"/>
      <c r="N279" s="23"/>
      <c r="O279" s="23"/>
      <c r="P279" s="23"/>
      <c r="Q279" s="23"/>
      <c r="R279" s="23"/>
      <c r="S279" s="23"/>
      <c r="T279" s="23"/>
      <c r="U279" s="23"/>
      <c r="V279" s="23"/>
      <c r="W279" s="23"/>
      <c r="X279" s="23"/>
      <c r="Y279" s="23"/>
    </row>
    <row r="280" spans="1:25" x14ac:dyDescent="0.2">
      <c r="A280" s="23"/>
      <c r="B280" s="23"/>
      <c r="C280" s="23"/>
      <c r="D280" s="23"/>
      <c r="E280" s="23"/>
      <c r="F280" s="23"/>
      <c r="G280" s="23"/>
      <c r="H280" s="23"/>
      <c r="I280" s="23"/>
      <c r="J280" s="23"/>
      <c r="K280" s="23"/>
      <c r="L280" s="23"/>
      <c r="M280" s="30"/>
      <c r="N280" s="23"/>
      <c r="O280" s="23"/>
      <c r="P280" s="23"/>
      <c r="Q280" s="23"/>
      <c r="R280" s="23"/>
      <c r="S280" s="23"/>
      <c r="T280" s="23"/>
      <c r="U280" s="23"/>
      <c r="V280" s="23"/>
      <c r="W280" s="23"/>
      <c r="X280" s="23"/>
      <c r="Y280" s="23"/>
    </row>
    <row r="281" spans="1:25" x14ac:dyDescent="0.2">
      <c r="A281" s="23"/>
      <c r="B281" s="23"/>
      <c r="C281" s="23"/>
      <c r="D281" s="23"/>
      <c r="E281" s="23"/>
      <c r="F281" s="23"/>
      <c r="G281" s="23"/>
      <c r="H281" s="23"/>
      <c r="I281" s="23"/>
      <c r="J281" s="23"/>
      <c r="K281" s="23"/>
      <c r="L281" s="23"/>
      <c r="M281" s="30"/>
      <c r="N281" s="23"/>
      <c r="O281" s="23"/>
      <c r="P281" s="23"/>
      <c r="Q281" s="23"/>
      <c r="R281" s="23"/>
      <c r="S281" s="23"/>
      <c r="T281" s="23"/>
      <c r="U281" s="23"/>
      <c r="V281" s="23"/>
      <c r="W281" s="23"/>
      <c r="X281" s="23"/>
      <c r="Y281" s="23"/>
    </row>
    <row r="282" spans="1:25" x14ac:dyDescent="0.2">
      <c r="A282" s="87" t="str">
        <f>[94]Base_02!$C$28</f>
        <v>Nama PB 1</v>
      </c>
      <c r="B282" s="87"/>
      <c r="C282" s="87"/>
      <c r="D282" s="87"/>
      <c r="E282" s="87"/>
      <c r="F282" s="87"/>
      <c r="G282" s="23"/>
      <c r="H282" s="23"/>
      <c r="I282" s="23"/>
      <c r="J282" s="23"/>
      <c r="K282" s="23"/>
      <c r="L282" s="71" t="str">
        <f>E238</f>
        <v>Nama PB 5</v>
      </c>
      <c r="M282" s="71"/>
      <c r="N282" s="71"/>
      <c r="O282" s="71"/>
      <c r="P282" s="71"/>
      <c r="Q282" s="23"/>
      <c r="R282" s="23"/>
      <c r="S282" s="23"/>
      <c r="T282" s="23"/>
      <c r="U282" s="23"/>
      <c r="V282" s="23"/>
      <c r="W282" s="23"/>
      <c r="X282" s="23"/>
      <c r="Y282" s="23"/>
    </row>
    <row r="283" spans="1:25" x14ac:dyDescent="0.2">
      <c r="A283" s="23"/>
      <c r="B283" s="23"/>
      <c r="C283" s="23"/>
      <c r="D283" s="23"/>
      <c r="E283" s="23"/>
      <c r="F283" s="23"/>
      <c r="G283" s="23"/>
      <c r="H283" s="23"/>
      <c r="I283" s="23"/>
      <c r="J283" s="23"/>
      <c r="K283" s="23"/>
      <c r="L283" s="23"/>
      <c r="M283" s="30"/>
      <c r="N283" s="23"/>
      <c r="O283" s="23"/>
      <c r="P283" s="23"/>
      <c r="Q283" s="23"/>
      <c r="R283" s="23"/>
      <c r="S283" s="23"/>
      <c r="T283" s="23"/>
      <c r="U283" s="23"/>
      <c r="V283" s="23"/>
      <c r="W283" s="23"/>
      <c r="X283" s="23"/>
      <c r="Y283" s="23"/>
    </row>
    <row r="284" spans="1:25" x14ac:dyDescent="0.2">
      <c r="A284" s="87" t="s">
        <v>109</v>
      </c>
      <c r="B284" s="87"/>
      <c r="C284" s="87"/>
      <c r="D284" s="87"/>
      <c r="E284" s="87"/>
      <c r="F284" s="87"/>
      <c r="G284" s="23"/>
      <c r="H284" s="23"/>
      <c r="I284" s="29"/>
      <c r="J284" s="24"/>
      <c r="K284" s="24"/>
      <c r="L284" s="88" t="s">
        <v>92</v>
      </c>
      <c r="M284" s="88"/>
      <c r="N284" s="88"/>
      <c r="O284" s="88"/>
      <c r="P284" s="88"/>
      <c r="Q284" s="23"/>
      <c r="R284" s="23"/>
      <c r="S284" s="23"/>
      <c r="T284" s="23"/>
      <c r="U284" s="23"/>
      <c r="V284" s="23"/>
      <c r="W284" s="23"/>
      <c r="X284" s="23"/>
      <c r="Y284" s="23"/>
    </row>
    <row r="285" spans="1:25" x14ac:dyDescent="0.2">
      <c r="A285" s="68" t="s">
        <v>91</v>
      </c>
      <c r="B285" s="68"/>
      <c r="C285" s="68"/>
      <c r="D285" s="68"/>
      <c r="E285" s="68"/>
      <c r="F285" s="68"/>
      <c r="I285" s="28"/>
      <c r="J285" s="28"/>
      <c r="K285" s="28"/>
      <c r="L285" s="69" t="str">
        <f>[94]Base_01!$B$17&amp;" "&amp;[94]Base_01!$C$4</f>
        <v>Koordinator Kota Sorong</v>
      </c>
      <c r="M285" s="69"/>
      <c r="N285" s="69"/>
      <c r="O285" s="69"/>
      <c r="P285" s="69"/>
      <c r="Q285" s="23"/>
      <c r="R285" s="23"/>
      <c r="S285" s="23"/>
      <c r="T285" s="23"/>
      <c r="U285" s="23"/>
      <c r="V285" s="23"/>
      <c r="W285" s="23"/>
      <c r="X285" s="23"/>
      <c r="Y285" s="23"/>
    </row>
    <row r="286" spans="1:25" x14ac:dyDescent="0.2">
      <c r="M286" s="27"/>
      <c r="Q286" s="23"/>
      <c r="R286" s="23"/>
      <c r="S286" s="23"/>
      <c r="T286" s="23"/>
      <c r="U286" s="23"/>
      <c r="V286" s="23"/>
      <c r="W286" s="23"/>
      <c r="X286" s="23"/>
      <c r="Y286" s="23"/>
    </row>
    <row r="287" spans="1:25" x14ac:dyDescent="0.2">
      <c r="M287" s="27"/>
      <c r="Q287" s="23"/>
      <c r="R287" s="23"/>
      <c r="S287" s="23"/>
      <c r="T287" s="23"/>
      <c r="U287" s="23"/>
      <c r="V287" s="23"/>
      <c r="W287" s="23"/>
      <c r="X287" s="23"/>
      <c r="Y287" s="23"/>
    </row>
    <row r="288" spans="1:25" x14ac:dyDescent="0.2">
      <c r="M288" s="27"/>
      <c r="Q288" s="23"/>
      <c r="R288" s="23"/>
      <c r="S288" s="23"/>
      <c r="T288" s="23"/>
      <c r="U288" s="23"/>
      <c r="V288" s="23"/>
      <c r="W288" s="23"/>
      <c r="X288" s="23"/>
      <c r="Y288" s="23"/>
    </row>
    <row r="289" spans="1:25" x14ac:dyDescent="0.2">
      <c r="M289" s="27"/>
      <c r="Q289" s="23"/>
      <c r="R289" s="23"/>
      <c r="S289" s="23"/>
      <c r="T289" s="23"/>
      <c r="U289" s="23"/>
      <c r="V289" s="23"/>
      <c r="W289" s="23"/>
      <c r="X289" s="23"/>
      <c r="Y289" s="23"/>
    </row>
    <row r="290" spans="1:25" x14ac:dyDescent="0.2">
      <c r="A290" s="68" t="str">
        <f>[94]Base_01!$C$20</f>
        <v>…...............         …...............</v>
      </c>
      <c r="B290" s="68"/>
      <c r="C290" s="68"/>
      <c r="D290" s="68"/>
      <c r="E290" s="68"/>
      <c r="F290" s="68"/>
      <c r="L290" s="68" t="str">
        <f>[94]Base_01!$C$17</f>
        <v>AfrIandi Yudhistira, S.T.</v>
      </c>
      <c r="M290" s="68"/>
      <c r="N290" s="68"/>
      <c r="O290" s="68"/>
      <c r="P290" s="68"/>
      <c r="Q290" s="23"/>
      <c r="R290" s="23"/>
      <c r="S290" s="23"/>
      <c r="T290" s="23"/>
      <c r="U290" s="23"/>
      <c r="V290" s="23"/>
      <c r="W290" s="23"/>
      <c r="X290" s="23"/>
      <c r="Y290" s="23"/>
    </row>
    <row r="291" spans="1:25" x14ac:dyDescent="0.2">
      <c r="A291" s="86" t="s">
        <v>149</v>
      </c>
      <c r="B291" s="86"/>
      <c r="C291" s="86"/>
      <c r="D291" s="86"/>
      <c r="E291" s="86"/>
      <c r="F291" s="86"/>
      <c r="G291" s="86"/>
      <c r="H291" s="86"/>
      <c r="I291" s="86"/>
      <c r="J291" s="86"/>
      <c r="K291" s="86"/>
      <c r="L291" s="86"/>
      <c r="M291" s="86"/>
      <c r="N291" s="86"/>
      <c r="O291" s="86"/>
      <c r="P291" s="86"/>
      <c r="Q291" s="23">
        <f>Q233+1</f>
        <v>6</v>
      </c>
      <c r="R291" s="23"/>
      <c r="S291" s="23"/>
      <c r="T291" s="23"/>
      <c r="U291" s="23"/>
      <c r="V291" s="23"/>
      <c r="W291" s="23"/>
      <c r="X291" s="23"/>
      <c r="Y291" s="23"/>
    </row>
    <row r="292" spans="1:25" x14ac:dyDescent="0.2">
      <c r="A292" s="71" t="s">
        <v>148</v>
      </c>
      <c r="B292" s="71"/>
      <c r="C292" s="71"/>
      <c r="D292" s="71"/>
      <c r="E292" s="71"/>
      <c r="F292" s="71"/>
      <c r="G292" s="71"/>
      <c r="H292" s="71"/>
      <c r="I292" s="71"/>
      <c r="J292" s="71"/>
      <c r="K292" s="71"/>
      <c r="L292" s="71"/>
      <c r="M292" s="71"/>
      <c r="N292" s="71"/>
      <c r="O292" s="71"/>
      <c r="P292" s="71"/>
      <c r="Q292" s="23"/>
      <c r="R292" s="23"/>
      <c r="S292" s="23"/>
      <c r="T292" s="23"/>
      <c r="U292" s="23"/>
      <c r="V292" s="23"/>
      <c r="W292" s="23"/>
      <c r="X292" s="23"/>
      <c r="Y292" s="23"/>
    </row>
    <row r="293" spans="1:25" x14ac:dyDescent="0.2">
      <c r="A293" s="25"/>
      <c r="B293" s="25"/>
      <c r="C293" s="25"/>
      <c r="D293" s="25"/>
      <c r="E293" s="25"/>
      <c r="F293" s="25"/>
      <c r="G293" s="25"/>
      <c r="H293" s="25"/>
      <c r="I293" s="23"/>
      <c r="J293" s="24"/>
      <c r="K293" s="24"/>
      <c r="L293" s="24"/>
      <c r="M293" s="24"/>
      <c r="N293" s="24"/>
      <c r="O293" s="24"/>
      <c r="P293" s="24"/>
      <c r="Q293" s="23"/>
      <c r="R293" s="23"/>
      <c r="S293" s="23"/>
      <c r="T293" s="23"/>
      <c r="U293" s="23"/>
      <c r="V293" s="23"/>
      <c r="W293" s="23"/>
      <c r="X293" s="23"/>
      <c r="Y293" s="23"/>
    </row>
    <row r="294" spans="1:25" x14ac:dyDescent="0.2">
      <c r="A294" s="73" t="s">
        <v>147</v>
      </c>
      <c r="B294" s="73"/>
      <c r="C294" s="73"/>
      <c r="D294" s="73"/>
      <c r="E294" s="35" t="str">
        <f>VLOOKUP(Q291,[94]Base_02!$A$5:$AD$24,2,0)</f>
        <v>000006</v>
      </c>
      <c r="F294" s="23"/>
      <c r="G294" s="23"/>
      <c r="H294" s="24"/>
      <c r="I294" s="23"/>
      <c r="J294" s="24"/>
      <c r="K294" s="24"/>
      <c r="L294" s="24"/>
      <c r="M294" s="24"/>
      <c r="N294" s="24"/>
      <c r="O294" s="24"/>
      <c r="P294" s="24"/>
      <c r="Q294" s="23"/>
      <c r="R294" s="23"/>
      <c r="S294" s="23"/>
      <c r="T294" s="23"/>
      <c r="U294" s="23"/>
      <c r="V294" s="23"/>
      <c r="W294" s="23"/>
      <c r="X294" s="23"/>
      <c r="Y294" s="23"/>
    </row>
    <row r="295" spans="1:25" x14ac:dyDescent="0.2">
      <c r="A295" s="73" t="s">
        <v>68</v>
      </c>
      <c r="B295" s="73"/>
      <c r="C295" s="73"/>
      <c r="D295" s="73"/>
      <c r="E295" s="35" t="str">
        <f>VLOOKUP(Q291,[94]Base_02!$A$5:$AD$24,14,0)</f>
        <v>3304160101850004</v>
      </c>
      <c r="F295" s="23"/>
      <c r="G295" s="23"/>
      <c r="H295" s="24"/>
      <c r="I295" s="23"/>
      <c r="J295" s="24"/>
      <c r="K295" s="24"/>
      <c r="L295" s="24"/>
      <c r="M295" s="24"/>
      <c r="N295" s="24"/>
      <c r="O295" s="24"/>
      <c r="P295" s="24"/>
      <c r="Q295" s="23"/>
      <c r="R295" s="23"/>
      <c r="S295" s="23"/>
      <c r="T295" s="23"/>
      <c r="U295" s="23"/>
      <c r="V295" s="23"/>
      <c r="W295" s="23"/>
      <c r="X295" s="23"/>
      <c r="Y295" s="23"/>
    </row>
    <row r="296" spans="1:25" x14ac:dyDescent="0.2">
      <c r="A296" s="73" t="s">
        <v>150</v>
      </c>
      <c r="B296" s="73"/>
      <c r="C296" s="73"/>
      <c r="D296" s="73"/>
      <c r="E296" s="35" t="str">
        <f>VLOOKUP(Q291,[94]Base_02!$A$5:$AD$24,3,0)</f>
        <v>Nama PB 6</v>
      </c>
      <c r="F296" s="23"/>
      <c r="G296" s="23"/>
      <c r="H296" s="24"/>
      <c r="I296" s="23"/>
      <c r="J296" s="24"/>
      <c r="K296" s="24"/>
      <c r="L296" s="24"/>
      <c r="M296" s="24"/>
      <c r="N296" s="24"/>
      <c r="O296" s="24"/>
      <c r="P296" s="24"/>
      <c r="Q296" s="23"/>
      <c r="R296" s="23"/>
      <c r="S296" s="23"/>
      <c r="T296" s="23"/>
      <c r="U296" s="23"/>
      <c r="V296" s="23"/>
      <c r="W296" s="23"/>
      <c r="X296" s="23"/>
      <c r="Y296" s="23"/>
    </row>
    <row r="297" spans="1:25" x14ac:dyDescent="0.2">
      <c r="A297" s="73" t="s">
        <v>18</v>
      </c>
      <c r="B297" s="73"/>
      <c r="C297" s="73"/>
      <c r="D297" s="73"/>
      <c r="E297" s="35" t="str">
        <f>VLOOKUP(Q291,[94]Base_02!$A$5:$Z$24,11,FALSE)&amp;", RT "&amp;VLOOKUP(Q291,[94]Base_02!$A$5:$Z$24,12,FALSE)&amp;", RW "&amp;VLOOKUP(Q291,[94]Base_02!$A$5:$Z$24,13,FALSE)</f>
        <v>Jalan Kanal Victory, RT 1, RW 1</v>
      </c>
      <c r="F297" s="23"/>
      <c r="G297" s="23"/>
      <c r="H297" s="35"/>
      <c r="I297" s="23"/>
      <c r="J297" s="24"/>
      <c r="K297" s="24"/>
      <c r="L297" s="24"/>
      <c r="M297" s="24"/>
      <c r="N297" s="24"/>
      <c r="O297" s="24"/>
      <c r="P297" s="24"/>
      <c r="Q297" s="23"/>
      <c r="R297" s="23"/>
      <c r="S297" s="23"/>
      <c r="T297" s="23"/>
      <c r="U297" s="23"/>
      <c r="V297" s="23"/>
      <c r="W297" s="23"/>
      <c r="X297" s="23"/>
      <c r="Y297" s="23"/>
    </row>
    <row r="298" spans="1:25" x14ac:dyDescent="0.2">
      <c r="A298" s="73" t="str">
        <f>[94]Base_01!$B$2</f>
        <v>Kelurahan</v>
      </c>
      <c r="B298" s="73"/>
      <c r="C298" s="73"/>
      <c r="D298" s="73"/>
      <c r="E298" s="35" t="str">
        <f>[94]Base_01!$C$2</f>
        <v>Klasabi</v>
      </c>
      <c r="F298" s="23"/>
      <c r="G298" s="23"/>
      <c r="H298" s="24"/>
      <c r="I298" s="23"/>
      <c r="J298" s="24"/>
      <c r="K298" s="24"/>
      <c r="L298" s="24"/>
      <c r="M298" s="24"/>
      <c r="N298" s="24"/>
      <c r="O298" s="24"/>
      <c r="P298" s="24"/>
      <c r="Q298" s="23" t="s">
        <v>146</v>
      </c>
      <c r="R298" s="23"/>
      <c r="S298" s="23"/>
      <c r="T298" s="23"/>
      <c r="U298" s="23"/>
      <c r="V298" s="23"/>
      <c r="W298" s="23"/>
      <c r="X298" s="23"/>
      <c r="Y298" s="23"/>
    </row>
    <row r="299" spans="1:25" x14ac:dyDescent="0.2">
      <c r="A299" s="73" t="s">
        <v>19</v>
      </c>
      <c r="B299" s="73"/>
      <c r="C299" s="73"/>
      <c r="D299" s="73"/>
      <c r="E299" s="35" t="str">
        <f>[94]Base_01!$C$3</f>
        <v>Sorong Manoi</v>
      </c>
      <c r="F299" s="23"/>
      <c r="G299" s="23"/>
      <c r="H299" s="24"/>
      <c r="I299" s="23"/>
      <c r="J299" s="24"/>
      <c r="K299" s="24"/>
      <c r="L299" s="24"/>
      <c r="M299" s="24"/>
      <c r="N299" s="24"/>
      <c r="O299" s="24"/>
      <c r="P299" s="24"/>
      <c r="Q299" s="23" t="s">
        <v>145</v>
      </c>
      <c r="R299" s="23"/>
      <c r="S299" s="23"/>
      <c r="T299" s="23"/>
      <c r="U299" s="23"/>
      <c r="V299" s="23"/>
      <c r="W299" s="23"/>
      <c r="X299" s="23"/>
      <c r="Y299" s="23"/>
    </row>
    <row r="300" spans="1:25" x14ac:dyDescent="0.2">
      <c r="A300" s="73" t="str">
        <f>[94]Base_01!$B$4</f>
        <v>Kota</v>
      </c>
      <c r="B300" s="73"/>
      <c r="C300" s="73"/>
      <c r="D300" s="73"/>
      <c r="E300" s="35" t="str">
        <f>[94]Base_01!$C$4</f>
        <v>Sorong</v>
      </c>
      <c r="F300" s="23"/>
      <c r="G300" s="23"/>
      <c r="H300" s="24"/>
      <c r="I300" s="23"/>
      <c r="J300" s="24"/>
      <c r="K300" s="24"/>
      <c r="L300" s="24"/>
      <c r="M300" s="24"/>
      <c r="N300" s="24"/>
      <c r="O300" s="24"/>
      <c r="P300" s="24"/>
      <c r="Q300" s="23" t="s">
        <v>144</v>
      </c>
      <c r="R300" s="23"/>
      <c r="S300" s="23"/>
      <c r="T300" s="23"/>
      <c r="U300" s="23"/>
      <c r="V300" s="23"/>
      <c r="W300" s="23"/>
      <c r="X300" s="23"/>
      <c r="Y300" s="23"/>
    </row>
    <row r="301" spans="1:25" x14ac:dyDescent="0.2">
      <c r="A301" s="73" t="str">
        <f>[94]Base_01!$B$5</f>
        <v>Provinsi</v>
      </c>
      <c r="B301" s="73"/>
      <c r="C301" s="73"/>
      <c r="D301" s="73"/>
      <c r="E301" s="23" t="str">
        <f>[94]Base_01!$C$5</f>
        <v>Papua Barat Daya</v>
      </c>
      <c r="F301" s="23"/>
      <c r="G301" s="24"/>
      <c r="H301" s="24"/>
      <c r="I301" s="23"/>
      <c r="J301" s="24"/>
      <c r="K301" s="24"/>
      <c r="L301" s="24"/>
      <c r="M301" s="24"/>
      <c r="N301" s="24"/>
      <c r="O301" s="24"/>
      <c r="P301" s="24"/>
      <c r="Q301" s="23" t="s">
        <v>143</v>
      </c>
      <c r="R301" s="23"/>
      <c r="S301" s="23"/>
      <c r="T301" s="23"/>
      <c r="U301" s="23"/>
      <c r="V301" s="23"/>
      <c r="W301" s="23"/>
      <c r="X301" s="23"/>
      <c r="Y301" s="23"/>
    </row>
    <row r="302" spans="1:25" x14ac:dyDescent="0.2">
      <c r="A302" s="23"/>
      <c r="B302" s="23"/>
      <c r="C302" s="23"/>
      <c r="D302" s="23"/>
      <c r="E302" s="23"/>
      <c r="F302" s="23"/>
      <c r="G302" s="23"/>
      <c r="H302" s="23"/>
      <c r="I302" s="24"/>
      <c r="J302" s="24"/>
      <c r="K302" s="24"/>
      <c r="L302" s="24"/>
      <c r="M302" s="24"/>
      <c r="N302" s="24"/>
      <c r="O302" s="24"/>
      <c r="P302" s="24"/>
      <c r="Q302" s="23"/>
      <c r="R302" s="23"/>
      <c r="S302" s="23"/>
      <c r="T302" s="23"/>
      <c r="U302" s="23"/>
      <c r="V302" s="23"/>
      <c r="W302" s="23"/>
      <c r="X302" s="23"/>
      <c r="Y302" s="23"/>
    </row>
    <row r="303" spans="1:25" x14ac:dyDescent="0.2">
      <c r="A303" s="33"/>
      <c r="B303" s="33"/>
      <c r="C303" s="33"/>
      <c r="D303" s="33"/>
      <c r="E303" s="33"/>
      <c r="F303" s="33"/>
      <c r="G303" s="33"/>
      <c r="H303" s="33"/>
      <c r="I303" s="33"/>
      <c r="J303" s="33"/>
      <c r="K303" s="33"/>
      <c r="L303" s="33"/>
      <c r="M303" s="34"/>
      <c r="N303" s="33"/>
      <c r="O303" s="33"/>
      <c r="P303" s="33"/>
      <c r="Q303" s="23"/>
      <c r="R303" s="23"/>
      <c r="S303" s="23"/>
      <c r="T303" s="23"/>
      <c r="U303" s="23"/>
      <c r="V303" s="23"/>
      <c r="W303" s="23"/>
      <c r="X303" s="23"/>
      <c r="Y303" s="23"/>
    </row>
    <row r="304" spans="1:25" x14ac:dyDescent="0.2">
      <c r="A304" s="80" t="s">
        <v>142</v>
      </c>
      <c r="B304" s="81"/>
      <c r="C304" s="81"/>
      <c r="D304" s="81"/>
      <c r="E304" s="81"/>
      <c r="F304" s="81"/>
      <c r="G304" s="81"/>
      <c r="H304" s="81"/>
      <c r="I304" s="80" t="s">
        <v>151</v>
      </c>
      <c r="J304" s="81"/>
      <c r="K304" s="81"/>
      <c r="L304" s="81"/>
      <c r="M304" s="81"/>
      <c r="N304" s="81"/>
      <c r="O304" s="81"/>
      <c r="P304" s="82"/>
      <c r="Q304" s="23"/>
      <c r="R304" s="23"/>
      <c r="S304" s="23"/>
      <c r="T304" s="23"/>
      <c r="U304" s="23"/>
      <c r="V304" s="21"/>
      <c r="W304" s="21"/>
      <c r="X304" s="21"/>
      <c r="Y304" s="21"/>
    </row>
    <row r="305" spans="1:25" x14ac:dyDescent="0.2">
      <c r="A305" s="48"/>
      <c r="B305" s="49"/>
      <c r="C305" s="49"/>
      <c r="D305" s="50"/>
      <c r="E305" s="50"/>
      <c r="F305" s="49"/>
      <c r="G305" s="49"/>
      <c r="H305" s="49"/>
      <c r="I305" s="48"/>
      <c r="J305" s="49"/>
      <c r="K305" s="49"/>
      <c r="L305" s="50"/>
      <c r="M305" s="50"/>
      <c r="N305" s="49"/>
      <c r="O305" s="49"/>
      <c r="P305" s="51"/>
      <c r="Q305" s="23"/>
      <c r="R305" s="23"/>
      <c r="S305" s="23"/>
      <c r="T305" s="23"/>
      <c r="U305" s="23"/>
      <c r="V305" s="21"/>
      <c r="W305" s="21"/>
      <c r="X305" s="21"/>
      <c r="Y305" s="21"/>
    </row>
    <row r="306" spans="1:25" ht="16" x14ac:dyDescent="0.2">
      <c r="A306" s="36" t="s">
        <v>141</v>
      </c>
      <c r="B306" s="23"/>
      <c r="C306" s="26" t="s">
        <v>112</v>
      </c>
      <c r="D306" s="83">
        <f>VLOOKUP(Q291,[95]Base_03!$A$5:$AS$24,5,0)</f>
        <v>36</v>
      </c>
      <c r="E306" s="84"/>
      <c r="F306" s="23" t="s">
        <v>140</v>
      </c>
      <c r="G306" s="23"/>
      <c r="H306" s="23"/>
      <c r="I306" s="36" t="s">
        <v>141</v>
      </c>
      <c r="J306" s="26"/>
      <c r="K306" s="26" t="s">
        <v>119</v>
      </c>
      <c r="L306" s="85">
        <f>VLOOKUP(Q291,[95]Base_04!$A$5:$AS$24,5,0)</f>
        <v>49</v>
      </c>
      <c r="M306" s="85"/>
      <c r="N306" s="30" t="s">
        <v>140</v>
      </c>
      <c r="O306" s="23"/>
      <c r="P306" s="37"/>
      <c r="Q306" s="23"/>
      <c r="R306" s="23"/>
      <c r="S306" s="23"/>
      <c r="T306" s="23"/>
      <c r="U306" s="23"/>
      <c r="V306" s="21"/>
      <c r="W306" s="21"/>
      <c r="X306" s="21"/>
      <c r="Y306" s="21"/>
    </row>
    <row r="307" spans="1:25" ht="15" customHeight="1" x14ac:dyDescent="0.2">
      <c r="A307" s="38" t="s">
        <v>139</v>
      </c>
      <c r="B307" s="23"/>
      <c r="C307" s="26"/>
      <c r="D307" s="79" t="s">
        <v>131</v>
      </c>
      <c r="E307" s="79"/>
      <c r="F307" s="79" t="s">
        <v>130</v>
      </c>
      <c r="G307" s="79"/>
      <c r="H307" s="23"/>
      <c r="I307" s="38" t="s">
        <v>139</v>
      </c>
      <c r="J307" s="23"/>
      <c r="K307" s="26"/>
      <c r="L307" s="79" t="s">
        <v>131</v>
      </c>
      <c r="M307" s="79"/>
      <c r="N307" s="79" t="s">
        <v>130</v>
      </c>
      <c r="O307" s="79"/>
      <c r="P307" s="52"/>
      <c r="Q307" s="23"/>
      <c r="R307" s="23"/>
      <c r="S307" s="23"/>
      <c r="T307" s="23"/>
      <c r="U307" s="23"/>
      <c r="V307" s="21"/>
      <c r="W307" s="21"/>
      <c r="X307" s="21"/>
      <c r="Y307" s="21"/>
    </row>
    <row r="308" spans="1:25" x14ac:dyDescent="0.2">
      <c r="A308" s="39"/>
      <c r="B308" s="23"/>
      <c r="C308" s="26"/>
      <c r="D308" s="79"/>
      <c r="E308" s="79"/>
      <c r="F308" s="79"/>
      <c r="G308" s="79"/>
      <c r="H308" s="23"/>
      <c r="I308" s="39"/>
      <c r="J308" s="23"/>
      <c r="K308" s="26"/>
      <c r="L308" s="79"/>
      <c r="M308" s="79"/>
      <c r="N308" s="79"/>
      <c r="O308" s="79"/>
      <c r="P308" s="52"/>
      <c r="Q308" s="23"/>
      <c r="R308" s="23"/>
      <c r="S308" s="23"/>
      <c r="T308" s="23"/>
      <c r="U308" s="23"/>
      <c r="V308" s="21"/>
      <c r="W308" s="21"/>
      <c r="X308" s="21"/>
      <c r="Y308" s="21"/>
    </row>
    <row r="309" spans="1:25" x14ac:dyDescent="0.2">
      <c r="A309" s="72" t="s">
        <v>138</v>
      </c>
      <c r="B309" s="73"/>
      <c r="C309" s="73" t="s">
        <v>112</v>
      </c>
      <c r="D309" s="78" t="str">
        <f>VLOOKUP(Q291,[95]Base_03!$A$5:$AS$24,6,0)</f>
        <v>BT 6</v>
      </c>
      <c r="E309" s="78"/>
      <c r="F309" s="77">
        <f>VLOOKUP(Q291,[95]Base_03!$A$5:$AS$24,12,0)</f>
        <v>0</v>
      </c>
      <c r="G309" s="77"/>
      <c r="H309" s="23" t="s">
        <v>134</v>
      </c>
      <c r="I309" s="72" t="s">
        <v>138</v>
      </c>
      <c r="J309" s="73"/>
      <c r="K309" s="73"/>
      <c r="L309" s="78" t="str">
        <f>VLOOKUP(Q291,[95]Base_04!$A$5:$AS$24,6,0)</f>
        <v>BT 6</v>
      </c>
      <c r="M309" s="78"/>
      <c r="N309" s="77">
        <f>VLOOKUP(Q291,[95]Base_04!$A$5:$AS$24,12,0)</f>
        <v>0</v>
      </c>
      <c r="O309" s="77"/>
      <c r="P309" s="37" t="s">
        <v>134</v>
      </c>
      <c r="Q309" s="23" t="s">
        <v>123</v>
      </c>
      <c r="R309" s="23"/>
      <c r="S309" s="23"/>
      <c r="T309" s="23"/>
      <c r="U309" s="23"/>
      <c r="V309" s="21"/>
      <c r="W309" s="21"/>
      <c r="X309" s="21"/>
      <c r="Y309" s="21"/>
    </row>
    <row r="310" spans="1:25" x14ac:dyDescent="0.2">
      <c r="A310" s="72" t="s">
        <v>137</v>
      </c>
      <c r="B310" s="73"/>
      <c r="C310" s="73" t="s">
        <v>112</v>
      </c>
      <c r="D310" s="78" t="str">
        <f>VLOOKUP(Q291,[95]Base_03!$A$5:$AS$24,13,0)</f>
        <v>S 6</v>
      </c>
      <c r="E310" s="78"/>
      <c r="F310" s="77">
        <f>VLOOKUP(Q291,[95]Base_03!$A$5:$AS$24,15,0)</f>
        <v>0</v>
      </c>
      <c r="G310" s="77"/>
      <c r="H310" s="23" t="s">
        <v>134</v>
      </c>
      <c r="I310" s="72" t="s">
        <v>137</v>
      </c>
      <c r="J310" s="73"/>
      <c r="K310" s="73"/>
      <c r="L310" s="78" t="str">
        <f>VLOOKUP(Q291,[95]Base_04!$A$5:$AS$24,13,0)</f>
        <v>S 6</v>
      </c>
      <c r="M310" s="78"/>
      <c r="N310" s="77">
        <f>VLOOKUP(Q291,[95]Base_04!$A$5:$AS$24,15,0)</f>
        <v>0</v>
      </c>
      <c r="O310" s="77"/>
      <c r="P310" s="37" t="s">
        <v>134</v>
      </c>
      <c r="Q310" s="23" t="s">
        <v>123</v>
      </c>
      <c r="R310" s="23"/>
      <c r="S310" s="23"/>
      <c r="T310" s="23"/>
      <c r="U310" s="23"/>
      <c r="V310" s="21"/>
      <c r="W310" s="21"/>
      <c r="X310" s="21"/>
      <c r="Y310" s="21"/>
    </row>
    <row r="311" spans="1:25" x14ac:dyDescent="0.2">
      <c r="A311" s="72" t="s">
        <v>136</v>
      </c>
      <c r="B311" s="73"/>
      <c r="C311" s="73" t="s">
        <v>112</v>
      </c>
      <c r="D311" s="78" t="str">
        <f>VLOOKUP(Q291,[95]Base_03!$A$5:$AS$24,16,0)</f>
        <v>B 6</v>
      </c>
      <c r="E311" s="78"/>
      <c r="F311" s="77">
        <f>VLOOKUP(Q291,[95]Base_03!$A$5:$AS$24,22,0)</f>
        <v>0</v>
      </c>
      <c r="G311" s="77"/>
      <c r="H311" s="23" t="s">
        <v>134</v>
      </c>
      <c r="I311" s="72" t="s">
        <v>136</v>
      </c>
      <c r="J311" s="73"/>
      <c r="K311" s="73"/>
      <c r="L311" s="78" t="str">
        <f>VLOOKUP(Q291,[95]Base_04!$A$5:$AS$24,16,0)</f>
        <v>B 6</v>
      </c>
      <c r="M311" s="78"/>
      <c r="N311" s="77">
        <f>VLOOKUP(Q291,[95]Base_04!$A$5:$AS$24,22,0)</f>
        <v>0</v>
      </c>
      <c r="O311" s="77"/>
      <c r="P311" s="37" t="s">
        <v>134</v>
      </c>
      <c r="Q311" s="23" t="s">
        <v>123</v>
      </c>
      <c r="R311" s="23"/>
      <c r="S311" s="23"/>
      <c r="T311" s="23"/>
      <c r="U311" s="23"/>
      <c r="V311" s="21"/>
      <c r="W311" s="21"/>
      <c r="X311" s="21"/>
      <c r="Y311" s="21"/>
    </row>
    <row r="312" spans="1:25" x14ac:dyDescent="0.2">
      <c r="A312" s="72" t="s">
        <v>135</v>
      </c>
      <c r="B312" s="73"/>
      <c r="C312" s="73" t="s">
        <v>112</v>
      </c>
      <c r="D312" s="78" t="str">
        <f>VLOOKUP(Q291,[95]Base_03!$A$5:$AS$24,23,0)</f>
        <v>K 6</v>
      </c>
      <c r="E312" s="78"/>
      <c r="F312" s="77">
        <f>VLOOKUP(Q291,[95]Base_03!$A$5:$AS$24,24,0)</f>
        <v>0</v>
      </c>
      <c r="G312" s="77"/>
      <c r="H312" s="23" t="s">
        <v>134</v>
      </c>
      <c r="I312" s="72" t="s">
        <v>135</v>
      </c>
      <c r="J312" s="73"/>
      <c r="K312" s="73"/>
      <c r="L312" s="78" t="str">
        <f>VLOOKUP(Q291,[95]Base_04!$A$5:$AS$24,23,0)</f>
        <v>K 6</v>
      </c>
      <c r="M312" s="78"/>
      <c r="N312" s="77">
        <f>VLOOKUP(Q291,[95]Base_04!$A$5:$AS$24,24,0)</f>
        <v>0</v>
      </c>
      <c r="O312" s="77"/>
      <c r="P312" s="37" t="s">
        <v>134</v>
      </c>
      <c r="Q312" s="23" t="s">
        <v>123</v>
      </c>
      <c r="R312" s="23"/>
      <c r="S312" s="23"/>
      <c r="T312" s="23"/>
      <c r="U312" s="23"/>
      <c r="V312" s="21"/>
      <c r="W312" s="21"/>
      <c r="X312" s="21"/>
      <c r="Y312" s="21"/>
    </row>
    <row r="313" spans="1:25" x14ac:dyDescent="0.2">
      <c r="A313" s="72" t="s">
        <v>133</v>
      </c>
      <c r="B313" s="73"/>
      <c r="C313" s="73" t="s">
        <v>112</v>
      </c>
      <c r="D313" s="78" t="str">
        <f>VLOOKUP(Q291,[95]Base_03!$A$5:$AS$24,25,0)</f>
        <v>K 6</v>
      </c>
      <c r="E313" s="78"/>
      <c r="F313" s="77">
        <f>VLOOKUP(Q291,[95]Base_03!$A$5:$AS$24,26,0)</f>
        <v>73.900834456272094</v>
      </c>
      <c r="G313" s="77"/>
      <c r="H313" s="23" t="s">
        <v>124</v>
      </c>
      <c r="I313" s="72" t="s">
        <v>133</v>
      </c>
      <c r="J313" s="73"/>
      <c r="K313" s="73"/>
      <c r="L313" s="78" t="str">
        <f>VLOOKUP(Q291,[95]Base_04!$A$5:$AS$24,25,0)</f>
        <v>K 6</v>
      </c>
      <c r="M313" s="78"/>
      <c r="N313" s="77">
        <f>VLOOKUP(Q291,[95]Base_04!$A$5:$AS$24,26,0)</f>
        <v>93.530743608719362</v>
      </c>
      <c r="O313" s="77"/>
      <c r="P313" s="37" t="s">
        <v>124</v>
      </c>
      <c r="Q313" s="23" t="s">
        <v>123</v>
      </c>
      <c r="R313" s="23"/>
      <c r="S313" s="23"/>
      <c r="T313" s="23"/>
      <c r="U313" s="23"/>
      <c r="V313" s="21"/>
      <c r="W313" s="21"/>
      <c r="X313" s="21"/>
      <c r="Y313" s="21"/>
    </row>
    <row r="314" spans="1:25" x14ac:dyDescent="0.2">
      <c r="A314" s="40"/>
      <c r="B314" s="31"/>
      <c r="C314" s="31"/>
      <c r="D314" s="41"/>
      <c r="E314" s="41"/>
      <c r="F314" s="30"/>
      <c r="G314" s="23"/>
      <c r="H314" s="23"/>
      <c r="I314" s="40"/>
      <c r="J314" s="31"/>
      <c r="K314" s="31"/>
      <c r="L314" s="41"/>
      <c r="M314" s="41"/>
      <c r="N314" s="30"/>
      <c r="O314" s="23"/>
      <c r="P314" s="37"/>
      <c r="Q314" s="23"/>
      <c r="R314" s="23"/>
      <c r="S314" s="23"/>
      <c r="T314" s="23"/>
      <c r="U314" s="23"/>
      <c r="V314" s="21"/>
      <c r="W314" s="21"/>
      <c r="X314" s="21"/>
      <c r="Y314" s="21"/>
    </row>
    <row r="315" spans="1:25" x14ac:dyDescent="0.2">
      <c r="A315" s="38" t="s">
        <v>132</v>
      </c>
      <c r="B315" s="23"/>
      <c r="C315" s="26"/>
      <c r="D315" s="79" t="s">
        <v>131</v>
      </c>
      <c r="E315" s="79"/>
      <c r="F315" s="79" t="s">
        <v>130</v>
      </c>
      <c r="G315" s="79"/>
      <c r="H315" s="23"/>
      <c r="I315" s="38" t="s">
        <v>132</v>
      </c>
      <c r="J315" s="23"/>
      <c r="K315" s="26"/>
      <c r="L315" s="79" t="s">
        <v>131</v>
      </c>
      <c r="M315" s="79"/>
      <c r="N315" s="79" t="s">
        <v>130</v>
      </c>
      <c r="O315" s="79"/>
      <c r="P315" s="52"/>
      <c r="Q315" s="23"/>
      <c r="R315" s="23"/>
      <c r="S315" s="23"/>
      <c r="T315" s="23"/>
      <c r="U315" s="23"/>
      <c r="V315" s="21"/>
      <c r="W315" s="21"/>
      <c r="X315" s="21"/>
      <c r="Y315" s="21"/>
    </row>
    <row r="316" spans="1:25" x14ac:dyDescent="0.2">
      <c r="A316" s="39"/>
      <c r="B316" s="23"/>
      <c r="C316" s="26"/>
      <c r="D316" s="79"/>
      <c r="E316" s="79"/>
      <c r="F316" s="79"/>
      <c r="G316" s="79"/>
      <c r="H316" s="23"/>
      <c r="I316" s="39"/>
      <c r="J316" s="23"/>
      <c r="K316" s="26"/>
      <c r="L316" s="79"/>
      <c r="M316" s="79"/>
      <c r="N316" s="79"/>
      <c r="O316" s="79"/>
      <c r="P316" s="52"/>
      <c r="Q316" s="23"/>
      <c r="R316" s="23"/>
      <c r="S316" s="23"/>
      <c r="T316" s="23"/>
      <c r="U316" s="23"/>
      <c r="V316" s="21"/>
      <c r="W316" s="21"/>
      <c r="X316" s="21"/>
      <c r="Y316" s="21"/>
    </row>
    <row r="317" spans="1:25" x14ac:dyDescent="0.2">
      <c r="A317" s="72" t="s">
        <v>129</v>
      </c>
      <c r="B317" s="73"/>
      <c r="C317" s="73" t="s">
        <v>119</v>
      </c>
      <c r="D317" s="78" t="str">
        <f>VLOOKUP(Q291,[95]Base_03!$A$5:$AS$24,28,0)</f>
        <v xml:space="preserve"> G 6</v>
      </c>
      <c r="E317" s="78"/>
      <c r="F317" s="77">
        <f>VLOOKUP(Q291,[95]Base_03!$A$5:$AS$24,30,0)</f>
        <v>55</v>
      </c>
      <c r="G317" s="77"/>
      <c r="H317" s="23" t="s">
        <v>124</v>
      </c>
      <c r="I317" s="72" t="s">
        <v>129</v>
      </c>
      <c r="J317" s="73"/>
      <c r="K317" s="73" t="s">
        <v>119</v>
      </c>
      <c r="L317" s="78" t="str">
        <f>VLOOKUP(Q291,[95]Base_04!$A$5:$AS$24,28,0)</f>
        <v xml:space="preserve"> G 6</v>
      </c>
      <c r="M317" s="78"/>
      <c r="N317" s="77">
        <f>VLOOKUP(Q291,[95]Base_04!$A$5:$AS$24,30,0)</f>
        <v>55</v>
      </c>
      <c r="O317" s="77"/>
      <c r="P317" s="37" t="s">
        <v>124</v>
      </c>
      <c r="Q317" s="23" t="s">
        <v>123</v>
      </c>
      <c r="R317" s="23"/>
      <c r="S317" s="23"/>
      <c r="T317" s="23"/>
      <c r="U317" s="23"/>
      <c r="V317" s="21"/>
      <c r="W317" s="21"/>
      <c r="X317" s="21"/>
      <c r="Y317" s="21"/>
    </row>
    <row r="318" spans="1:25" x14ac:dyDescent="0.2">
      <c r="A318" s="72" t="s">
        <v>128</v>
      </c>
      <c r="B318" s="73"/>
      <c r="C318" s="73" t="s">
        <v>119</v>
      </c>
      <c r="D318" s="78" t="str">
        <f>VLOOKUP(Q291,[95]Base_03!$A$5:$AS$24,31,0)</f>
        <v>H 6</v>
      </c>
      <c r="E318" s="78"/>
      <c r="F318" s="77">
        <f>VLOOKUP(Q291,[95]Base_03!$A$5:$AS$24,34,0)</f>
        <v>-5.76</v>
      </c>
      <c r="G318" s="77"/>
      <c r="H318" s="23" t="s">
        <v>124</v>
      </c>
      <c r="I318" s="72" t="s">
        <v>128</v>
      </c>
      <c r="J318" s="73"/>
      <c r="K318" s="73" t="s">
        <v>119</v>
      </c>
      <c r="L318" s="78" t="str">
        <f>VLOOKUP(Q291,[95]Base_04!$A$5:$AS$24,31,0)</f>
        <v>H 6</v>
      </c>
      <c r="M318" s="78"/>
      <c r="N318" s="77">
        <f>VLOOKUP(Q291,[95]Base_04!$A$5:$AS$24,34,0)</f>
        <v>-5.76</v>
      </c>
      <c r="O318" s="77"/>
      <c r="P318" s="37" t="s">
        <v>124</v>
      </c>
      <c r="Q318" s="23" t="s">
        <v>123</v>
      </c>
      <c r="R318" s="23"/>
      <c r="S318" s="23"/>
      <c r="T318" s="23"/>
      <c r="U318" s="23"/>
      <c r="V318" s="21"/>
      <c r="W318" s="21"/>
      <c r="X318" s="21"/>
      <c r="Y318" s="21"/>
    </row>
    <row r="319" spans="1:25" x14ac:dyDescent="0.2">
      <c r="A319" s="89" t="s">
        <v>127</v>
      </c>
      <c r="B319" s="90"/>
      <c r="C319" s="90" t="s">
        <v>119</v>
      </c>
      <c r="D319" s="91" t="str">
        <f>VLOOKUP(Q291,[95]Base_03!$A$5:$AS$24,35,0)</f>
        <v>Kayu</v>
      </c>
      <c r="E319" s="91"/>
      <c r="F319" s="92">
        <f>VLOOKUP(Q291,[95]Base_03!$A$5:$AS$24,36,0)</f>
        <v>5.76</v>
      </c>
      <c r="G319" s="92"/>
      <c r="H319" s="23" t="s">
        <v>124</v>
      </c>
      <c r="I319" s="89" t="s">
        <v>127</v>
      </c>
      <c r="J319" s="90"/>
      <c r="K319" s="90" t="s">
        <v>119</v>
      </c>
      <c r="L319" s="91" t="str">
        <f>VLOOKUP(Q291,[95]Base_04!$A$5:$AS$24,35,0)</f>
        <v>Kayu</v>
      </c>
      <c r="M319" s="91"/>
      <c r="N319" s="92">
        <f>VLOOKUP(Q291,[95]Base_04!$A$5:$AS$24,36,0)</f>
        <v>5.76</v>
      </c>
      <c r="O319" s="92"/>
      <c r="P319" s="37" t="s">
        <v>124</v>
      </c>
      <c r="Q319" s="23" t="s">
        <v>123</v>
      </c>
      <c r="R319" s="23"/>
      <c r="S319" s="23"/>
      <c r="T319" s="23"/>
      <c r="U319" s="23"/>
      <c r="V319" s="21"/>
      <c r="W319" s="21"/>
      <c r="X319" s="21"/>
      <c r="Y319" s="21"/>
    </row>
    <row r="320" spans="1:25" x14ac:dyDescent="0.2">
      <c r="A320" s="74" t="s">
        <v>126</v>
      </c>
      <c r="B320" s="75"/>
      <c r="C320" s="75"/>
      <c r="D320" s="91"/>
      <c r="E320" s="91"/>
      <c r="F320" s="92"/>
      <c r="G320" s="92"/>
      <c r="H320" s="23"/>
      <c r="I320" s="74" t="s">
        <v>126</v>
      </c>
      <c r="J320" s="75"/>
      <c r="K320" s="75"/>
      <c r="L320" s="91"/>
      <c r="M320" s="91"/>
      <c r="N320" s="92"/>
      <c r="O320" s="92"/>
      <c r="P320" s="37"/>
      <c r="Q320" s="23"/>
      <c r="R320" s="23"/>
      <c r="S320" s="23"/>
      <c r="T320" s="23"/>
      <c r="U320" s="23"/>
      <c r="V320" s="21"/>
      <c r="W320" s="21"/>
      <c r="X320" s="21"/>
      <c r="Y320" s="21"/>
    </row>
    <row r="321" spans="1:25" x14ac:dyDescent="0.2">
      <c r="A321" s="72" t="s">
        <v>125</v>
      </c>
      <c r="B321" s="73"/>
      <c r="C321" s="73" t="s">
        <v>119</v>
      </c>
      <c r="D321" s="78" t="str">
        <f>VLOOKUP(Q291,[95]Base_03!$A$5:$AS$24,39,0)</f>
        <v>R 6</v>
      </c>
      <c r="E321" s="78"/>
      <c r="F321" s="77">
        <f>VLOOKUP(Q291,[95]Base_03!$A$5:$AS$24,40,0)</f>
        <v>36</v>
      </c>
      <c r="G321" s="77"/>
      <c r="H321" s="23" t="s">
        <v>124</v>
      </c>
      <c r="I321" s="72" t="s">
        <v>125</v>
      </c>
      <c r="J321" s="73"/>
      <c r="K321" s="73" t="s">
        <v>119</v>
      </c>
      <c r="L321" s="78" t="str">
        <f>VLOOKUP(Q291,[95]Base_04!$A$5:$AS$24,39,0)</f>
        <v>R 6</v>
      </c>
      <c r="M321" s="78"/>
      <c r="N321" s="77">
        <f>VLOOKUP(Q291,[95]Base_04!$A$5:$AS$24,40,0)</f>
        <v>49</v>
      </c>
      <c r="O321" s="77"/>
      <c r="P321" s="37" t="s">
        <v>124</v>
      </c>
      <c r="Q321" s="23" t="s">
        <v>123</v>
      </c>
      <c r="R321" s="23"/>
      <c r="S321" s="23"/>
      <c r="T321" s="23"/>
      <c r="U321" s="23"/>
      <c r="V321" s="21"/>
      <c r="W321" s="21"/>
      <c r="X321" s="21"/>
      <c r="Y321" s="21"/>
    </row>
    <row r="322" spans="1:25" x14ac:dyDescent="0.2">
      <c r="A322" s="39"/>
      <c r="B322" s="23"/>
      <c r="C322" s="23"/>
      <c r="D322" s="23"/>
      <c r="E322" s="23"/>
      <c r="F322" s="23"/>
      <c r="G322" s="23"/>
      <c r="H322" s="23"/>
      <c r="I322" s="39"/>
      <c r="J322" s="45"/>
      <c r="K322" s="45"/>
      <c r="L322" s="45"/>
      <c r="M322" s="23"/>
      <c r="N322" s="30"/>
      <c r="O322" s="23"/>
      <c r="P322" s="37"/>
      <c r="Q322" s="23"/>
      <c r="R322" s="23"/>
      <c r="S322" s="23"/>
      <c r="T322" s="23"/>
      <c r="U322" s="23"/>
      <c r="V322" s="21"/>
      <c r="W322" s="21"/>
      <c r="X322" s="21"/>
      <c r="Y322" s="21"/>
    </row>
    <row r="323" spans="1:25" x14ac:dyDescent="0.2">
      <c r="A323" s="72" t="s">
        <v>122</v>
      </c>
      <c r="B323" s="73"/>
      <c r="C323" s="73" t="s">
        <v>112</v>
      </c>
      <c r="D323" s="76">
        <f>VLOOKUP(Q291,[95]Base_03!$A$5:$AS$24,42,0)</f>
        <v>6.666666666666667</v>
      </c>
      <c r="E323" s="76"/>
      <c r="F323" s="25" t="s">
        <v>118</v>
      </c>
      <c r="G323" s="23"/>
      <c r="H323" s="23"/>
      <c r="I323" s="72" t="s">
        <v>122</v>
      </c>
      <c r="J323" s="73"/>
      <c r="K323" s="73" t="s">
        <v>112</v>
      </c>
      <c r="L323" s="76">
        <f>VLOOKUP(Q291,[95]Base_04!$A$5:$AS$24,42,0)</f>
        <v>4.8979591836734695</v>
      </c>
      <c r="M323" s="76"/>
      <c r="N323" s="46" t="s">
        <v>118</v>
      </c>
      <c r="O323" s="23"/>
      <c r="P323" s="37"/>
      <c r="Q323" s="32" t="s">
        <v>121</v>
      </c>
      <c r="R323" s="23"/>
      <c r="S323" s="23"/>
      <c r="T323" s="23"/>
      <c r="U323" s="23"/>
      <c r="V323" s="21"/>
      <c r="W323" s="21"/>
      <c r="X323" s="21"/>
      <c r="Y323" s="21"/>
    </row>
    <row r="324" spans="1:25" x14ac:dyDescent="0.2">
      <c r="A324" s="72" t="s">
        <v>120</v>
      </c>
      <c r="B324" s="73"/>
      <c r="C324" s="73" t="s">
        <v>119</v>
      </c>
      <c r="D324" s="76">
        <f>VLOOKUP(Q291,[95]Base_03!$A$5:$AS$24,43,0)</f>
        <v>9.6666666666666661</v>
      </c>
      <c r="E324" s="76"/>
      <c r="F324" s="25" t="s">
        <v>118</v>
      </c>
      <c r="G324" s="23"/>
      <c r="H324" s="23"/>
      <c r="I324" s="72" t="s">
        <v>120</v>
      </c>
      <c r="J324" s="73"/>
      <c r="K324" s="73" t="s">
        <v>119</v>
      </c>
      <c r="L324" s="76">
        <f>VLOOKUP(Q291,[95]Base_04!$A$5:$AS$24,43,0)</f>
        <v>7.1020408163265314</v>
      </c>
      <c r="M324" s="76"/>
      <c r="N324" s="46" t="s">
        <v>118</v>
      </c>
      <c r="O324" s="23"/>
      <c r="P324" s="37"/>
      <c r="Q324" s="32" t="s">
        <v>117</v>
      </c>
      <c r="R324" s="23"/>
      <c r="S324" s="23"/>
      <c r="T324" s="23"/>
      <c r="U324" s="23"/>
      <c r="V324" s="21"/>
      <c r="W324" s="21"/>
      <c r="X324" s="21"/>
      <c r="Y324" s="21"/>
    </row>
    <row r="325" spans="1:25" x14ac:dyDescent="0.2">
      <c r="A325" s="72" t="s">
        <v>115</v>
      </c>
      <c r="B325" s="73"/>
      <c r="C325" s="73"/>
      <c r="D325" s="71" t="str">
        <f>VLOOKUP(Q291,[95]Base_03!$A$5:$AS$24,44,0)</f>
        <v>(Ada) Baik</v>
      </c>
      <c r="E325" s="71"/>
      <c r="F325" s="23"/>
      <c r="G325" s="23"/>
      <c r="H325" s="23"/>
      <c r="I325" s="72" t="s">
        <v>115</v>
      </c>
      <c r="J325" s="73"/>
      <c r="K325" s="73"/>
      <c r="L325" s="71" t="str">
        <f>VLOOKUP(Q291,[95]Base_04!$A$5:$AS$24,44,0)</f>
        <v>(Ada) Baik</v>
      </c>
      <c r="M325" s="71"/>
      <c r="N325" s="30"/>
      <c r="O325" s="23"/>
      <c r="P325" s="37"/>
      <c r="Q325" s="23"/>
      <c r="R325" s="23"/>
      <c r="S325" s="23"/>
      <c r="T325" s="23"/>
      <c r="U325" s="23"/>
      <c r="V325" s="21"/>
      <c r="W325" s="21"/>
      <c r="X325" s="21"/>
      <c r="Y325" s="21"/>
    </row>
    <row r="326" spans="1:25" x14ac:dyDescent="0.2">
      <c r="A326" s="74" t="s">
        <v>116</v>
      </c>
      <c r="B326" s="75"/>
      <c r="C326" s="26"/>
      <c r="D326" s="25"/>
      <c r="E326" s="25"/>
      <c r="F326" s="23"/>
      <c r="G326" s="23"/>
      <c r="H326" s="23"/>
      <c r="I326" s="74" t="s">
        <v>116</v>
      </c>
      <c r="J326" s="75"/>
      <c r="K326" s="26"/>
      <c r="L326" s="25"/>
      <c r="M326" s="25"/>
      <c r="N326" s="30"/>
      <c r="O326" s="23"/>
      <c r="P326" s="37"/>
      <c r="Q326" s="23"/>
      <c r="R326" s="23"/>
      <c r="S326" s="23"/>
      <c r="T326" s="23"/>
      <c r="U326" s="23"/>
      <c r="V326" s="21"/>
      <c r="W326" s="21"/>
      <c r="X326" s="21"/>
      <c r="Y326" s="21"/>
    </row>
    <row r="327" spans="1:25" x14ac:dyDescent="0.2">
      <c r="A327" s="72" t="s">
        <v>115</v>
      </c>
      <c r="B327" s="73"/>
      <c r="C327" s="73"/>
      <c r="D327" s="71" t="str">
        <f>VLOOKUP(Q291,[95]Base_03!$A$5:$AS$24,45,0)</f>
        <v>Air Pam (Baik)</v>
      </c>
      <c r="E327" s="71"/>
      <c r="F327" s="23"/>
      <c r="G327" s="23"/>
      <c r="H327" s="23"/>
      <c r="I327" s="72" t="s">
        <v>115</v>
      </c>
      <c r="J327" s="73"/>
      <c r="K327" s="73"/>
      <c r="L327" s="71" t="str">
        <f>VLOOKUP(Q291,[95]Base_04!$A$5:$AS$24,45,0)</f>
        <v>Air Pam (Baik)</v>
      </c>
      <c r="M327" s="71"/>
      <c r="N327" s="30"/>
      <c r="O327" s="23"/>
      <c r="P327" s="37"/>
      <c r="Q327" s="23"/>
      <c r="R327" s="23"/>
      <c r="S327" s="23"/>
      <c r="T327" s="23"/>
      <c r="U327" s="23"/>
      <c r="V327" s="21"/>
      <c r="W327" s="21"/>
      <c r="X327" s="21"/>
      <c r="Y327" s="21"/>
    </row>
    <row r="328" spans="1:25" x14ac:dyDescent="0.2">
      <c r="A328" s="74" t="s">
        <v>114</v>
      </c>
      <c r="B328" s="75"/>
      <c r="C328" s="26"/>
      <c r="D328" s="25"/>
      <c r="E328" s="25"/>
      <c r="F328" s="23"/>
      <c r="G328" s="23"/>
      <c r="H328" s="23"/>
      <c r="I328" s="74" t="s">
        <v>114</v>
      </c>
      <c r="J328" s="75"/>
      <c r="K328" s="26"/>
      <c r="L328" s="25"/>
      <c r="M328" s="25"/>
      <c r="N328" s="30"/>
      <c r="O328" s="23"/>
      <c r="P328" s="37"/>
      <c r="Q328" s="23"/>
      <c r="R328" s="23"/>
      <c r="S328" s="23"/>
      <c r="T328" s="23"/>
      <c r="U328" s="23"/>
      <c r="V328" s="21"/>
      <c r="W328" s="21"/>
      <c r="X328" s="21"/>
      <c r="Y328" s="21"/>
    </row>
    <row r="329" spans="1:25" x14ac:dyDescent="0.2">
      <c r="A329" s="36" t="s">
        <v>113</v>
      </c>
      <c r="B329" s="23"/>
      <c r="C329" s="26" t="s">
        <v>112</v>
      </c>
      <c r="D329" s="71">
        <f>VLOOKUP(Q291,[94]Base_02!$A$5:$S$24,18,0)</f>
        <v>-7.4752999999999998</v>
      </c>
      <c r="E329" s="71"/>
      <c r="F329" s="23" t="str">
        <f>IF(D329&gt;0,"LU","LS")</f>
        <v>LS</v>
      </c>
      <c r="G329" s="23"/>
      <c r="H329" s="23"/>
      <c r="I329" s="36" t="s">
        <v>113</v>
      </c>
      <c r="J329" s="26"/>
      <c r="K329" s="26" t="s">
        <v>112</v>
      </c>
      <c r="L329" s="71">
        <f>D329</f>
        <v>-7.4752999999999998</v>
      </c>
      <c r="M329" s="71"/>
      <c r="N329" s="23" t="str">
        <f>IF(L329&gt;0,"LU","LS")</f>
        <v>LS</v>
      </c>
      <c r="O329" s="23"/>
      <c r="P329" s="37"/>
      <c r="Q329" s="23"/>
      <c r="R329" s="23"/>
      <c r="S329" s="23"/>
      <c r="T329" s="23"/>
      <c r="U329" s="23"/>
      <c r="V329" s="21"/>
      <c r="W329" s="21"/>
      <c r="X329" s="21"/>
      <c r="Y329" s="21"/>
    </row>
    <row r="330" spans="1:25" x14ac:dyDescent="0.2">
      <c r="A330" s="42"/>
      <c r="B330" s="43"/>
      <c r="C330" s="44" t="s">
        <v>111</v>
      </c>
      <c r="D330" s="70">
        <f>VLOOKUP(Q291,[94]Base_02!$A$5:$S$24,19,0)</f>
        <v>109.5591</v>
      </c>
      <c r="E330" s="70"/>
      <c r="F330" s="43" t="s">
        <v>110</v>
      </c>
      <c r="G330" s="43"/>
      <c r="H330" s="43"/>
      <c r="I330" s="42"/>
      <c r="J330" s="43"/>
      <c r="K330" s="43"/>
      <c r="L330" s="70">
        <f>D330</f>
        <v>109.5591</v>
      </c>
      <c r="M330" s="70"/>
      <c r="N330" s="47" t="s">
        <v>110</v>
      </c>
      <c r="O330" s="44"/>
      <c r="P330" s="53"/>
      <c r="Q330" s="23"/>
      <c r="R330" s="23"/>
      <c r="S330" s="23"/>
      <c r="T330" s="23"/>
      <c r="U330" s="23"/>
      <c r="V330" s="21"/>
      <c r="W330" s="21"/>
      <c r="X330" s="21"/>
      <c r="Y330" s="21"/>
    </row>
    <row r="331" spans="1:25" x14ac:dyDescent="0.2">
      <c r="A331" s="23"/>
      <c r="B331" s="23"/>
      <c r="C331" s="26"/>
      <c r="D331" s="23"/>
      <c r="E331" s="23"/>
      <c r="F331" s="23"/>
      <c r="G331" s="23"/>
      <c r="H331" s="23"/>
      <c r="I331" s="23"/>
      <c r="J331" s="23"/>
      <c r="K331" s="25"/>
      <c r="L331" s="25"/>
      <c r="M331" s="30"/>
      <c r="N331" s="23"/>
      <c r="O331" s="23"/>
      <c r="P331" s="23"/>
      <c r="Q331" s="23"/>
      <c r="R331" s="23"/>
      <c r="S331" s="23"/>
      <c r="T331" s="23"/>
      <c r="U331" s="23"/>
      <c r="V331" s="23"/>
      <c r="W331" s="23"/>
      <c r="X331" s="23"/>
      <c r="Y331" s="23"/>
    </row>
    <row r="332" spans="1:25" x14ac:dyDescent="0.2">
      <c r="A332" s="23"/>
      <c r="B332" s="23"/>
      <c r="C332" s="23"/>
      <c r="D332" s="23"/>
      <c r="E332" s="23"/>
      <c r="F332" s="23"/>
      <c r="G332" s="23"/>
      <c r="H332" s="23"/>
      <c r="I332" s="23"/>
      <c r="J332" s="23"/>
      <c r="K332" s="23"/>
      <c r="L332" s="23"/>
      <c r="M332" s="30"/>
      <c r="N332" s="23"/>
      <c r="O332" s="23"/>
      <c r="P332" s="23"/>
      <c r="Q332" s="23"/>
      <c r="R332" s="23"/>
      <c r="S332" s="23"/>
      <c r="T332" s="23"/>
      <c r="U332" s="23"/>
      <c r="V332" s="23"/>
      <c r="W332" s="23"/>
      <c r="X332" s="23"/>
      <c r="Y332" s="23"/>
    </row>
    <row r="333" spans="1:25" x14ac:dyDescent="0.2">
      <c r="A333" s="23"/>
      <c r="B333" s="23"/>
      <c r="C333" s="23"/>
      <c r="D333" s="23"/>
      <c r="E333" s="23"/>
      <c r="F333" s="23"/>
      <c r="G333" s="23"/>
      <c r="H333" s="23"/>
      <c r="I333" s="23"/>
      <c r="J333" s="23"/>
      <c r="K333" s="23"/>
      <c r="L333" s="71" t="str">
        <f>[94]Base_01!$C$4&amp;", …..  …........................  2026"</f>
        <v>Sorong, …..  …........................  2026</v>
      </c>
      <c r="M333" s="71"/>
      <c r="N333" s="71"/>
      <c r="O333" s="71"/>
      <c r="P333" s="71"/>
      <c r="Q333" s="23"/>
      <c r="R333" s="23"/>
      <c r="S333" s="23"/>
      <c r="T333" s="23"/>
      <c r="U333" s="23"/>
      <c r="V333" s="23"/>
      <c r="W333" s="23"/>
      <c r="X333" s="23"/>
      <c r="Y333" s="23"/>
    </row>
    <row r="334" spans="1:25" x14ac:dyDescent="0.2">
      <c r="A334" s="71" t="s">
        <v>108</v>
      </c>
      <c r="B334" s="71"/>
      <c r="C334" s="71"/>
      <c r="D334" s="71"/>
      <c r="E334" s="71"/>
      <c r="F334" s="71"/>
      <c r="G334" s="23"/>
      <c r="H334" s="23"/>
      <c r="I334" s="23"/>
      <c r="J334" s="23"/>
      <c r="K334" s="23"/>
      <c r="L334" s="71" t="s">
        <v>152</v>
      </c>
      <c r="M334" s="71"/>
      <c r="N334" s="71"/>
      <c r="O334" s="71"/>
      <c r="P334" s="71"/>
      <c r="Q334" s="23"/>
      <c r="R334" s="23"/>
      <c r="S334" s="23"/>
      <c r="T334" s="23"/>
      <c r="U334" s="23"/>
      <c r="V334" s="23"/>
      <c r="W334" s="23"/>
      <c r="X334" s="23"/>
      <c r="Y334" s="23"/>
    </row>
    <row r="335" spans="1:25" x14ac:dyDescent="0.2">
      <c r="A335" s="71" t="s">
        <v>153</v>
      </c>
      <c r="B335" s="71"/>
      <c r="C335" s="71"/>
      <c r="D335" s="71"/>
      <c r="E335" s="71"/>
      <c r="F335" s="71"/>
      <c r="G335" s="23"/>
      <c r="H335" s="23"/>
      <c r="I335" s="23"/>
      <c r="J335" s="23"/>
      <c r="K335" s="23"/>
      <c r="L335" s="71" t="s">
        <v>107</v>
      </c>
      <c r="M335" s="71"/>
      <c r="N335" s="71"/>
      <c r="O335" s="71"/>
      <c r="P335" s="71"/>
      <c r="Q335" s="23"/>
      <c r="R335" s="23"/>
      <c r="S335" s="23"/>
      <c r="T335" s="23"/>
      <c r="U335" s="23"/>
      <c r="V335" s="23"/>
      <c r="W335" s="23"/>
      <c r="X335" s="23"/>
      <c r="Y335" s="23"/>
    </row>
    <row r="336" spans="1:25" x14ac:dyDescent="0.2">
      <c r="A336" s="23"/>
      <c r="B336" s="23"/>
      <c r="C336" s="23"/>
      <c r="D336" s="23"/>
      <c r="E336" s="23"/>
      <c r="F336" s="23"/>
      <c r="G336" s="23"/>
      <c r="H336" s="23"/>
      <c r="I336" s="23"/>
      <c r="J336" s="23"/>
      <c r="K336" s="23"/>
      <c r="L336" s="23"/>
      <c r="M336" s="30"/>
      <c r="N336" s="23"/>
      <c r="O336" s="23"/>
      <c r="P336" s="23"/>
      <c r="Q336" s="23"/>
      <c r="R336" s="23"/>
      <c r="S336" s="23"/>
      <c r="T336" s="23"/>
      <c r="U336" s="23"/>
      <c r="V336" s="23"/>
      <c r="W336" s="23"/>
      <c r="X336" s="23"/>
      <c r="Y336" s="23"/>
    </row>
    <row r="337" spans="1:25" x14ac:dyDescent="0.2">
      <c r="A337" s="23"/>
      <c r="B337" s="23"/>
      <c r="C337" s="23"/>
      <c r="D337" s="23"/>
      <c r="E337" s="23"/>
      <c r="F337" s="23"/>
      <c r="G337" s="23"/>
      <c r="H337" s="23"/>
      <c r="I337" s="23"/>
      <c r="J337" s="23"/>
      <c r="K337" s="23"/>
      <c r="L337" s="23"/>
      <c r="M337" s="30"/>
      <c r="N337" s="23"/>
      <c r="O337" s="23"/>
      <c r="P337" s="23"/>
      <c r="Q337" s="23"/>
      <c r="R337" s="23"/>
      <c r="S337" s="23"/>
      <c r="T337" s="23"/>
      <c r="U337" s="23"/>
      <c r="V337" s="23"/>
      <c r="W337" s="23"/>
      <c r="X337" s="23"/>
      <c r="Y337" s="23"/>
    </row>
    <row r="338" spans="1:25" x14ac:dyDescent="0.2">
      <c r="A338" s="23"/>
      <c r="B338" s="23"/>
      <c r="C338" s="23"/>
      <c r="D338" s="23"/>
      <c r="E338" s="23"/>
      <c r="F338" s="23"/>
      <c r="G338" s="23"/>
      <c r="H338" s="23"/>
      <c r="I338" s="23"/>
      <c r="J338" s="23"/>
      <c r="K338" s="23"/>
      <c r="L338" s="23"/>
      <c r="M338" s="30"/>
      <c r="N338" s="23"/>
      <c r="O338" s="23"/>
      <c r="P338" s="23"/>
      <c r="Q338" s="23"/>
      <c r="R338" s="23"/>
      <c r="S338" s="23"/>
      <c r="T338" s="23"/>
      <c r="U338" s="23"/>
      <c r="V338" s="23"/>
      <c r="W338" s="23"/>
      <c r="X338" s="23"/>
      <c r="Y338" s="23"/>
    </row>
    <row r="339" spans="1:25" x14ac:dyDescent="0.2">
      <c r="A339" s="23"/>
      <c r="B339" s="23"/>
      <c r="C339" s="23"/>
      <c r="D339" s="23"/>
      <c r="E339" s="23"/>
      <c r="F339" s="23"/>
      <c r="G339" s="23"/>
      <c r="H339" s="23"/>
      <c r="I339" s="23"/>
      <c r="J339" s="23"/>
      <c r="K339" s="23"/>
      <c r="L339" s="23"/>
      <c r="M339" s="30"/>
      <c r="N339" s="23"/>
      <c r="O339" s="23"/>
      <c r="P339" s="23"/>
      <c r="Q339" s="23"/>
      <c r="R339" s="23"/>
      <c r="S339" s="23"/>
      <c r="T339" s="23"/>
      <c r="U339" s="23"/>
      <c r="V339" s="23"/>
      <c r="W339" s="23"/>
      <c r="X339" s="23"/>
      <c r="Y339" s="23"/>
    </row>
    <row r="340" spans="1:25" x14ac:dyDescent="0.2">
      <c r="A340" s="87" t="str">
        <f>[94]Base_02!$C$28</f>
        <v>Nama PB 1</v>
      </c>
      <c r="B340" s="87"/>
      <c r="C340" s="87"/>
      <c r="D340" s="87"/>
      <c r="E340" s="87"/>
      <c r="F340" s="87"/>
      <c r="G340" s="23"/>
      <c r="H340" s="23"/>
      <c r="I340" s="23"/>
      <c r="J340" s="23"/>
      <c r="K340" s="23"/>
      <c r="L340" s="71" t="str">
        <f>E296</f>
        <v>Nama PB 6</v>
      </c>
      <c r="M340" s="71"/>
      <c r="N340" s="71"/>
      <c r="O340" s="71"/>
      <c r="P340" s="71"/>
      <c r="Q340" s="23"/>
      <c r="R340" s="23"/>
      <c r="S340" s="23"/>
      <c r="T340" s="23"/>
      <c r="U340" s="23"/>
      <c r="V340" s="23"/>
      <c r="W340" s="23"/>
      <c r="X340" s="23"/>
      <c r="Y340" s="23"/>
    </row>
    <row r="341" spans="1:25" x14ac:dyDescent="0.2">
      <c r="A341" s="23"/>
      <c r="B341" s="23"/>
      <c r="C341" s="23"/>
      <c r="D341" s="23"/>
      <c r="E341" s="23"/>
      <c r="F341" s="23"/>
      <c r="G341" s="23"/>
      <c r="H341" s="23"/>
      <c r="I341" s="23"/>
      <c r="J341" s="23"/>
      <c r="K341" s="23"/>
      <c r="L341" s="23"/>
      <c r="M341" s="30"/>
      <c r="N341" s="23"/>
      <c r="O341" s="23"/>
      <c r="P341" s="23"/>
      <c r="Q341" s="23"/>
      <c r="R341" s="23"/>
      <c r="S341" s="23"/>
      <c r="T341" s="23"/>
      <c r="U341" s="23"/>
      <c r="V341" s="23"/>
      <c r="W341" s="23"/>
      <c r="X341" s="23"/>
      <c r="Y341" s="23"/>
    </row>
    <row r="342" spans="1:25" x14ac:dyDescent="0.2">
      <c r="A342" s="87" t="s">
        <v>109</v>
      </c>
      <c r="B342" s="87"/>
      <c r="C342" s="87"/>
      <c r="D342" s="87"/>
      <c r="E342" s="87"/>
      <c r="F342" s="87"/>
      <c r="G342" s="23"/>
      <c r="H342" s="23"/>
      <c r="I342" s="29"/>
      <c r="J342" s="24"/>
      <c r="K342" s="24"/>
      <c r="L342" s="88" t="s">
        <v>92</v>
      </c>
      <c r="M342" s="88"/>
      <c r="N342" s="88"/>
      <c r="O342" s="88"/>
      <c r="P342" s="88"/>
      <c r="Q342" s="23"/>
      <c r="R342" s="23"/>
      <c r="S342" s="23"/>
      <c r="T342" s="23"/>
      <c r="U342" s="23"/>
      <c r="V342" s="23"/>
      <c r="W342" s="23"/>
      <c r="X342" s="23"/>
      <c r="Y342" s="23"/>
    </row>
    <row r="343" spans="1:25" x14ac:dyDescent="0.2">
      <c r="A343" s="68" t="s">
        <v>91</v>
      </c>
      <c r="B343" s="68"/>
      <c r="C343" s="68"/>
      <c r="D343" s="68"/>
      <c r="E343" s="68"/>
      <c r="F343" s="68"/>
      <c r="I343" s="28"/>
      <c r="J343" s="28"/>
      <c r="K343" s="28"/>
      <c r="L343" s="69" t="str">
        <f>[94]Base_01!$B$17&amp;" "&amp;[94]Base_01!$C$4</f>
        <v>Koordinator Kota Sorong</v>
      </c>
      <c r="M343" s="69"/>
      <c r="N343" s="69"/>
      <c r="O343" s="69"/>
      <c r="P343" s="69"/>
      <c r="Q343" s="23"/>
      <c r="R343" s="23"/>
      <c r="S343" s="23"/>
      <c r="T343" s="23"/>
      <c r="U343" s="23"/>
      <c r="V343" s="23"/>
      <c r="W343" s="23"/>
      <c r="X343" s="23"/>
      <c r="Y343" s="23"/>
    </row>
    <row r="344" spans="1:25" x14ac:dyDescent="0.2">
      <c r="M344" s="27"/>
      <c r="Q344" s="23"/>
      <c r="R344" s="23"/>
      <c r="S344" s="23"/>
      <c r="T344" s="23"/>
      <c r="U344" s="23"/>
      <c r="V344" s="23"/>
      <c r="W344" s="23"/>
      <c r="X344" s="23"/>
      <c r="Y344" s="23"/>
    </row>
    <row r="345" spans="1:25" x14ac:dyDescent="0.2">
      <c r="M345" s="27"/>
      <c r="Q345" s="23"/>
      <c r="R345" s="23"/>
      <c r="S345" s="23"/>
      <c r="T345" s="23"/>
      <c r="U345" s="23"/>
      <c r="V345" s="23"/>
      <c r="W345" s="23"/>
      <c r="X345" s="23"/>
      <c r="Y345" s="23"/>
    </row>
    <row r="346" spans="1:25" x14ac:dyDescent="0.2">
      <c r="M346" s="27"/>
      <c r="Q346" s="23"/>
      <c r="R346" s="23"/>
      <c r="S346" s="23"/>
      <c r="T346" s="23"/>
      <c r="U346" s="23"/>
      <c r="V346" s="23"/>
      <c r="W346" s="23"/>
      <c r="X346" s="23"/>
      <c r="Y346" s="23"/>
    </row>
    <row r="347" spans="1:25" x14ac:dyDescent="0.2">
      <c r="M347" s="27"/>
      <c r="Q347" s="23"/>
      <c r="R347" s="23"/>
      <c r="S347" s="23"/>
      <c r="T347" s="23"/>
      <c r="U347" s="23"/>
      <c r="V347" s="23"/>
      <c r="W347" s="23"/>
      <c r="X347" s="23"/>
      <c r="Y347" s="23"/>
    </row>
    <row r="348" spans="1:25" x14ac:dyDescent="0.2">
      <c r="A348" s="68" t="str">
        <f>[94]Base_01!$C$20</f>
        <v>…...............         …...............</v>
      </c>
      <c r="B348" s="68"/>
      <c r="C348" s="68"/>
      <c r="D348" s="68"/>
      <c r="E348" s="68"/>
      <c r="F348" s="68"/>
      <c r="L348" s="68" t="str">
        <f>[94]Base_01!$C$17</f>
        <v>AfrIandi Yudhistira, S.T.</v>
      </c>
      <c r="M348" s="68"/>
      <c r="N348" s="68"/>
      <c r="O348" s="68"/>
      <c r="P348" s="68"/>
      <c r="Q348" s="23"/>
      <c r="R348" s="23"/>
      <c r="S348" s="23"/>
      <c r="T348" s="23"/>
      <c r="U348" s="23"/>
      <c r="V348" s="23"/>
      <c r="W348" s="23"/>
      <c r="X348" s="23"/>
      <c r="Y348" s="23"/>
    </row>
    <row r="349" spans="1:25" x14ac:dyDescent="0.2">
      <c r="A349" s="86" t="s">
        <v>149</v>
      </c>
      <c r="B349" s="86"/>
      <c r="C349" s="86"/>
      <c r="D349" s="86"/>
      <c r="E349" s="86"/>
      <c r="F349" s="86"/>
      <c r="G349" s="86"/>
      <c r="H349" s="86"/>
      <c r="I349" s="86"/>
      <c r="J349" s="86"/>
      <c r="K349" s="86"/>
      <c r="L349" s="86"/>
      <c r="M349" s="86"/>
      <c r="N349" s="86"/>
      <c r="O349" s="86"/>
      <c r="P349" s="86"/>
      <c r="Q349" s="23">
        <f>Q291+1</f>
        <v>7</v>
      </c>
      <c r="R349" s="23"/>
      <c r="S349" s="23"/>
      <c r="T349" s="23"/>
      <c r="U349" s="23"/>
      <c r="V349" s="23"/>
      <c r="W349" s="23"/>
      <c r="X349" s="23"/>
      <c r="Y349" s="23"/>
    </row>
    <row r="350" spans="1:25" x14ac:dyDescent="0.2">
      <c r="A350" s="71" t="s">
        <v>148</v>
      </c>
      <c r="B350" s="71"/>
      <c r="C350" s="71"/>
      <c r="D350" s="71"/>
      <c r="E350" s="71"/>
      <c r="F350" s="71"/>
      <c r="G350" s="71"/>
      <c r="H350" s="71"/>
      <c r="I350" s="71"/>
      <c r="J350" s="71"/>
      <c r="K350" s="71"/>
      <c r="L350" s="71"/>
      <c r="M350" s="71"/>
      <c r="N350" s="71"/>
      <c r="O350" s="71"/>
      <c r="P350" s="71"/>
      <c r="Q350" s="23"/>
      <c r="R350" s="23"/>
      <c r="S350" s="23"/>
      <c r="T350" s="23"/>
      <c r="U350" s="23"/>
      <c r="V350" s="23"/>
      <c r="W350" s="23"/>
      <c r="X350" s="23"/>
      <c r="Y350" s="23"/>
    </row>
    <row r="351" spans="1:25" x14ac:dyDescent="0.2">
      <c r="A351" s="25"/>
      <c r="B351" s="25"/>
      <c r="C351" s="25"/>
      <c r="D351" s="25"/>
      <c r="E351" s="25"/>
      <c r="F351" s="25"/>
      <c r="G351" s="25"/>
      <c r="H351" s="25"/>
      <c r="I351" s="23"/>
      <c r="J351" s="24"/>
      <c r="K351" s="24"/>
      <c r="L351" s="24"/>
      <c r="M351" s="24"/>
      <c r="N351" s="24"/>
      <c r="O351" s="24"/>
      <c r="P351" s="24"/>
      <c r="Q351" s="23"/>
      <c r="R351" s="23"/>
      <c r="S351" s="23"/>
      <c r="T351" s="23"/>
      <c r="U351" s="23"/>
      <c r="V351" s="23"/>
      <c r="W351" s="23"/>
      <c r="X351" s="23"/>
      <c r="Y351" s="23"/>
    </row>
    <row r="352" spans="1:25" x14ac:dyDescent="0.2">
      <c r="A352" s="73" t="s">
        <v>147</v>
      </c>
      <c r="B352" s="73"/>
      <c r="C352" s="73"/>
      <c r="D352" s="73"/>
      <c r="E352" s="35" t="str">
        <f>VLOOKUP(Q349,[94]Base_02!$A$5:$AD$24,2,0)</f>
        <v>000007</v>
      </c>
      <c r="F352" s="23"/>
      <c r="G352" s="23"/>
      <c r="H352" s="24"/>
      <c r="I352" s="23"/>
      <c r="J352" s="24"/>
      <c r="K352" s="24"/>
      <c r="L352" s="24"/>
      <c r="M352" s="24"/>
      <c r="N352" s="24"/>
      <c r="O352" s="24"/>
      <c r="P352" s="24"/>
      <c r="Q352" s="23"/>
      <c r="R352" s="23"/>
      <c r="S352" s="23"/>
      <c r="T352" s="23"/>
      <c r="U352" s="23"/>
      <c r="V352" s="23"/>
      <c r="W352" s="23"/>
      <c r="X352" s="23"/>
      <c r="Y352" s="23"/>
    </row>
    <row r="353" spans="1:25" x14ac:dyDescent="0.2">
      <c r="A353" s="73" t="s">
        <v>68</v>
      </c>
      <c r="B353" s="73"/>
      <c r="C353" s="73"/>
      <c r="D353" s="73"/>
      <c r="E353" s="35" t="str">
        <f>VLOOKUP(Q349,[94]Base_02!$A$5:$AD$24,14,0)</f>
        <v>3304160101860004</v>
      </c>
      <c r="F353" s="23"/>
      <c r="G353" s="23"/>
      <c r="H353" s="24"/>
      <c r="I353" s="23"/>
      <c r="J353" s="24"/>
      <c r="K353" s="24"/>
      <c r="L353" s="24"/>
      <c r="M353" s="24"/>
      <c r="N353" s="24"/>
      <c r="O353" s="24"/>
      <c r="P353" s="24"/>
      <c r="Q353" s="23"/>
      <c r="R353" s="23"/>
      <c r="S353" s="23"/>
      <c r="T353" s="23"/>
      <c r="U353" s="23"/>
      <c r="V353" s="23"/>
      <c r="W353" s="23"/>
      <c r="X353" s="23"/>
      <c r="Y353" s="23"/>
    </row>
    <row r="354" spans="1:25" x14ac:dyDescent="0.2">
      <c r="A354" s="73" t="s">
        <v>150</v>
      </c>
      <c r="B354" s="73"/>
      <c r="C354" s="73"/>
      <c r="D354" s="73"/>
      <c r="E354" s="35" t="str">
        <f>VLOOKUP(Q349,[94]Base_02!$A$5:$AD$24,3,0)</f>
        <v>Nama PB 7</v>
      </c>
      <c r="F354" s="23"/>
      <c r="G354" s="23"/>
      <c r="H354" s="24"/>
      <c r="I354" s="23"/>
      <c r="J354" s="24"/>
      <c r="K354" s="24"/>
      <c r="L354" s="24"/>
      <c r="M354" s="24"/>
      <c r="N354" s="24"/>
      <c r="O354" s="24"/>
      <c r="P354" s="24"/>
      <c r="Q354" s="23"/>
      <c r="R354" s="23"/>
      <c r="S354" s="23"/>
      <c r="T354" s="23"/>
      <c r="U354" s="23"/>
      <c r="V354" s="23"/>
      <c r="W354" s="23"/>
      <c r="X354" s="23"/>
      <c r="Y354" s="23"/>
    </row>
    <row r="355" spans="1:25" x14ac:dyDescent="0.2">
      <c r="A355" s="73" t="s">
        <v>18</v>
      </c>
      <c r="B355" s="73"/>
      <c r="C355" s="73"/>
      <c r="D355" s="73"/>
      <c r="E355" s="35" t="str">
        <f>VLOOKUP(Q349,[94]Base_02!$A$5:$Z$24,11,FALSE)&amp;", RT "&amp;VLOOKUP(Q349,[94]Base_02!$A$5:$Z$24,12,FALSE)&amp;", RW "&amp;VLOOKUP(Q349,[94]Base_02!$A$5:$Z$24,13,FALSE)</f>
        <v>Jalan Kanal Victory, RT 1, RW 1</v>
      </c>
      <c r="F355" s="23"/>
      <c r="G355" s="23"/>
      <c r="H355" s="35"/>
      <c r="I355" s="23"/>
      <c r="J355" s="24"/>
      <c r="K355" s="24"/>
      <c r="L355" s="24"/>
      <c r="M355" s="24"/>
      <c r="N355" s="24"/>
      <c r="O355" s="24"/>
      <c r="P355" s="24"/>
      <c r="Q355" s="23"/>
      <c r="R355" s="23"/>
      <c r="S355" s="23"/>
      <c r="T355" s="23"/>
      <c r="U355" s="23"/>
      <c r="V355" s="23"/>
      <c r="W355" s="23"/>
      <c r="X355" s="23"/>
      <c r="Y355" s="23"/>
    </row>
    <row r="356" spans="1:25" x14ac:dyDescent="0.2">
      <c r="A356" s="73" t="str">
        <f>[94]Base_01!$B$2</f>
        <v>Kelurahan</v>
      </c>
      <c r="B356" s="73"/>
      <c r="C356" s="73"/>
      <c r="D356" s="73"/>
      <c r="E356" s="35" t="str">
        <f>[94]Base_01!$C$2</f>
        <v>Klasabi</v>
      </c>
      <c r="F356" s="23"/>
      <c r="G356" s="23"/>
      <c r="H356" s="24"/>
      <c r="I356" s="23"/>
      <c r="J356" s="24"/>
      <c r="K356" s="24"/>
      <c r="L356" s="24"/>
      <c r="M356" s="24"/>
      <c r="N356" s="24"/>
      <c r="O356" s="24"/>
      <c r="P356" s="24"/>
      <c r="Q356" s="23" t="s">
        <v>146</v>
      </c>
      <c r="R356" s="23"/>
      <c r="S356" s="23"/>
      <c r="T356" s="23"/>
      <c r="U356" s="23"/>
      <c r="V356" s="23"/>
      <c r="W356" s="23"/>
      <c r="X356" s="23"/>
      <c r="Y356" s="23"/>
    </row>
    <row r="357" spans="1:25" x14ac:dyDescent="0.2">
      <c r="A357" s="73" t="s">
        <v>19</v>
      </c>
      <c r="B357" s="73"/>
      <c r="C357" s="73"/>
      <c r="D357" s="73"/>
      <c r="E357" s="35" t="str">
        <f>[94]Base_01!$C$3</f>
        <v>Sorong Manoi</v>
      </c>
      <c r="F357" s="23"/>
      <c r="G357" s="23"/>
      <c r="H357" s="24"/>
      <c r="I357" s="23"/>
      <c r="J357" s="24"/>
      <c r="K357" s="24"/>
      <c r="L357" s="24"/>
      <c r="M357" s="24"/>
      <c r="N357" s="24"/>
      <c r="O357" s="24"/>
      <c r="P357" s="24"/>
      <c r="Q357" s="23" t="s">
        <v>145</v>
      </c>
      <c r="R357" s="23"/>
      <c r="S357" s="23"/>
      <c r="T357" s="23"/>
      <c r="U357" s="23"/>
      <c r="V357" s="23"/>
      <c r="W357" s="23"/>
      <c r="X357" s="23"/>
      <c r="Y357" s="23"/>
    </row>
    <row r="358" spans="1:25" x14ac:dyDescent="0.2">
      <c r="A358" s="73" t="str">
        <f>[94]Base_01!$B$4</f>
        <v>Kota</v>
      </c>
      <c r="B358" s="73"/>
      <c r="C358" s="73"/>
      <c r="D358" s="73"/>
      <c r="E358" s="35" t="str">
        <f>[94]Base_01!$C$4</f>
        <v>Sorong</v>
      </c>
      <c r="F358" s="23"/>
      <c r="G358" s="23"/>
      <c r="H358" s="24"/>
      <c r="I358" s="23"/>
      <c r="J358" s="24"/>
      <c r="K358" s="24"/>
      <c r="L358" s="24"/>
      <c r="M358" s="24"/>
      <c r="N358" s="24"/>
      <c r="O358" s="24"/>
      <c r="P358" s="24"/>
      <c r="Q358" s="23" t="s">
        <v>144</v>
      </c>
      <c r="R358" s="23"/>
      <c r="S358" s="23"/>
      <c r="T358" s="23"/>
      <c r="U358" s="23"/>
      <c r="V358" s="23"/>
      <c r="W358" s="23"/>
      <c r="X358" s="23"/>
      <c r="Y358" s="23"/>
    </row>
    <row r="359" spans="1:25" x14ac:dyDescent="0.2">
      <c r="A359" s="73" t="str">
        <f>[94]Base_01!$B$5</f>
        <v>Provinsi</v>
      </c>
      <c r="B359" s="73"/>
      <c r="C359" s="73"/>
      <c r="D359" s="73"/>
      <c r="E359" s="23" t="str">
        <f>[94]Base_01!$C$5</f>
        <v>Papua Barat Daya</v>
      </c>
      <c r="F359" s="23"/>
      <c r="G359" s="24"/>
      <c r="H359" s="24"/>
      <c r="I359" s="23"/>
      <c r="J359" s="24"/>
      <c r="K359" s="24"/>
      <c r="L359" s="24"/>
      <c r="M359" s="24"/>
      <c r="N359" s="24"/>
      <c r="O359" s="24"/>
      <c r="P359" s="24"/>
      <c r="Q359" s="23" t="s">
        <v>143</v>
      </c>
      <c r="R359" s="23"/>
      <c r="S359" s="23"/>
      <c r="T359" s="23"/>
      <c r="U359" s="23"/>
      <c r="V359" s="23"/>
      <c r="W359" s="23"/>
      <c r="X359" s="23"/>
      <c r="Y359" s="23"/>
    </row>
    <row r="360" spans="1:25" x14ac:dyDescent="0.2">
      <c r="A360" s="23"/>
      <c r="B360" s="23"/>
      <c r="C360" s="23"/>
      <c r="D360" s="23"/>
      <c r="E360" s="23"/>
      <c r="F360" s="23"/>
      <c r="G360" s="23"/>
      <c r="H360" s="23"/>
      <c r="I360" s="24"/>
      <c r="J360" s="24"/>
      <c r="K360" s="24"/>
      <c r="L360" s="24"/>
      <c r="M360" s="24"/>
      <c r="N360" s="24"/>
      <c r="O360" s="24"/>
      <c r="P360" s="24"/>
      <c r="Q360" s="23"/>
      <c r="R360" s="23"/>
      <c r="S360" s="23"/>
      <c r="T360" s="23"/>
      <c r="U360" s="23"/>
      <c r="V360" s="23"/>
      <c r="W360" s="23"/>
      <c r="X360" s="23"/>
      <c r="Y360" s="23"/>
    </row>
    <row r="361" spans="1:25" x14ac:dyDescent="0.2">
      <c r="A361" s="33"/>
      <c r="B361" s="33"/>
      <c r="C361" s="33"/>
      <c r="D361" s="33"/>
      <c r="E361" s="33"/>
      <c r="F361" s="33"/>
      <c r="G361" s="33"/>
      <c r="H361" s="33"/>
      <c r="I361" s="33"/>
      <c r="J361" s="33"/>
      <c r="K361" s="33"/>
      <c r="L361" s="33"/>
      <c r="M361" s="34"/>
      <c r="N361" s="33"/>
      <c r="O361" s="33"/>
      <c r="P361" s="33"/>
      <c r="Q361" s="23"/>
      <c r="R361" s="23"/>
      <c r="S361" s="23"/>
      <c r="T361" s="23"/>
      <c r="U361" s="23"/>
      <c r="V361" s="23"/>
      <c r="W361" s="23"/>
      <c r="X361" s="23"/>
      <c r="Y361" s="23"/>
    </row>
    <row r="362" spans="1:25" x14ac:dyDescent="0.2">
      <c r="A362" s="80" t="s">
        <v>142</v>
      </c>
      <c r="B362" s="81"/>
      <c r="C362" s="81"/>
      <c r="D362" s="81"/>
      <c r="E362" s="81"/>
      <c r="F362" s="81"/>
      <c r="G362" s="81"/>
      <c r="H362" s="81"/>
      <c r="I362" s="80" t="s">
        <v>151</v>
      </c>
      <c r="J362" s="81"/>
      <c r="K362" s="81"/>
      <c r="L362" s="81"/>
      <c r="M362" s="81"/>
      <c r="N362" s="81"/>
      <c r="O362" s="81"/>
      <c r="P362" s="82"/>
      <c r="Q362" s="23"/>
      <c r="R362" s="23"/>
      <c r="S362" s="23"/>
      <c r="T362" s="23"/>
      <c r="U362" s="23"/>
      <c r="V362" s="21"/>
      <c r="W362" s="21"/>
      <c r="X362" s="21"/>
      <c r="Y362" s="21"/>
    </row>
    <row r="363" spans="1:25" x14ac:dyDescent="0.2">
      <c r="A363" s="48"/>
      <c r="B363" s="49"/>
      <c r="C363" s="49"/>
      <c r="D363" s="50"/>
      <c r="E363" s="50"/>
      <c r="F363" s="49"/>
      <c r="G363" s="49"/>
      <c r="H363" s="49"/>
      <c r="I363" s="48"/>
      <c r="J363" s="49"/>
      <c r="K363" s="49"/>
      <c r="L363" s="50"/>
      <c r="M363" s="50"/>
      <c r="N363" s="49"/>
      <c r="O363" s="49"/>
      <c r="P363" s="51"/>
      <c r="Q363" s="23"/>
      <c r="R363" s="23"/>
      <c r="S363" s="23"/>
      <c r="T363" s="23"/>
      <c r="U363" s="23"/>
      <c r="V363" s="21"/>
      <c r="W363" s="21"/>
      <c r="X363" s="21"/>
      <c r="Y363" s="21"/>
    </row>
    <row r="364" spans="1:25" ht="16" x14ac:dyDescent="0.2">
      <c r="A364" s="36" t="s">
        <v>141</v>
      </c>
      <c r="B364" s="23"/>
      <c r="C364" s="26" t="s">
        <v>112</v>
      </c>
      <c r="D364" s="83">
        <f>VLOOKUP(Q349,[95]Base_03!$A$5:$AS$24,5,0)</f>
        <v>36</v>
      </c>
      <c r="E364" s="84"/>
      <c r="F364" s="23" t="s">
        <v>140</v>
      </c>
      <c r="G364" s="23"/>
      <c r="H364" s="23"/>
      <c r="I364" s="36" t="s">
        <v>141</v>
      </c>
      <c r="J364" s="26"/>
      <c r="K364" s="26" t="s">
        <v>119</v>
      </c>
      <c r="L364" s="85">
        <f>VLOOKUP(Q349,[95]Base_04!$A$5:$AS$24,5,0)</f>
        <v>49</v>
      </c>
      <c r="M364" s="85"/>
      <c r="N364" s="30" t="s">
        <v>140</v>
      </c>
      <c r="O364" s="23"/>
      <c r="P364" s="37"/>
      <c r="Q364" s="23"/>
      <c r="R364" s="23"/>
      <c r="S364" s="23"/>
      <c r="T364" s="23"/>
      <c r="U364" s="23"/>
      <c r="V364" s="21"/>
      <c r="W364" s="21"/>
      <c r="X364" s="21"/>
      <c r="Y364" s="21"/>
    </row>
    <row r="365" spans="1:25" ht="15" customHeight="1" x14ac:dyDescent="0.2">
      <c r="A365" s="38" t="s">
        <v>139</v>
      </c>
      <c r="B365" s="23"/>
      <c r="C365" s="26"/>
      <c r="D365" s="79" t="s">
        <v>131</v>
      </c>
      <c r="E365" s="79"/>
      <c r="F365" s="79" t="s">
        <v>130</v>
      </c>
      <c r="G365" s="79"/>
      <c r="H365" s="23"/>
      <c r="I365" s="38" t="s">
        <v>139</v>
      </c>
      <c r="J365" s="23"/>
      <c r="K365" s="26"/>
      <c r="L365" s="79" t="s">
        <v>131</v>
      </c>
      <c r="M365" s="79"/>
      <c r="N365" s="79" t="s">
        <v>130</v>
      </c>
      <c r="O365" s="79"/>
      <c r="P365" s="52"/>
      <c r="Q365" s="23"/>
      <c r="R365" s="23"/>
      <c r="S365" s="23"/>
      <c r="T365" s="23"/>
      <c r="U365" s="23"/>
      <c r="V365" s="21"/>
      <c r="W365" s="21"/>
      <c r="X365" s="21"/>
      <c r="Y365" s="21"/>
    </row>
    <row r="366" spans="1:25" x14ac:dyDescent="0.2">
      <c r="A366" s="39"/>
      <c r="B366" s="23"/>
      <c r="C366" s="26"/>
      <c r="D366" s="79"/>
      <c r="E366" s="79"/>
      <c r="F366" s="79"/>
      <c r="G366" s="79"/>
      <c r="H366" s="23"/>
      <c r="I366" s="39"/>
      <c r="J366" s="23"/>
      <c r="K366" s="26"/>
      <c r="L366" s="79"/>
      <c r="M366" s="79"/>
      <c r="N366" s="79"/>
      <c r="O366" s="79"/>
      <c r="P366" s="52"/>
      <c r="Q366" s="23"/>
      <c r="R366" s="23"/>
      <c r="S366" s="23"/>
      <c r="T366" s="23"/>
      <c r="U366" s="23"/>
      <c r="V366" s="21"/>
      <c r="W366" s="21"/>
      <c r="X366" s="21"/>
      <c r="Y366" s="21"/>
    </row>
    <row r="367" spans="1:25" x14ac:dyDescent="0.2">
      <c r="A367" s="72" t="s">
        <v>138</v>
      </c>
      <c r="B367" s="73"/>
      <c r="C367" s="73" t="s">
        <v>112</v>
      </c>
      <c r="D367" s="78" t="str">
        <f>VLOOKUP(Q349,[95]Base_03!$A$5:$AS$24,6,0)</f>
        <v>BT 7</v>
      </c>
      <c r="E367" s="78"/>
      <c r="F367" s="77">
        <f>VLOOKUP(Q349,[95]Base_03!$A$5:$AS$24,12,0)</f>
        <v>0</v>
      </c>
      <c r="G367" s="77"/>
      <c r="H367" s="23" t="s">
        <v>134</v>
      </c>
      <c r="I367" s="72" t="s">
        <v>138</v>
      </c>
      <c r="J367" s="73"/>
      <c r="K367" s="73"/>
      <c r="L367" s="78" t="str">
        <f>VLOOKUP(Q349,[95]Base_04!$A$5:$AS$24,6,0)</f>
        <v>BT 7</v>
      </c>
      <c r="M367" s="78"/>
      <c r="N367" s="77">
        <f>VLOOKUP(Q349,[95]Base_04!$A$5:$AS$24,12,0)</f>
        <v>0</v>
      </c>
      <c r="O367" s="77"/>
      <c r="P367" s="37" t="s">
        <v>134</v>
      </c>
      <c r="Q367" s="23" t="s">
        <v>123</v>
      </c>
      <c r="R367" s="23"/>
      <c r="S367" s="23"/>
      <c r="T367" s="23"/>
      <c r="U367" s="23"/>
      <c r="V367" s="21"/>
      <c r="W367" s="21"/>
      <c r="X367" s="21"/>
      <c r="Y367" s="21"/>
    </row>
    <row r="368" spans="1:25" x14ac:dyDescent="0.2">
      <c r="A368" s="72" t="s">
        <v>137</v>
      </c>
      <c r="B368" s="73"/>
      <c r="C368" s="73" t="s">
        <v>112</v>
      </c>
      <c r="D368" s="78" t="str">
        <f>VLOOKUP(Q349,[95]Base_03!$A$5:$AS$24,13,0)</f>
        <v>S 7</v>
      </c>
      <c r="E368" s="78"/>
      <c r="F368" s="77">
        <f>VLOOKUP(Q349,[95]Base_03!$A$5:$AS$24,15,0)</f>
        <v>0</v>
      </c>
      <c r="G368" s="77"/>
      <c r="H368" s="23" t="s">
        <v>134</v>
      </c>
      <c r="I368" s="72" t="s">
        <v>137</v>
      </c>
      <c r="J368" s="73"/>
      <c r="K368" s="73"/>
      <c r="L368" s="78" t="str">
        <f>VLOOKUP(Q349,[95]Base_04!$A$5:$AS$24,13,0)</f>
        <v>S 7</v>
      </c>
      <c r="M368" s="78"/>
      <c r="N368" s="77">
        <f>VLOOKUP(Q349,[95]Base_04!$A$5:$AS$24,15,0)</f>
        <v>0</v>
      </c>
      <c r="O368" s="77"/>
      <c r="P368" s="37" t="s">
        <v>134</v>
      </c>
      <c r="Q368" s="23" t="s">
        <v>123</v>
      </c>
      <c r="R368" s="23"/>
      <c r="S368" s="23"/>
      <c r="T368" s="23"/>
      <c r="U368" s="23"/>
      <c r="V368" s="21"/>
      <c r="W368" s="21"/>
      <c r="X368" s="21"/>
      <c r="Y368" s="21"/>
    </row>
    <row r="369" spans="1:25" x14ac:dyDescent="0.2">
      <c r="A369" s="72" t="s">
        <v>136</v>
      </c>
      <c r="B369" s="73"/>
      <c r="C369" s="73" t="s">
        <v>112</v>
      </c>
      <c r="D369" s="78" t="str">
        <f>VLOOKUP(Q349,[95]Base_03!$A$5:$AS$24,16,0)</f>
        <v>B 7</v>
      </c>
      <c r="E369" s="78"/>
      <c r="F369" s="77">
        <f>VLOOKUP(Q349,[95]Base_03!$A$5:$AS$24,22,0)</f>
        <v>0</v>
      </c>
      <c r="G369" s="77"/>
      <c r="H369" s="23" t="s">
        <v>134</v>
      </c>
      <c r="I369" s="72" t="s">
        <v>136</v>
      </c>
      <c r="J369" s="73"/>
      <c r="K369" s="73"/>
      <c r="L369" s="78" t="str">
        <f>VLOOKUP(Q349,[95]Base_04!$A$5:$AS$24,16,0)</f>
        <v>B 7</v>
      </c>
      <c r="M369" s="78"/>
      <c r="N369" s="77">
        <f>VLOOKUP(Q349,[95]Base_04!$A$5:$AS$24,22,0)</f>
        <v>0</v>
      </c>
      <c r="O369" s="77"/>
      <c r="P369" s="37" t="s">
        <v>134</v>
      </c>
      <c r="Q369" s="23" t="s">
        <v>123</v>
      </c>
      <c r="R369" s="23"/>
      <c r="S369" s="23"/>
      <c r="T369" s="23"/>
      <c r="U369" s="23"/>
      <c r="V369" s="21"/>
      <c r="W369" s="21"/>
      <c r="X369" s="21"/>
      <c r="Y369" s="21"/>
    </row>
    <row r="370" spans="1:25" x14ac:dyDescent="0.2">
      <c r="A370" s="72" t="s">
        <v>135</v>
      </c>
      <c r="B370" s="73"/>
      <c r="C370" s="73" t="s">
        <v>112</v>
      </c>
      <c r="D370" s="78" t="str">
        <f>VLOOKUP(Q349,[95]Base_03!$A$5:$AS$24,23,0)</f>
        <v>K 7</v>
      </c>
      <c r="E370" s="78"/>
      <c r="F370" s="77">
        <f>VLOOKUP(Q349,[95]Base_03!$A$5:$AS$24,24,0)</f>
        <v>0</v>
      </c>
      <c r="G370" s="77"/>
      <c r="H370" s="23" t="s">
        <v>134</v>
      </c>
      <c r="I370" s="72" t="s">
        <v>135</v>
      </c>
      <c r="J370" s="73"/>
      <c r="K370" s="73"/>
      <c r="L370" s="78" t="str">
        <f>VLOOKUP(Q349,[95]Base_04!$A$5:$AS$24,23,0)</f>
        <v>K 7</v>
      </c>
      <c r="M370" s="78"/>
      <c r="N370" s="77">
        <f>VLOOKUP(Q349,[95]Base_04!$A$5:$AS$24,24,0)</f>
        <v>0</v>
      </c>
      <c r="O370" s="77"/>
      <c r="P370" s="37" t="s">
        <v>134</v>
      </c>
      <c r="Q370" s="23" t="s">
        <v>123</v>
      </c>
      <c r="R370" s="23"/>
      <c r="S370" s="23"/>
      <c r="T370" s="23"/>
      <c r="U370" s="23"/>
      <c r="V370" s="21"/>
      <c r="W370" s="21"/>
      <c r="X370" s="21"/>
      <c r="Y370" s="21"/>
    </row>
    <row r="371" spans="1:25" x14ac:dyDescent="0.2">
      <c r="A371" s="72" t="s">
        <v>133</v>
      </c>
      <c r="B371" s="73"/>
      <c r="C371" s="73" t="s">
        <v>112</v>
      </c>
      <c r="D371" s="78" t="str">
        <f>VLOOKUP(Q349,[95]Base_03!$A$5:$AS$24,25,0)</f>
        <v>K 7</v>
      </c>
      <c r="E371" s="78"/>
      <c r="F371" s="77">
        <f>VLOOKUP(Q349,[95]Base_03!$A$5:$AS$24,26,0)</f>
        <v>73.900834456272094</v>
      </c>
      <c r="G371" s="77"/>
      <c r="H371" s="23" t="s">
        <v>124</v>
      </c>
      <c r="I371" s="72" t="s">
        <v>133</v>
      </c>
      <c r="J371" s="73"/>
      <c r="K371" s="73"/>
      <c r="L371" s="78" t="str">
        <f>VLOOKUP(Q349,[95]Base_04!$A$5:$AS$24,25,0)</f>
        <v>K 7</v>
      </c>
      <c r="M371" s="78"/>
      <c r="N371" s="77">
        <f>VLOOKUP(Q349,[95]Base_04!$A$5:$AS$24,26,0)</f>
        <v>93.530743608719362</v>
      </c>
      <c r="O371" s="77"/>
      <c r="P371" s="37" t="s">
        <v>124</v>
      </c>
      <c r="Q371" s="23" t="s">
        <v>123</v>
      </c>
      <c r="R371" s="23"/>
      <c r="S371" s="23"/>
      <c r="T371" s="23"/>
      <c r="U371" s="23"/>
      <c r="V371" s="21"/>
      <c r="W371" s="21"/>
      <c r="X371" s="21"/>
      <c r="Y371" s="21"/>
    </row>
    <row r="372" spans="1:25" x14ac:dyDescent="0.2">
      <c r="A372" s="40"/>
      <c r="B372" s="31"/>
      <c r="C372" s="31"/>
      <c r="D372" s="41"/>
      <c r="E372" s="41"/>
      <c r="F372" s="30"/>
      <c r="G372" s="23"/>
      <c r="H372" s="23"/>
      <c r="I372" s="40"/>
      <c r="J372" s="31"/>
      <c r="K372" s="31"/>
      <c r="L372" s="41"/>
      <c r="M372" s="41"/>
      <c r="N372" s="30"/>
      <c r="O372" s="23"/>
      <c r="P372" s="37"/>
      <c r="Q372" s="23"/>
      <c r="R372" s="23"/>
      <c r="S372" s="23"/>
      <c r="T372" s="23"/>
      <c r="U372" s="23"/>
      <c r="V372" s="21"/>
      <c r="W372" s="21"/>
      <c r="X372" s="21"/>
      <c r="Y372" s="21"/>
    </row>
    <row r="373" spans="1:25" x14ac:dyDescent="0.2">
      <c r="A373" s="38" t="s">
        <v>132</v>
      </c>
      <c r="B373" s="23"/>
      <c r="C373" s="26"/>
      <c r="D373" s="79" t="s">
        <v>131</v>
      </c>
      <c r="E373" s="79"/>
      <c r="F373" s="79" t="s">
        <v>130</v>
      </c>
      <c r="G373" s="79"/>
      <c r="H373" s="23"/>
      <c r="I373" s="38" t="s">
        <v>132</v>
      </c>
      <c r="J373" s="23"/>
      <c r="K373" s="26"/>
      <c r="L373" s="79" t="s">
        <v>131</v>
      </c>
      <c r="M373" s="79"/>
      <c r="N373" s="79" t="s">
        <v>130</v>
      </c>
      <c r="O373" s="79"/>
      <c r="P373" s="52"/>
      <c r="Q373" s="23"/>
      <c r="R373" s="23"/>
      <c r="S373" s="23"/>
      <c r="T373" s="23"/>
      <c r="U373" s="23"/>
      <c r="V373" s="21"/>
      <c r="W373" s="21"/>
      <c r="X373" s="21"/>
      <c r="Y373" s="21"/>
    </row>
    <row r="374" spans="1:25" x14ac:dyDescent="0.2">
      <c r="A374" s="39"/>
      <c r="B374" s="23"/>
      <c r="C374" s="26"/>
      <c r="D374" s="79"/>
      <c r="E374" s="79"/>
      <c r="F374" s="79"/>
      <c r="G374" s="79"/>
      <c r="H374" s="23"/>
      <c r="I374" s="39"/>
      <c r="J374" s="23"/>
      <c r="K374" s="26"/>
      <c r="L374" s="79"/>
      <c r="M374" s="79"/>
      <c r="N374" s="79"/>
      <c r="O374" s="79"/>
      <c r="P374" s="52"/>
      <c r="Q374" s="23"/>
      <c r="R374" s="23"/>
      <c r="S374" s="23"/>
      <c r="T374" s="23"/>
      <c r="U374" s="23"/>
      <c r="V374" s="21"/>
      <c r="W374" s="21"/>
      <c r="X374" s="21"/>
      <c r="Y374" s="21"/>
    </row>
    <row r="375" spans="1:25" x14ac:dyDescent="0.2">
      <c r="A375" s="72" t="s">
        <v>129</v>
      </c>
      <c r="B375" s="73"/>
      <c r="C375" s="73" t="s">
        <v>119</v>
      </c>
      <c r="D375" s="78" t="str">
        <f>VLOOKUP(Q349,[95]Base_03!$A$5:$AS$24,28,0)</f>
        <v xml:space="preserve"> G 7</v>
      </c>
      <c r="E375" s="78"/>
      <c r="F375" s="77">
        <f>VLOOKUP(Q349,[95]Base_03!$A$5:$AS$24,30,0)</f>
        <v>55</v>
      </c>
      <c r="G375" s="77"/>
      <c r="H375" s="23" t="s">
        <v>124</v>
      </c>
      <c r="I375" s="72" t="s">
        <v>129</v>
      </c>
      <c r="J375" s="73"/>
      <c r="K375" s="73" t="s">
        <v>119</v>
      </c>
      <c r="L375" s="78" t="str">
        <f>VLOOKUP(Q349,[95]Base_04!$A$5:$AS$24,28,0)</f>
        <v xml:space="preserve"> G 7</v>
      </c>
      <c r="M375" s="78"/>
      <c r="N375" s="77">
        <f>VLOOKUP(Q349,[95]Base_04!$A$5:$AS$24,30,0)</f>
        <v>55</v>
      </c>
      <c r="O375" s="77"/>
      <c r="P375" s="37" t="s">
        <v>124</v>
      </c>
      <c r="Q375" s="23" t="s">
        <v>123</v>
      </c>
      <c r="R375" s="23"/>
      <c r="S375" s="23"/>
      <c r="T375" s="23"/>
      <c r="U375" s="23"/>
      <c r="V375" s="21"/>
      <c r="W375" s="21"/>
      <c r="X375" s="21"/>
      <c r="Y375" s="21"/>
    </row>
    <row r="376" spans="1:25" x14ac:dyDescent="0.2">
      <c r="A376" s="72" t="s">
        <v>128</v>
      </c>
      <c r="B376" s="73"/>
      <c r="C376" s="73" t="s">
        <v>119</v>
      </c>
      <c r="D376" s="78" t="str">
        <f>VLOOKUP(Q349,[95]Base_03!$A$5:$AS$24,31,0)</f>
        <v>H 7</v>
      </c>
      <c r="E376" s="78"/>
      <c r="F376" s="77">
        <f>VLOOKUP(Q349,[95]Base_03!$A$5:$AS$24,34,0)</f>
        <v>-5.76</v>
      </c>
      <c r="G376" s="77"/>
      <c r="H376" s="23" t="s">
        <v>124</v>
      </c>
      <c r="I376" s="72" t="s">
        <v>128</v>
      </c>
      <c r="J376" s="73"/>
      <c r="K376" s="73" t="s">
        <v>119</v>
      </c>
      <c r="L376" s="78" t="str">
        <f>VLOOKUP(Q349,[95]Base_04!$A$5:$AS$24,31,0)</f>
        <v>H 7</v>
      </c>
      <c r="M376" s="78"/>
      <c r="N376" s="77">
        <f>VLOOKUP(Q349,[95]Base_04!$A$5:$AS$24,34,0)</f>
        <v>-5.76</v>
      </c>
      <c r="O376" s="77"/>
      <c r="P376" s="37" t="s">
        <v>124</v>
      </c>
      <c r="Q376" s="23" t="s">
        <v>123</v>
      </c>
      <c r="R376" s="23"/>
      <c r="S376" s="23"/>
      <c r="T376" s="23"/>
      <c r="U376" s="23"/>
      <c r="V376" s="21"/>
      <c r="W376" s="21"/>
      <c r="X376" s="21"/>
      <c r="Y376" s="21"/>
    </row>
    <row r="377" spans="1:25" x14ac:dyDescent="0.2">
      <c r="A377" s="89" t="s">
        <v>127</v>
      </c>
      <c r="B377" s="90"/>
      <c r="C377" s="90" t="s">
        <v>119</v>
      </c>
      <c r="D377" s="91" t="str">
        <f>VLOOKUP(Q349,[95]Base_03!$A$5:$AS$24,35,0)</f>
        <v>Kayu</v>
      </c>
      <c r="E377" s="91"/>
      <c r="F377" s="92">
        <f>VLOOKUP(Q349,[95]Base_03!$A$5:$AS$24,36,0)</f>
        <v>5.76</v>
      </c>
      <c r="G377" s="92"/>
      <c r="H377" s="23" t="s">
        <v>124</v>
      </c>
      <c r="I377" s="89" t="s">
        <v>127</v>
      </c>
      <c r="J377" s="90"/>
      <c r="K377" s="90" t="s">
        <v>119</v>
      </c>
      <c r="L377" s="91" t="str">
        <f>VLOOKUP(Q349,[95]Base_04!$A$5:$AS$24,35,0)</f>
        <v>Kayu</v>
      </c>
      <c r="M377" s="91"/>
      <c r="N377" s="92">
        <f>VLOOKUP(Q349,[95]Base_04!$A$5:$AS$24,36,0)</f>
        <v>5.76</v>
      </c>
      <c r="O377" s="92"/>
      <c r="P377" s="37" t="s">
        <v>124</v>
      </c>
      <c r="Q377" s="23" t="s">
        <v>123</v>
      </c>
      <c r="R377" s="23"/>
      <c r="S377" s="23"/>
      <c r="T377" s="23"/>
      <c r="U377" s="23"/>
      <c r="V377" s="21"/>
      <c r="W377" s="21"/>
      <c r="X377" s="21"/>
      <c r="Y377" s="21"/>
    </row>
    <row r="378" spans="1:25" x14ac:dyDescent="0.2">
      <c r="A378" s="74" t="s">
        <v>126</v>
      </c>
      <c r="B378" s="75"/>
      <c r="C378" s="75"/>
      <c r="D378" s="91"/>
      <c r="E378" s="91"/>
      <c r="F378" s="92"/>
      <c r="G378" s="92"/>
      <c r="H378" s="23"/>
      <c r="I378" s="74" t="s">
        <v>126</v>
      </c>
      <c r="J378" s="75"/>
      <c r="K378" s="75"/>
      <c r="L378" s="91"/>
      <c r="M378" s="91"/>
      <c r="N378" s="92"/>
      <c r="O378" s="92"/>
      <c r="P378" s="37"/>
      <c r="Q378" s="23"/>
      <c r="R378" s="23"/>
      <c r="S378" s="23"/>
      <c r="T378" s="23"/>
      <c r="U378" s="23"/>
      <c r="V378" s="21"/>
      <c r="W378" s="21"/>
      <c r="X378" s="21"/>
      <c r="Y378" s="21"/>
    </row>
    <row r="379" spans="1:25" x14ac:dyDescent="0.2">
      <c r="A379" s="72" t="s">
        <v>125</v>
      </c>
      <c r="B379" s="73"/>
      <c r="C379" s="73" t="s">
        <v>119</v>
      </c>
      <c r="D379" s="78" t="str">
        <f>VLOOKUP(Q349,[95]Base_03!$A$5:$AS$24,39,0)</f>
        <v>R 7</v>
      </c>
      <c r="E379" s="78"/>
      <c r="F379" s="77">
        <f>VLOOKUP(Q349,[95]Base_03!$A$5:$AS$24,40,0)</f>
        <v>36</v>
      </c>
      <c r="G379" s="77"/>
      <c r="H379" s="23" t="s">
        <v>124</v>
      </c>
      <c r="I379" s="72" t="s">
        <v>125</v>
      </c>
      <c r="J379" s="73"/>
      <c r="K379" s="73" t="s">
        <v>119</v>
      </c>
      <c r="L379" s="78" t="str">
        <f>VLOOKUP(Q349,[95]Base_04!$A$5:$AS$24,39,0)</f>
        <v>R 7</v>
      </c>
      <c r="M379" s="78"/>
      <c r="N379" s="77">
        <f>VLOOKUP(Q349,[95]Base_04!$A$5:$AS$24,40,0)</f>
        <v>49</v>
      </c>
      <c r="O379" s="77"/>
      <c r="P379" s="37" t="s">
        <v>124</v>
      </c>
      <c r="Q379" s="23" t="s">
        <v>123</v>
      </c>
      <c r="R379" s="23"/>
      <c r="S379" s="23"/>
      <c r="T379" s="23"/>
      <c r="U379" s="23"/>
      <c r="V379" s="21"/>
      <c r="W379" s="21"/>
      <c r="X379" s="21"/>
      <c r="Y379" s="21"/>
    </row>
    <row r="380" spans="1:25" x14ac:dyDescent="0.2">
      <c r="A380" s="39"/>
      <c r="B380" s="23"/>
      <c r="C380" s="23"/>
      <c r="D380" s="23"/>
      <c r="E380" s="23"/>
      <c r="F380" s="23"/>
      <c r="G380" s="23"/>
      <c r="H380" s="23"/>
      <c r="I380" s="39"/>
      <c r="J380" s="45"/>
      <c r="K380" s="45"/>
      <c r="L380" s="45"/>
      <c r="M380" s="23"/>
      <c r="N380" s="30"/>
      <c r="O380" s="23"/>
      <c r="P380" s="37"/>
      <c r="Q380" s="23"/>
      <c r="R380" s="23"/>
      <c r="S380" s="23"/>
      <c r="T380" s="23"/>
      <c r="U380" s="23"/>
      <c r="V380" s="21"/>
      <c r="W380" s="21"/>
      <c r="X380" s="21"/>
      <c r="Y380" s="21"/>
    </row>
    <row r="381" spans="1:25" x14ac:dyDescent="0.2">
      <c r="A381" s="72" t="s">
        <v>122</v>
      </c>
      <c r="B381" s="73"/>
      <c r="C381" s="73" t="s">
        <v>112</v>
      </c>
      <c r="D381" s="76">
        <f>VLOOKUP(Q349,[95]Base_03!$A$5:$AS$24,42,0)</f>
        <v>6.666666666666667</v>
      </c>
      <c r="E381" s="76"/>
      <c r="F381" s="25" t="s">
        <v>118</v>
      </c>
      <c r="G381" s="23"/>
      <c r="H381" s="23"/>
      <c r="I381" s="72" t="s">
        <v>122</v>
      </c>
      <c r="J381" s="73"/>
      <c r="K381" s="73" t="s">
        <v>112</v>
      </c>
      <c r="L381" s="76">
        <f>VLOOKUP(Q349,[95]Base_04!$A$5:$AS$24,42,0)</f>
        <v>4.8979591836734695</v>
      </c>
      <c r="M381" s="76"/>
      <c r="N381" s="46" t="s">
        <v>118</v>
      </c>
      <c r="O381" s="23"/>
      <c r="P381" s="37"/>
      <c r="Q381" s="32" t="s">
        <v>121</v>
      </c>
      <c r="R381" s="23"/>
      <c r="S381" s="23"/>
      <c r="T381" s="23"/>
      <c r="U381" s="23"/>
      <c r="V381" s="21"/>
      <c r="W381" s="21"/>
      <c r="X381" s="21"/>
      <c r="Y381" s="21"/>
    </row>
    <row r="382" spans="1:25" x14ac:dyDescent="0.2">
      <c r="A382" s="72" t="s">
        <v>120</v>
      </c>
      <c r="B382" s="73"/>
      <c r="C382" s="73" t="s">
        <v>119</v>
      </c>
      <c r="D382" s="76">
        <f>VLOOKUP(Q349,[95]Base_03!$A$5:$AS$24,43,0)</f>
        <v>9.6666666666666661</v>
      </c>
      <c r="E382" s="76"/>
      <c r="F382" s="25" t="s">
        <v>118</v>
      </c>
      <c r="G382" s="23"/>
      <c r="H382" s="23"/>
      <c r="I382" s="72" t="s">
        <v>120</v>
      </c>
      <c r="J382" s="73"/>
      <c r="K382" s="73" t="s">
        <v>119</v>
      </c>
      <c r="L382" s="76">
        <f>VLOOKUP(Q349,[95]Base_04!$A$5:$AS$24,43,0)</f>
        <v>7.1020408163265314</v>
      </c>
      <c r="M382" s="76"/>
      <c r="N382" s="46" t="s">
        <v>118</v>
      </c>
      <c r="O382" s="23"/>
      <c r="P382" s="37"/>
      <c r="Q382" s="32" t="s">
        <v>117</v>
      </c>
      <c r="R382" s="23"/>
      <c r="S382" s="23"/>
      <c r="T382" s="23"/>
      <c r="U382" s="23"/>
      <c r="V382" s="21"/>
      <c r="W382" s="21"/>
      <c r="X382" s="21"/>
      <c r="Y382" s="21"/>
    </row>
    <row r="383" spans="1:25" x14ac:dyDescent="0.2">
      <c r="A383" s="72" t="s">
        <v>115</v>
      </c>
      <c r="B383" s="73"/>
      <c r="C383" s="73"/>
      <c r="D383" s="71" t="str">
        <f>VLOOKUP(Q349,[95]Base_03!$A$5:$AS$24,44,0)</f>
        <v>(Ada) Baik</v>
      </c>
      <c r="E383" s="71"/>
      <c r="F383" s="23"/>
      <c r="G383" s="23"/>
      <c r="H383" s="23"/>
      <c r="I383" s="72" t="s">
        <v>115</v>
      </c>
      <c r="J383" s="73"/>
      <c r="K383" s="73"/>
      <c r="L383" s="71" t="str">
        <f>VLOOKUP(Q349,[95]Base_04!$A$5:$AS$24,44,0)</f>
        <v>(Ada) Baik</v>
      </c>
      <c r="M383" s="71"/>
      <c r="N383" s="30"/>
      <c r="O383" s="23"/>
      <c r="P383" s="37"/>
      <c r="Q383" s="23"/>
      <c r="R383" s="23"/>
      <c r="S383" s="23"/>
      <c r="T383" s="23"/>
      <c r="U383" s="23"/>
      <c r="V383" s="21"/>
      <c r="W383" s="21"/>
      <c r="X383" s="21"/>
      <c r="Y383" s="21"/>
    </row>
    <row r="384" spans="1:25" x14ac:dyDescent="0.2">
      <c r="A384" s="74" t="s">
        <v>116</v>
      </c>
      <c r="B384" s="75"/>
      <c r="C384" s="26"/>
      <c r="D384" s="25"/>
      <c r="E384" s="25"/>
      <c r="F384" s="23"/>
      <c r="G384" s="23"/>
      <c r="H384" s="23"/>
      <c r="I384" s="74" t="s">
        <v>116</v>
      </c>
      <c r="J384" s="75"/>
      <c r="K384" s="26"/>
      <c r="L384" s="25"/>
      <c r="M384" s="25"/>
      <c r="N384" s="30"/>
      <c r="O384" s="23"/>
      <c r="P384" s="37"/>
      <c r="Q384" s="23"/>
      <c r="R384" s="23"/>
      <c r="S384" s="23"/>
      <c r="T384" s="23"/>
      <c r="U384" s="23"/>
      <c r="V384" s="21"/>
      <c r="W384" s="21"/>
      <c r="X384" s="21"/>
      <c r="Y384" s="21"/>
    </row>
    <row r="385" spans="1:25" x14ac:dyDescent="0.2">
      <c r="A385" s="72" t="s">
        <v>115</v>
      </c>
      <c r="B385" s="73"/>
      <c r="C385" s="73"/>
      <c r="D385" s="71" t="str">
        <f>VLOOKUP(Q349,[95]Base_03!$A$5:$AS$24,45,0)</f>
        <v>Air Pam (Baik)</v>
      </c>
      <c r="E385" s="71"/>
      <c r="F385" s="23"/>
      <c r="G385" s="23"/>
      <c r="H385" s="23"/>
      <c r="I385" s="72" t="s">
        <v>115</v>
      </c>
      <c r="J385" s="73"/>
      <c r="K385" s="73"/>
      <c r="L385" s="71" t="str">
        <f>VLOOKUP(Q349,[95]Base_04!$A$5:$AS$24,45,0)</f>
        <v>Air Pam (Baik)</v>
      </c>
      <c r="M385" s="71"/>
      <c r="N385" s="30"/>
      <c r="O385" s="23"/>
      <c r="P385" s="37"/>
      <c r="Q385" s="23"/>
      <c r="R385" s="23"/>
      <c r="S385" s="23"/>
      <c r="T385" s="23"/>
      <c r="U385" s="23"/>
      <c r="V385" s="21"/>
      <c r="W385" s="21"/>
      <c r="X385" s="21"/>
      <c r="Y385" s="21"/>
    </row>
    <row r="386" spans="1:25" x14ac:dyDescent="0.2">
      <c r="A386" s="74" t="s">
        <v>114</v>
      </c>
      <c r="B386" s="75"/>
      <c r="C386" s="26"/>
      <c r="D386" s="25"/>
      <c r="E386" s="25"/>
      <c r="F386" s="23"/>
      <c r="G386" s="23"/>
      <c r="H386" s="23"/>
      <c r="I386" s="74" t="s">
        <v>114</v>
      </c>
      <c r="J386" s="75"/>
      <c r="K386" s="26"/>
      <c r="L386" s="25"/>
      <c r="M386" s="25"/>
      <c r="N386" s="30"/>
      <c r="O386" s="23"/>
      <c r="P386" s="37"/>
      <c r="Q386" s="23"/>
      <c r="R386" s="23"/>
      <c r="S386" s="23"/>
      <c r="T386" s="23"/>
      <c r="U386" s="23"/>
      <c r="V386" s="21"/>
      <c r="W386" s="21"/>
      <c r="X386" s="21"/>
      <c r="Y386" s="21"/>
    </row>
    <row r="387" spans="1:25" x14ac:dyDescent="0.2">
      <c r="A387" s="36" t="s">
        <v>113</v>
      </c>
      <c r="B387" s="23"/>
      <c r="C387" s="26" t="s">
        <v>112</v>
      </c>
      <c r="D387" s="71">
        <f>VLOOKUP(Q349,[94]Base_02!$A$5:$S$24,18,0)</f>
        <v>-7.4752999999999998</v>
      </c>
      <c r="E387" s="71"/>
      <c r="F387" s="23" t="str">
        <f>IF(D387&gt;0,"LU","LS")</f>
        <v>LS</v>
      </c>
      <c r="G387" s="23"/>
      <c r="H387" s="23"/>
      <c r="I387" s="36" t="s">
        <v>113</v>
      </c>
      <c r="J387" s="26"/>
      <c r="K387" s="26" t="s">
        <v>112</v>
      </c>
      <c r="L387" s="71">
        <f>D387</f>
        <v>-7.4752999999999998</v>
      </c>
      <c r="M387" s="71"/>
      <c r="N387" s="23" t="str">
        <f>IF(L387&gt;0,"LU","LS")</f>
        <v>LS</v>
      </c>
      <c r="O387" s="23"/>
      <c r="P387" s="37"/>
      <c r="Q387" s="23"/>
      <c r="R387" s="23"/>
      <c r="S387" s="23"/>
      <c r="T387" s="23"/>
      <c r="U387" s="23"/>
      <c r="V387" s="21"/>
      <c r="W387" s="21"/>
      <c r="X387" s="21"/>
      <c r="Y387" s="21"/>
    </row>
    <row r="388" spans="1:25" x14ac:dyDescent="0.2">
      <c r="A388" s="42"/>
      <c r="B388" s="43"/>
      <c r="C388" s="44" t="s">
        <v>111</v>
      </c>
      <c r="D388" s="70">
        <f>VLOOKUP(Q349,[94]Base_02!$A$5:$S$24,19,0)</f>
        <v>109.5592</v>
      </c>
      <c r="E388" s="70"/>
      <c r="F388" s="43" t="s">
        <v>110</v>
      </c>
      <c r="G388" s="43"/>
      <c r="H388" s="43"/>
      <c r="I388" s="42"/>
      <c r="J388" s="43"/>
      <c r="K388" s="43"/>
      <c r="L388" s="70">
        <f>D388</f>
        <v>109.5592</v>
      </c>
      <c r="M388" s="70"/>
      <c r="N388" s="47" t="s">
        <v>110</v>
      </c>
      <c r="O388" s="44"/>
      <c r="P388" s="53"/>
      <c r="Q388" s="23"/>
      <c r="R388" s="23"/>
      <c r="S388" s="23"/>
      <c r="T388" s="23"/>
      <c r="U388" s="23"/>
      <c r="V388" s="21"/>
      <c r="W388" s="21"/>
      <c r="X388" s="21"/>
      <c r="Y388" s="21"/>
    </row>
    <row r="389" spans="1:25" x14ac:dyDescent="0.2">
      <c r="A389" s="23"/>
      <c r="B389" s="23"/>
      <c r="C389" s="26"/>
      <c r="D389" s="23"/>
      <c r="E389" s="23"/>
      <c r="F389" s="23"/>
      <c r="G389" s="23"/>
      <c r="H389" s="23"/>
      <c r="I389" s="23"/>
      <c r="J389" s="23"/>
      <c r="K389" s="25"/>
      <c r="L389" s="25"/>
      <c r="M389" s="30"/>
      <c r="N389" s="23"/>
      <c r="O389" s="23"/>
      <c r="P389" s="23"/>
      <c r="Q389" s="23"/>
      <c r="R389" s="23"/>
      <c r="S389" s="23"/>
      <c r="T389" s="23"/>
      <c r="U389" s="23"/>
      <c r="V389" s="23"/>
      <c r="W389" s="23"/>
      <c r="X389" s="23"/>
      <c r="Y389" s="23"/>
    </row>
    <row r="390" spans="1:25" x14ac:dyDescent="0.2">
      <c r="A390" s="23"/>
      <c r="B390" s="23"/>
      <c r="C390" s="23"/>
      <c r="D390" s="23"/>
      <c r="E390" s="23"/>
      <c r="F390" s="23"/>
      <c r="G390" s="23"/>
      <c r="H390" s="23"/>
      <c r="I390" s="23"/>
      <c r="J390" s="23"/>
      <c r="K390" s="23"/>
      <c r="L390" s="23"/>
      <c r="M390" s="30"/>
      <c r="N390" s="23"/>
      <c r="O390" s="23"/>
      <c r="P390" s="23"/>
      <c r="Q390" s="23"/>
      <c r="R390" s="23"/>
      <c r="S390" s="23"/>
      <c r="T390" s="23"/>
      <c r="U390" s="23"/>
      <c r="V390" s="23"/>
      <c r="W390" s="23"/>
      <c r="X390" s="23"/>
      <c r="Y390" s="23"/>
    </row>
    <row r="391" spans="1:25" x14ac:dyDescent="0.2">
      <c r="A391" s="23"/>
      <c r="B391" s="23"/>
      <c r="C391" s="23"/>
      <c r="D391" s="23"/>
      <c r="E391" s="23"/>
      <c r="F391" s="23"/>
      <c r="G391" s="23"/>
      <c r="H391" s="23"/>
      <c r="I391" s="23"/>
      <c r="J391" s="23"/>
      <c r="K391" s="23"/>
      <c r="L391" s="71" t="str">
        <f>[94]Base_01!$C$4&amp;", …..  …........................  2026"</f>
        <v>Sorong, …..  …........................  2026</v>
      </c>
      <c r="M391" s="71"/>
      <c r="N391" s="71"/>
      <c r="O391" s="71"/>
      <c r="P391" s="71"/>
      <c r="Q391" s="23"/>
      <c r="R391" s="23"/>
      <c r="S391" s="23"/>
      <c r="T391" s="23"/>
      <c r="U391" s="23"/>
      <c r="V391" s="23"/>
      <c r="W391" s="23"/>
      <c r="X391" s="23"/>
      <c r="Y391" s="23"/>
    </row>
    <row r="392" spans="1:25" x14ac:dyDescent="0.2">
      <c r="A392" s="71" t="s">
        <v>108</v>
      </c>
      <c r="B392" s="71"/>
      <c r="C392" s="71"/>
      <c r="D392" s="71"/>
      <c r="E392" s="71"/>
      <c r="F392" s="71"/>
      <c r="G392" s="23"/>
      <c r="H392" s="23"/>
      <c r="I392" s="23"/>
      <c r="J392" s="23"/>
      <c r="K392" s="23"/>
      <c r="L392" s="71" t="s">
        <v>152</v>
      </c>
      <c r="M392" s="71"/>
      <c r="N392" s="71"/>
      <c r="O392" s="71"/>
      <c r="P392" s="71"/>
      <c r="Q392" s="23"/>
      <c r="R392" s="23"/>
      <c r="S392" s="23"/>
      <c r="T392" s="23"/>
      <c r="U392" s="23"/>
      <c r="V392" s="23"/>
      <c r="W392" s="23"/>
      <c r="X392" s="23"/>
      <c r="Y392" s="23"/>
    </row>
    <row r="393" spans="1:25" x14ac:dyDescent="0.2">
      <c r="A393" s="71" t="s">
        <v>153</v>
      </c>
      <c r="B393" s="71"/>
      <c r="C393" s="71"/>
      <c r="D393" s="71"/>
      <c r="E393" s="71"/>
      <c r="F393" s="71"/>
      <c r="G393" s="23"/>
      <c r="H393" s="23"/>
      <c r="I393" s="23"/>
      <c r="J393" s="23"/>
      <c r="K393" s="23"/>
      <c r="L393" s="71" t="s">
        <v>107</v>
      </c>
      <c r="M393" s="71"/>
      <c r="N393" s="71"/>
      <c r="O393" s="71"/>
      <c r="P393" s="71"/>
      <c r="Q393" s="23"/>
      <c r="R393" s="23"/>
      <c r="S393" s="23"/>
      <c r="T393" s="23"/>
      <c r="U393" s="23"/>
      <c r="V393" s="23"/>
      <c r="W393" s="23"/>
      <c r="X393" s="23"/>
      <c r="Y393" s="23"/>
    </row>
    <row r="394" spans="1:25" x14ac:dyDescent="0.2">
      <c r="A394" s="23"/>
      <c r="B394" s="23"/>
      <c r="C394" s="23"/>
      <c r="D394" s="23"/>
      <c r="E394" s="23"/>
      <c r="F394" s="23"/>
      <c r="G394" s="23"/>
      <c r="H394" s="23"/>
      <c r="I394" s="23"/>
      <c r="J394" s="23"/>
      <c r="K394" s="23"/>
      <c r="L394" s="23"/>
      <c r="M394" s="30"/>
      <c r="N394" s="23"/>
      <c r="O394" s="23"/>
      <c r="P394" s="23"/>
      <c r="Q394" s="23"/>
      <c r="R394" s="23"/>
      <c r="S394" s="23"/>
      <c r="T394" s="23"/>
      <c r="U394" s="23"/>
      <c r="V394" s="23"/>
      <c r="W394" s="23"/>
      <c r="X394" s="23"/>
      <c r="Y394" s="23"/>
    </row>
    <row r="395" spans="1:25" x14ac:dyDescent="0.2">
      <c r="A395" s="23"/>
      <c r="B395" s="23"/>
      <c r="C395" s="23"/>
      <c r="D395" s="23"/>
      <c r="E395" s="23"/>
      <c r="F395" s="23"/>
      <c r="G395" s="23"/>
      <c r="H395" s="23"/>
      <c r="I395" s="23"/>
      <c r="J395" s="23"/>
      <c r="K395" s="23"/>
      <c r="L395" s="23"/>
      <c r="M395" s="30"/>
      <c r="N395" s="23"/>
      <c r="O395" s="23"/>
      <c r="P395" s="23"/>
      <c r="Q395" s="23"/>
      <c r="R395" s="23"/>
      <c r="S395" s="23"/>
      <c r="T395" s="23"/>
      <c r="U395" s="23"/>
      <c r="V395" s="23"/>
      <c r="W395" s="23"/>
      <c r="X395" s="23"/>
      <c r="Y395" s="23"/>
    </row>
    <row r="396" spans="1:25" x14ac:dyDescent="0.2">
      <c r="A396" s="23"/>
      <c r="B396" s="23"/>
      <c r="C396" s="23"/>
      <c r="D396" s="23"/>
      <c r="E396" s="23"/>
      <c r="F396" s="23"/>
      <c r="G396" s="23"/>
      <c r="H396" s="23"/>
      <c r="I396" s="23"/>
      <c r="J396" s="23"/>
      <c r="K396" s="23"/>
      <c r="L396" s="23"/>
      <c r="M396" s="30"/>
      <c r="N396" s="23"/>
      <c r="O396" s="23"/>
      <c r="P396" s="23"/>
      <c r="Q396" s="23"/>
      <c r="R396" s="23"/>
      <c r="S396" s="23"/>
      <c r="T396" s="23"/>
      <c r="U396" s="23"/>
      <c r="V396" s="23"/>
      <c r="W396" s="23"/>
      <c r="X396" s="23"/>
      <c r="Y396" s="23"/>
    </row>
    <row r="397" spans="1:25" x14ac:dyDescent="0.2">
      <c r="A397" s="23"/>
      <c r="B397" s="23"/>
      <c r="C397" s="23"/>
      <c r="D397" s="23"/>
      <c r="E397" s="23"/>
      <c r="F397" s="23"/>
      <c r="G397" s="23"/>
      <c r="H397" s="23"/>
      <c r="I397" s="23"/>
      <c r="J397" s="23"/>
      <c r="K397" s="23"/>
      <c r="L397" s="23"/>
      <c r="M397" s="30"/>
      <c r="N397" s="23"/>
      <c r="O397" s="23"/>
      <c r="P397" s="23"/>
      <c r="Q397" s="23"/>
      <c r="R397" s="23"/>
      <c r="S397" s="23"/>
      <c r="T397" s="23"/>
      <c r="U397" s="23"/>
      <c r="V397" s="23"/>
      <c r="W397" s="23"/>
      <c r="X397" s="23"/>
      <c r="Y397" s="23"/>
    </row>
    <row r="398" spans="1:25" x14ac:dyDescent="0.2">
      <c r="A398" s="87" t="str">
        <f>[94]Base_02!$C$28</f>
        <v>Nama PB 1</v>
      </c>
      <c r="B398" s="87"/>
      <c r="C398" s="87"/>
      <c r="D398" s="87"/>
      <c r="E398" s="87"/>
      <c r="F398" s="87"/>
      <c r="G398" s="23"/>
      <c r="H398" s="23"/>
      <c r="I398" s="23"/>
      <c r="J398" s="23"/>
      <c r="K398" s="23"/>
      <c r="L398" s="71" t="str">
        <f>E354</f>
        <v>Nama PB 7</v>
      </c>
      <c r="M398" s="71"/>
      <c r="N398" s="71"/>
      <c r="O398" s="71"/>
      <c r="P398" s="71"/>
      <c r="Q398" s="23"/>
      <c r="R398" s="23"/>
      <c r="S398" s="23"/>
      <c r="T398" s="23"/>
      <c r="U398" s="23"/>
      <c r="V398" s="23"/>
      <c r="W398" s="23"/>
      <c r="X398" s="23"/>
      <c r="Y398" s="23"/>
    </row>
    <row r="399" spans="1:25" x14ac:dyDescent="0.2">
      <c r="A399" s="23"/>
      <c r="B399" s="23"/>
      <c r="C399" s="23"/>
      <c r="D399" s="23"/>
      <c r="E399" s="23"/>
      <c r="F399" s="23"/>
      <c r="G399" s="23"/>
      <c r="H399" s="23"/>
      <c r="I399" s="23"/>
      <c r="J399" s="23"/>
      <c r="K399" s="23"/>
      <c r="L399" s="23"/>
      <c r="M399" s="30"/>
      <c r="N399" s="23"/>
      <c r="O399" s="23"/>
      <c r="P399" s="23"/>
      <c r="Q399" s="23"/>
      <c r="R399" s="23"/>
      <c r="S399" s="23"/>
      <c r="T399" s="23"/>
      <c r="U399" s="23"/>
      <c r="V399" s="23"/>
      <c r="W399" s="23"/>
      <c r="X399" s="23"/>
      <c r="Y399" s="23"/>
    </row>
    <row r="400" spans="1:25" x14ac:dyDescent="0.2">
      <c r="A400" s="87" t="s">
        <v>109</v>
      </c>
      <c r="B400" s="87"/>
      <c r="C400" s="87"/>
      <c r="D400" s="87"/>
      <c r="E400" s="87"/>
      <c r="F400" s="87"/>
      <c r="G400" s="23"/>
      <c r="H400" s="23"/>
      <c r="I400" s="29"/>
      <c r="J400" s="24"/>
      <c r="K400" s="24"/>
      <c r="L400" s="88" t="s">
        <v>92</v>
      </c>
      <c r="M400" s="88"/>
      <c r="N400" s="88"/>
      <c r="O400" s="88"/>
      <c r="P400" s="88"/>
      <c r="Q400" s="23"/>
      <c r="R400" s="23"/>
      <c r="S400" s="23"/>
      <c r="T400" s="23"/>
      <c r="U400" s="23"/>
      <c r="V400" s="23"/>
      <c r="W400" s="23"/>
      <c r="X400" s="23"/>
      <c r="Y400" s="23"/>
    </row>
    <row r="401" spans="1:25" x14ac:dyDescent="0.2">
      <c r="A401" s="68" t="s">
        <v>91</v>
      </c>
      <c r="B401" s="68"/>
      <c r="C401" s="68"/>
      <c r="D401" s="68"/>
      <c r="E401" s="68"/>
      <c r="F401" s="68"/>
      <c r="I401" s="28"/>
      <c r="J401" s="28"/>
      <c r="K401" s="28"/>
      <c r="L401" s="69" t="str">
        <f>[94]Base_01!$B$17&amp;" "&amp;[94]Base_01!$C$4</f>
        <v>Koordinator Kota Sorong</v>
      </c>
      <c r="M401" s="69"/>
      <c r="N401" s="69"/>
      <c r="O401" s="69"/>
      <c r="P401" s="69"/>
      <c r="Q401" s="23"/>
      <c r="R401" s="23"/>
      <c r="S401" s="23"/>
      <c r="T401" s="23"/>
      <c r="U401" s="23"/>
      <c r="V401" s="23"/>
      <c r="W401" s="23"/>
      <c r="X401" s="23"/>
      <c r="Y401" s="23"/>
    </row>
    <row r="402" spans="1:25" x14ac:dyDescent="0.2">
      <c r="M402" s="27"/>
      <c r="Q402" s="23"/>
      <c r="R402" s="23"/>
      <c r="S402" s="23"/>
      <c r="T402" s="23"/>
      <c r="U402" s="23"/>
      <c r="V402" s="23"/>
      <c r="W402" s="23"/>
      <c r="X402" s="23"/>
      <c r="Y402" s="23"/>
    </row>
    <row r="403" spans="1:25" x14ac:dyDescent="0.2">
      <c r="M403" s="27"/>
      <c r="Q403" s="23"/>
      <c r="R403" s="23"/>
      <c r="S403" s="23"/>
      <c r="T403" s="23"/>
      <c r="U403" s="23"/>
      <c r="V403" s="23"/>
      <c r="W403" s="23"/>
      <c r="X403" s="23"/>
      <c r="Y403" s="23"/>
    </row>
    <row r="404" spans="1:25" x14ac:dyDescent="0.2">
      <c r="M404" s="27"/>
      <c r="Q404" s="23"/>
      <c r="R404" s="23"/>
      <c r="S404" s="23"/>
      <c r="T404" s="23"/>
      <c r="U404" s="23"/>
      <c r="V404" s="23"/>
      <c r="W404" s="23"/>
      <c r="X404" s="23"/>
      <c r="Y404" s="23"/>
    </row>
    <row r="405" spans="1:25" x14ac:dyDescent="0.2">
      <c r="M405" s="27"/>
      <c r="Q405" s="23"/>
      <c r="R405" s="23"/>
      <c r="S405" s="23"/>
      <c r="T405" s="23"/>
      <c r="U405" s="23"/>
      <c r="V405" s="23"/>
      <c r="W405" s="23"/>
      <c r="X405" s="23"/>
      <c r="Y405" s="23"/>
    </row>
    <row r="406" spans="1:25" x14ac:dyDescent="0.2">
      <c r="A406" s="68" t="str">
        <f>[94]Base_01!$C$20</f>
        <v>…...............         …...............</v>
      </c>
      <c r="B406" s="68"/>
      <c r="C406" s="68"/>
      <c r="D406" s="68"/>
      <c r="E406" s="68"/>
      <c r="F406" s="68"/>
      <c r="L406" s="68" t="str">
        <f>[94]Base_01!$C$17</f>
        <v>AfrIandi Yudhistira, S.T.</v>
      </c>
      <c r="M406" s="68"/>
      <c r="N406" s="68"/>
      <c r="O406" s="68"/>
      <c r="P406" s="68"/>
      <c r="Q406" s="23"/>
      <c r="R406" s="23"/>
      <c r="S406" s="23"/>
      <c r="T406" s="23"/>
      <c r="U406" s="23"/>
      <c r="V406" s="23"/>
      <c r="W406" s="23"/>
      <c r="X406" s="23"/>
      <c r="Y406" s="23"/>
    </row>
    <row r="407" spans="1:25" x14ac:dyDescent="0.2">
      <c r="A407" s="86" t="s">
        <v>149</v>
      </c>
      <c r="B407" s="86"/>
      <c r="C407" s="86"/>
      <c r="D407" s="86"/>
      <c r="E407" s="86"/>
      <c r="F407" s="86"/>
      <c r="G407" s="86"/>
      <c r="H407" s="86"/>
      <c r="I407" s="86"/>
      <c r="J407" s="86"/>
      <c r="K407" s="86"/>
      <c r="L407" s="86"/>
      <c r="M407" s="86"/>
      <c r="N407" s="86"/>
      <c r="O407" s="86"/>
      <c r="P407" s="86"/>
      <c r="Q407" s="23">
        <f>Q349+1</f>
        <v>8</v>
      </c>
      <c r="R407" s="23"/>
      <c r="S407" s="23"/>
      <c r="T407" s="23"/>
      <c r="U407" s="23"/>
      <c r="V407" s="23"/>
      <c r="W407" s="23"/>
      <c r="X407" s="23"/>
      <c r="Y407" s="23"/>
    </row>
    <row r="408" spans="1:25" x14ac:dyDescent="0.2">
      <c r="A408" s="71" t="s">
        <v>148</v>
      </c>
      <c r="B408" s="71"/>
      <c r="C408" s="71"/>
      <c r="D408" s="71"/>
      <c r="E408" s="71"/>
      <c r="F408" s="71"/>
      <c r="G408" s="71"/>
      <c r="H408" s="71"/>
      <c r="I408" s="71"/>
      <c r="J408" s="71"/>
      <c r="K408" s="71"/>
      <c r="L408" s="71"/>
      <c r="M408" s="71"/>
      <c r="N408" s="71"/>
      <c r="O408" s="71"/>
      <c r="P408" s="71"/>
      <c r="Q408" s="23"/>
      <c r="R408" s="23"/>
      <c r="S408" s="23"/>
      <c r="T408" s="23"/>
      <c r="U408" s="23"/>
      <c r="V408" s="23"/>
      <c r="W408" s="23"/>
      <c r="X408" s="23"/>
      <c r="Y408" s="23"/>
    </row>
    <row r="409" spans="1:25" x14ac:dyDescent="0.2">
      <c r="A409" s="25"/>
      <c r="B409" s="25"/>
      <c r="C409" s="25"/>
      <c r="D409" s="25"/>
      <c r="E409" s="25"/>
      <c r="F409" s="25"/>
      <c r="G409" s="25"/>
      <c r="H409" s="25"/>
      <c r="I409" s="23"/>
      <c r="J409" s="24"/>
      <c r="K409" s="24"/>
      <c r="L409" s="24"/>
      <c r="M409" s="24"/>
      <c r="N409" s="24"/>
      <c r="O409" s="24"/>
      <c r="P409" s="24"/>
      <c r="Q409" s="23"/>
      <c r="R409" s="23"/>
      <c r="S409" s="23"/>
      <c r="T409" s="23"/>
      <c r="U409" s="23"/>
      <c r="V409" s="23"/>
      <c r="W409" s="23"/>
      <c r="X409" s="23"/>
      <c r="Y409" s="23"/>
    </row>
    <row r="410" spans="1:25" x14ac:dyDescent="0.2">
      <c r="A410" s="73" t="s">
        <v>147</v>
      </c>
      <c r="B410" s="73"/>
      <c r="C410" s="73"/>
      <c r="D410" s="73"/>
      <c r="E410" s="35" t="str">
        <f>VLOOKUP(Q407,[94]Base_02!$A$5:$AD$24,2,0)</f>
        <v>000008</v>
      </c>
      <c r="F410" s="23"/>
      <c r="G410" s="23"/>
      <c r="H410" s="24"/>
      <c r="I410" s="23"/>
      <c r="J410" s="24"/>
      <c r="K410" s="24"/>
      <c r="L410" s="24"/>
      <c r="M410" s="24"/>
      <c r="N410" s="24"/>
      <c r="O410" s="24"/>
      <c r="P410" s="24"/>
      <c r="Q410" s="23"/>
      <c r="R410" s="23"/>
      <c r="S410" s="23"/>
      <c r="T410" s="23"/>
      <c r="U410" s="23"/>
      <c r="V410" s="23"/>
      <c r="W410" s="23"/>
      <c r="X410" s="23"/>
      <c r="Y410" s="23"/>
    </row>
    <row r="411" spans="1:25" x14ac:dyDescent="0.2">
      <c r="A411" s="73" t="s">
        <v>68</v>
      </c>
      <c r="B411" s="73"/>
      <c r="C411" s="73"/>
      <c r="D411" s="73"/>
      <c r="E411" s="35">
        <f>VLOOKUP(Q407,[94]Base_02!$A$5:$AD$24,14,0)</f>
        <v>0</v>
      </c>
      <c r="F411" s="23"/>
      <c r="G411" s="23"/>
      <c r="H411" s="24"/>
      <c r="I411" s="23"/>
      <c r="J411" s="24"/>
      <c r="K411" s="24"/>
      <c r="L411" s="24"/>
      <c r="M411" s="24"/>
      <c r="N411" s="24"/>
      <c r="O411" s="24"/>
      <c r="P411" s="24"/>
      <c r="Q411" s="23"/>
      <c r="R411" s="23"/>
      <c r="S411" s="23"/>
      <c r="T411" s="23"/>
      <c r="U411" s="23"/>
      <c r="V411" s="23"/>
      <c r="W411" s="23"/>
      <c r="X411" s="23"/>
      <c r="Y411" s="23"/>
    </row>
    <row r="412" spans="1:25" x14ac:dyDescent="0.2">
      <c r="A412" s="73" t="s">
        <v>150</v>
      </c>
      <c r="B412" s="73"/>
      <c r="C412" s="73"/>
      <c r="D412" s="73"/>
      <c r="E412" s="35" t="str">
        <f>VLOOKUP(Q407,[94]Base_02!$A$5:$AD$24,3,0)</f>
        <v>Nama PB 8</v>
      </c>
      <c r="F412" s="23"/>
      <c r="G412" s="23"/>
      <c r="H412" s="24"/>
      <c r="I412" s="23"/>
      <c r="J412" s="24"/>
      <c r="K412" s="24"/>
      <c r="L412" s="24"/>
      <c r="M412" s="24"/>
      <c r="N412" s="24"/>
      <c r="O412" s="24"/>
      <c r="P412" s="24"/>
      <c r="Q412" s="23"/>
      <c r="R412" s="23"/>
      <c r="S412" s="23"/>
      <c r="T412" s="23"/>
      <c r="U412" s="23"/>
      <c r="V412" s="23"/>
      <c r="W412" s="23"/>
      <c r="X412" s="23"/>
      <c r="Y412" s="23"/>
    </row>
    <row r="413" spans="1:25" x14ac:dyDescent="0.2">
      <c r="A413" s="73" t="s">
        <v>18</v>
      </c>
      <c r="B413" s="73"/>
      <c r="C413" s="73"/>
      <c r="D413" s="73"/>
      <c r="E413" s="35" t="str">
        <f>VLOOKUP(Q407,[94]Base_02!$A$5:$Z$24,11,FALSE)&amp;", RT "&amp;VLOOKUP(Q407,[94]Base_02!$A$5:$Z$24,12,FALSE)&amp;", RW "&amp;VLOOKUP(Q407,[94]Base_02!$A$5:$Z$24,13,FALSE)</f>
        <v>Jalan Kanal Victory, RT 2, RW 1</v>
      </c>
      <c r="F413" s="23"/>
      <c r="G413" s="23"/>
      <c r="H413" s="35"/>
      <c r="I413" s="23"/>
      <c r="J413" s="24"/>
      <c r="K413" s="24"/>
      <c r="L413" s="24"/>
      <c r="M413" s="24"/>
      <c r="N413" s="24"/>
      <c r="O413" s="24"/>
      <c r="P413" s="24"/>
      <c r="Q413" s="23"/>
      <c r="R413" s="23"/>
      <c r="S413" s="23"/>
      <c r="T413" s="23"/>
      <c r="U413" s="23"/>
      <c r="V413" s="23"/>
      <c r="W413" s="23"/>
      <c r="X413" s="23"/>
      <c r="Y413" s="23"/>
    </row>
    <row r="414" spans="1:25" x14ac:dyDescent="0.2">
      <c r="A414" s="73" t="str">
        <f>[94]Base_01!$B$2</f>
        <v>Kelurahan</v>
      </c>
      <c r="B414" s="73"/>
      <c r="C414" s="73"/>
      <c r="D414" s="73"/>
      <c r="E414" s="35" t="str">
        <f>[94]Base_01!$C$2</f>
        <v>Klasabi</v>
      </c>
      <c r="F414" s="23"/>
      <c r="G414" s="23"/>
      <c r="H414" s="24"/>
      <c r="I414" s="23"/>
      <c r="J414" s="24"/>
      <c r="K414" s="24"/>
      <c r="L414" s="24"/>
      <c r="M414" s="24"/>
      <c r="N414" s="24"/>
      <c r="O414" s="24"/>
      <c r="P414" s="24"/>
      <c r="Q414" s="23" t="s">
        <v>146</v>
      </c>
      <c r="R414" s="23"/>
      <c r="S414" s="23"/>
      <c r="T414" s="23"/>
      <c r="U414" s="23"/>
      <c r="V414" s="23"/>
      <c r="W414" s="23"/>
      <c r="X414" s="23"/>
      <c r="Y414" s="23"/>
    </row>
    <row r="415" spans="1:25" x14ac:dyDescent="0.2">
      <c r="A415" s="73" t="s">
        <v>19</v>
      </c>
      <c r="B415" s="73"/>
      <c r="C415" s="73"/>
      <c r="D415" s="73"/>
      <c r="E415" s="35" t="str">
        <f>[94]Base_01!$C$3</f>
        <v>Sorong Manoi</v>
      </c>
      <c r="F415" s="23"/>
      <c r="G415" s="23"/>
      <c r="H415" s="24"/>
      <c r="I415" s="23"/>
      <c r="J415" s="24"/>
      <c r="K415" s="24"/>
      <c r="L415" s="24"/>
      <c r="M415" s="24"/>
      <c r="N415" s="24"/>
      <c r="O415" s="24"/>
      <c r="P415" s="24"/>
      <c r="Q415" s="23" t="s">
        <v>145</v>
      </c>
      <c r="R415" s="23"/>
      <c r="S415" s="23"/>
      <c r="T415" s="23"/>
      <c r="U415" s="23"/>
      <c r="V415" s="23"/>
      <c r="W415" s="23"/>
      <c r="X415" s="23"/>
      <c r="Y415" s="23"/>
    </row>
    <row r="416" spans="1:25" x14ac:dyDescent="0.2">
      <c r="A416" s="73" t="str">
        <f>[94]Base_01!$B$4</f>
        <v>Kota</v>
      </c>
      <c r="B416" s="73"/>
      <c r="C416" s="73"/>
      <c r="D416" s="73"/>
      <c r="E416" s="35" t="str">
        <f>[94]Base_01!$C$4</f>
        <v>Sorong</v>
      </c>
      <c r="F416" s="23"/>
      <c r="G416" s="23"/>
      <c r="H416" s="24"/>
      <c r="I416" s="23"/>
      <c r="J416" s="24"/>
      <c r="K416" s="24"/>
      <c r="L416" s="24"/>
      <c r="M416" s="24"/>
      <c r="N416" s="24"/>
      <c r="O416" s="24"/>
      <c r="P416" s="24"/>
      <c r="Q416" s="23" t="s">
        <v>144</v>
      </c>
      <c r="R416" s="23"/>
      <c r="S416" s="23"/>
      <c r="T416" s="23"/>
      <c r="U416" s="23"/>
      <c r="V416" s="23"/>
      <c r="W416" s="23"/>
      <c r="X416" s="23"/>
      <c r="Y416" s="23"/>
    </row>
    <row r="417" spans="1:25" x14ac:dyDescent="0.2">
      <c r="A417" s="73" t="str">
        <f>[94]Base_01!$B$5</f>
        <v>Provinsi</v>
      </c>
      <c r="B417" s="73"/>
      <c r="C417" s="73"/>
      <c r="D417" s="73"/>
      <c r="E417" s="23" t="str">
        <f>[94]Base_01!$C$5</f>
        <v>Papua Barat Daya</v>
      </c>
      <c r="F417" s="23"/>
      <c r="G417" s="24"/>
      <c r="H417" s="24"/>
      <c r="I417" s="23"/>
      <c r="J417" s="24"/>
      <c r="K417" s="24"/>
      <c r="L417" s="24"/>
      <c r="M417" s="24"/>
      <c r="N417" s="24"/>
      <c r="O417" s="24"/>
      <c r="P417" s="24"/>
      <c r="Q417" s="23" t="s">
        <v>143</v>
      </c>
      <c r="R417" s="23"/>
      <c r="S417" s="23"/>
      <c r="T417" s="23"/>
      <c r="U417" s="23"/>
      <c r="V417" s="23"/>
      <c r="W417" s="23"/>
      <c r="X417" s="23"/>
      <c r="Y417" s="23"/>
    </row>
    <row r="418" spans="1:25" x14ac:dyDescent="0.2">
      <c r="A418" s="23"/>
      <c r="B418" s="23"/>
      <c r="C418" s="23"/>
      <c r="D418" s="23"/>
      <c r="E418" s="23"/>
      <c r="F418" s="23"/>
      <c r="G418" s="23"/>
      <c r="H418" s="23"/>
      <c r="I418" s="24"/>
      <c r="J418" s="24"/>
      <c r="K418" s="24"/>
      <c r="L418" s="24"/>
      <c r="M418" s="24"/>
      <c r="N418" s="24"/>
      <c r="O418" s="24"/>
      <c r="P418" s="24"/>
      <c r="Q418" s="23"/>
      <c r="R418" s="23"/>
      <c r="S418" s="23"/>
      <c r="T418" s="23"/>
      <c r="U418" s="23"/>
      <c r="V418" s="23"/>
      <c r="W418" s="23"/>
      <c r="X418" s="23"/>
      <c r="Y418" s="23"/>
    </row>
    <row r="419" spans="1:25" x14ac:dyDescent="0.2">
      <c r="A419" s="33"/>
      <c r="B419" s="33"/>
      <c r="C419" s="33"/>
      <c r="D419" s="33"/>
      <c r="E419" s="33"/>
      <c r="F419" s="33"/>
      <c r="G419" s="33"/>
      <c r="H419" s="33"/>
      <c r="I419" s="33"/>
      <c r="J419" s="33"/>
      <c r="K419" s="33"/>
      <c r="L419" s="33"/>
      <c r="M419" s="34"/>
      <c r="N419" s="33"/>
      <c r="O419" s="33"/>
      <c r="P419" s="33"/>
      <c r="Q419" s="23"/>
      <c r="R419" s="23"/>
      <c r="S419" s="23"/>
      <c r="T419" s="23"/>
      <c r="U419" s="23"/>
      <c r="V419" s="23"/>
      <c r="W419" s="23"/>
      <c r="X419" s="23"/>
      <c r="Y419" s="23"/>
    </row>
    <row r="420" spans="1:25" x14ac:dyDescent="0.2">
      <c r="A420" s="80" t="s">
        <v>142</v>
      </c>
      <c r="B420" s="81"/>
      <c r="C420" s="81"/>
      <c r="D420" s="81"/>
      <c r="E420" s="81"/>
      <c r="F420" s="81"/>
      <c r="G420" s="81"/>
      <c r="H420" s="81"/>
      <c r="I420" s="80" t="s">
        <v>151</v>
      </c>
      <c r="J420" s="81"/>
      <c r="K420" s="81"/>
      <c r="L420" s="81"/>
      <c r="M420" s="81"/>
      <c r="N420" s="81"/>
      <c r="O420" s="81"/>
      <c r="P420" s="82"/>
      <c r="Q420" s="23"/>
      <c r="R420" s="23"/>
      <c r="S420" s="23"/>
      <c r="T420" s="23"/>
      <c r="U420" s="23"/>
      <c r="V420" s="21"/>
      <c r="W420" s="21"/>
      <c r="X420" s="21"/>
      <c r="Y420" s="21"/>
    </row>
    <row r="421" spans="1:25" x14ac:dyDescent="0.2">
      <c r="A421" s="48"/>
      <c r="B421" s="49"/>
      <c r="C421" s="49"/>
      <c r="D421" s="50"/>
      <c r="E421" s="50"/>
      <c r="F421" s="49"/>
      <c r="G421" s="49"/>
      <c r="H421" s="49"/>
      <c r="I421" s="48"/>
      <c r="J421" s="49"/>
      <c r="K421" s="49"/>
      <c r="L421" s="50"/>
      <c r="M421" s="50"/>
      <c r="N421" s="49"/>
      <c r="O421" s="49"/>
      <c r="P421" s="51"/>
      <c r="Q421" s="23"/>
      <c r="R421" s="23"/>
      <c r="S421" s="23"/>
      <c r="T421" s="23"/>
      <c r="U421" s="23"/>
      <c r="V421" s="21"/>
      <c r="W421" s="21"/>
      <c r="X421" s="21"/>
      <c r="Y421" s="21"/>
    </row>
    <row r="422" spans="1:25" ht="16" x14ac:dyDescent="0.2">
      <c r="A422" s="36" t="s">
        <v>141</v>
      </c>
      <c r="B422" s="23"/>
      <c r="C422" s="26" t="s">
        <v>112</v>
      </c>
      <c r="D422" s="83">
        <f>VLOOKUP(Q407,[95]Base_03!$A$5:$AS$24,5,0)</f>
        <v>36</v>
      </c>
      <c r="E422" s="84"/>
      <c r="F422" s="23" t="s">
        <v>140</v>
      </c>
      <c r="G422" s="23"/>
      <c r="H422" s="23"/>
      <c r="I422" s="36" t="s">
        <v>141</v>
      </c>
      <c r="J422" s="26"/>
      <c r="K422" s="26" t="s">
        <v>119</v>
      </c>
      <c r="L422" s="85">
        <f>VLOOKUP(Q407,[95]Base_04!$A$5:$AS$24,5,0)</f>
        <v>49</v>
      </c>
      <c r="M422" s="85"/>
      <c r="N422" s="30" t="s">
        <v>140</v>
      </c>
      <c r="O422" s="23"/>
      <c r="P422" s="37"/>
      <c r="Q422" s="23"/>
      <c r="R422" s="23"/>
      <c r="S422" s="23"/>
      <c r="T422" s="23"/>
      <c r="U422" s="23"/>
      <c r="V422" s="21"/>
      <c r="W422" s="21"/>
      <c r="X422" s="21"/>
      <c r="Y422" s="21"/>
    </row>
    <row r="423" spans="1:25" ht="15" customHeight="1" x14ac:dyDescent="0.2">
      <c r="A423" s="38" t="s">
        <v>139</v>
      </c>
      <c r="B423" s="23"/>
      <c r="C423" s="26"/>
      <c r="D423" s="79" t="s">
        <v>131</v>
      </c>
      <c r="E423" s="79"/>
      <c r="F423" s="79" t="s">
        <v>130</v>
      </c>
      <c r="G423" s="79"/>
      <c r="H423" s="23"/>
      <c r="I423" s="38" t="s">
        <v>139</v>
      </c>
      <c r="J423" s="23"/>
      <c r="K423" s="26"/>
      <c r="L423" s="79" t="s">
        <v>131</v>
      </c>
      <c r="M423" s="79"/>
      <c r="N423" s="79" t="s">
        <v>130</v>
      </c>
      <c r="O423" s="79"/>
      <c r="P423" s="52"/>
      <c r="Q423" s="23"/>
      <c r="R423" s="23"/>
      <c r="S423" s="23"/>
      <c r="T423" s="23"/>
      <c r="U423" s="23"/>
      <c r="V423" s="21"/>
      <c r="W423" s="21"/>
      <c r="X423" s="21"/>
      <c r="Y423" s="21"/>
    </row>
    <row r="424" spans="1:25" x14ac:dyDescent="0.2">
      <c r="A424" s="39"/>
      <c r="B424" s="23"/>
      <c r="C424" s="26"/>
      <c r="D424" s="79"/>
      <c r="E424" s="79"/>
      <c r="F424" s="79"/>
      <c r="G424" s="79"/>
      <c r="H424" s="23"/>
      <c r="I424" s="39"/>
      <c r="J424" s="23"/>
      <c r="K424" s="26"/>
      <c r="L424" s="79"/>
      <c r="M424" s="79"/>
      <c r="N424" s="79"/>
      <c r="O424" s="79"/>
      <c r="P424" s="52"/>
      <c r="Q424" s="23"/>
      <c r="R424" s="23"/>
      <c r="S424" s="23"/>
      <c r="T424" s="23"/>
      <c r="U424" s="23"/>
      <c r="V424" s="21"/>
      <c r="W424" s="21"/>
      <c r="X424" s="21"/>
      <c r="Y424" s="21"/>
    </row>
    <row r="425" spans="1:25" x14ac:dyDescent="0.2">
      <c r="A425" s="72" t="s">
        <v>138</v>
      </c>
      <c r="B425" s="73"/>
      <c r="C425" s="73" t="s">
        <v>112</v>
      </c>
      <c r="D425" s="78" t="str">
        <f>VLOOKUP(Q407,[95]Base_03!$A$5:$AS$24,6,0)</f>
        <v>BT 8</v>
      </c>
      <c r="E425" s="78"/>
      <c r="F425" s="77">
        <f>VLOOKUP(Q407,[95]Base_03!$A$5:$AS$24,12,0)</f>
        <v>0</v>
      </c>
      <c r="G425" s="77"/>
      <c r="H425" s="23" t="s">
        <v>134</v>
      </c>
      <c r="I425" s="72" t="s">
        <v>138</v>
      </c>
      <c r="J425" s="73"/>
      <c r="K425" s="73"/>
      <c r="L425" s="78" t="str">
        <f>VLOOKUP(Q407,[95]Base_04!$A$5:$AS$24,6,0)</f>
        <v>BT 8</v>
      </c>
      <c r="M425" s="78"/>
      <c r="N425" s="77">
        <f>VLOOKUP(Q407,[95]Base_04!$A$5:$AS$24,12,0)</f>
        <v>0</v>
      </c>
      <c r="O425" s="77"/>
      <c r="P425" s="37" t="s">
        <v>134</v>
      </c>
      <c r="Q425" s="23" t="s">
        <v>123</v>
      </c>
      <c r="R425" s="23"/>
      <c r="S425" s="23"/>
      <c r="T425" s="23"/>
      <c r="U425" s="23"/>
      <c r="V425" s="21"/>
      <c r="W425" s="21"/>
      <c r="X425" s="21"/>
      <c r="Y425" s="21"/>
    </row>
    <row r="426" spans="1:25" x14ac:dyDescent="0.2">
      <c r="A426" s="72" t="s">
        <v>137</v>
      </c>
      <c r="B426" s="73"/>
      <c r="C426" s="73" t="s">
        <v>112</v>
      </c>
      <c r="D426" s="78" t="str">
        <f>VLOOKUP(Q407,[95]Base_03!$A$5:$AS$24,13,0)</f>
        <v>S 8</v>
      </c>
      <c r="E426" s="78"/>
      <c r="F426" s="77">
        <f>VLOOKUP(Q407,[95]Base_03!$A$5:$AS$24,15,0)</f>
        <v>0</v>
      </c>
      <c r="G426" s="77"/>
      <c r="H426" s="23" t="s">
        <v>134</v>
      </c>
      <c r="I426" s="72" t="s">
        <v>137</v>
      </c>
      <c r="J426" s="73"/>
      <c r="K426" s="73"/>
      <c r="L426" s="78" t="str">
        <f>VLOOKUP(Q407,[95]Base_04!$A$5:$AS$24,13,0)</f>
        <v>S 8</v>
      </c>
      <c r="M426" s="78"/>
      <c r="N426" s="77">
        <f>VLOOKUP(Q407,[95]Base_04!$A$5:$AS$24,15,0)</f>
        <v>0</v>
      </c>
      <c r="O426" s="77"/>
      <c r="P426" s="37" t="s">
        <v>134</v>
      </c>
      <c r="Q426" s="23" t="s">
        <v>123</v>
      </c>
      <c r="R426" s="23"/>
      <c r="S426" s="23"/>
      <c r="T426" s="23"/>
      <c r="U426" s="23"/>
      <c r="V426" s="21"/>
      <c r="W426" s="21"/>
      <c r="X426" s="21"/>
      <c r="Y426" s="21"/>
    </row>
    <row r="427" spans="1:25" x14ac:dyDescent="0.2">
      <c r="A427" s="72" t="s">
        <v>136</v>
      </c>
      <c r="B427" s="73"/>
      <c r="C427" s="73" t="s">
        <v>112</v>
      </c>
      <c r="D427" s="78" t="str">
        <f>VLOOKUP(Q407,[95]Base_03!$A$5:$AS$24,16,0)</f>
        <v>B 8</v>
      </c>
      <c r="E427" s="78"/>
      <c r="F427" s="77">
        <f>VLOOKUP(Q407,[95]Base_03!$A$5:$AS$24,22,0)</f>
        <v>0</v>
      </c>
      <c r="G427" s="77"/>
      <c r="H427" s="23" t="s">
        <v>134</v>
      </c>
      <c r="I427" s="72" t="s">
        <v>136</v>
      </c>
      <c r="J427" s="73"/>
      <c r="K427" s="73"/>
      <c r="L427" s="78" t="str">
        <f>VLOOKUP(Q407,[95]Base_04!$A$5:$AS$24,16,0)</f>
        <v>B 8</v>
      </c>
      <c r="M427" s="78"/>
      <c r="N427" s="77">
        <f>VLOOKUP(Q407,[95]Base_04!$A$5:$AS$24,22,0)</f>
        <v>0</v>
      </c>
      <c r="O427" s="77"/>
      <c r="P427" s="37" t="s">
        <v>134</v>
      </c>
      <c r="Q427" s="23" t="s">
        <v>123</v>
      </c>
      <c r="R427" s="23"/>
      <c r="S427" s="23"/>
      <c r="T427" s="23"/>
      <c r="U427" s="23"/>
      <c r="V427" s="21"/>
      <c r="W427" s="21"/>
      <c r="X427" s="21"/>
      <c r="Y427" s="21"/>
    </row>
    <row r="428" spans="1:25" x14ac:dyDescent="0.2">
      <c r="A428" s="72" t="s">
        <v>135</v>
      </c>
      <c r="B428" s="73"/>
      <c r="C428" s="73" t="s">
        <v>112</v>
      </c>
      <c r="D428" s="78" t="str">
        <f>VLOOKUP(Q407,[95]Base_03!$A$5:$AS$24,23,0)</f>
        <v>K 8</v>
      </c>
      <c r="E428" s="78"/>
      <c r="F428" s="77">
        <f>VLOOKUP(Q407,[95]Base_03!$A$5:$AS$24,24,0)</f>
        <v>0</v>
      </c>
      <c r="G428" s="77"/>
      <c r="H428" s="23" t="s">
        <v>134</v>
      </c>
      <c r="I428" s="72" t="s">
        <v>135</v>
      </c>
      <c r="J428" s="73"/>
      <c r="K428" s="73"/>
      <c r="L428" s="78" t="str">
        <f>VLOOKUP(Q407,[95]Base_04!$A$5:$AS$24,23,0)</f>
        <v>K 8</v>
      </c>
      <c r="M428" s="78"/>
      <c r="N428" s="77">
        <f>VLOOKUP(Q407,[95]Base_04!$A$5:$AS$24,24,0)</f>
        <v>0</v>
      </c>
      <c r="O428" s="77"/>
      <c r="P428" s="37" t="s">
        <v>134</v>
      </c>
      <c r="Q428" s="23" t="s">
        <v>123</v>
      </c>
      <c r="R428" s="23"/>
      <c r="S428" s="23"/>
      <c r="T428" s="23"/>
      <c r="U428" s="23"/>
      <c r="V428" s="21"/>
      <c r="W428" s="21"/>
      <c r="X428" s="21"/>
      <c r="Y428" s="21"/>
    </row>
    <row r="429" spans="1:25" x14ac:dyDescent="0.2">
      <c r="A429" s="72" t="s">
        <v>133</v>
      </c>
      <c r="B429" s="73"/>
      <c r="C429" s="73" t="s">
        <v>112</v>
      </c>
      <c r="D429" s="78" t="str">
        <f>VLOOKUP(Q407,[95]Base_03!$A$5:$AS$24,25,0)</f>
        <v>K 8</v>
      </c>
      <c r="E429" s="78"/>
      <c r="F429" s="77">
        <f>VLOOKUP(Q407,[95]Base_03!$A$5:$AS$24,26,0)</f>
        <v>73.900834456272094</v>
      </c>
      <c r="G429" s="77"/>
      <c r="H429" s="23" t="s">
        <v>124</v>
      </c>
      <c r="I429" s="72" t="s">
        <v>133</v>
      </c>
      <c r="J429" s="73"/>
      <c r="K429" s="73"/>
      <c r="L429" s="78" t="str">
        <f>VLOOKUP(Q407,[95]Base_04!$A$5:$AS$24,25,0)</f>
        <v>K 8</v>
      </c>
      <c r="M429" s="78"/>
      <c r="N429" s="77">
        <f>VLOOKUP(Q407,[95]Base_04!$A$5:$AS$24,26,0)</f>
        <v>93.530743608719362</v>
      </c>
      <c r="O429" s="77"/>
      <c r="P429" s="37" t="s">
        <v>124</v>
      </c>
      <c r="Q429" s="23" t="s">
        <v>123</v>
      </c>
      <c r="R429" s="23"/>
      <c r="S429" s="23"/>
      <c r="T429" s="23"/>
      <c r="U429" s="23"/>
      <c r="V429" s="21"/>
      <c r="W429" s="21"/>
      <c r="X429" s="21"/>
      <c r="Y429" s="21"/>
    </row>
    <row r="430" spans="1:25" x14ac:dyDescent="0.2">
      <c r="A430" s="40"/>
      <c r="B430" s="31"/>
      <c r="C430" s="31"/>
      <c r="D430" s="41"/>
      <c r="E430" s="41"/>
      <c r="F430" s="30"/>
      <c r="G430" s="23"/>
      <c r="H430" s="23"/>
      <c r="I430" s="40"/>
      <c r="J430" s="31"/>
      <c r="K430" s="31"/>
      <c r="L430" s="41"/>
      <c r="M430" s="41"/>
      <c r="N430" s="30"/>
      <c r="O430" s="23"/>
      <c r="P430" s="37"/>
      <c r="Q430" s="23"/>
      <c r="R430" s="23"/>
      <c r="S430" s="23"/>
      <c r="T430" s="23"/>
      <c r="U430" s="23"/>
      <c r="V430" s="21"/>
      <c r="W430" s="21"/>
      <c r="X430" s="21"/>
      <c r="Y430" s="21"/>
    </row>
    <row r="431" spans="1:25" x14ac:dyDescent="0.2">
      <c r="A431" s="38" t="s">
        <v>132</v>
      </c>
      <c r="B431" s="23"/>
      <c r="C431" s="26"/>
      <c r="D431" s="79" t="s">
        <v>131</v>
      </c>
      <c r="E431" s="79"/>
      <c r="F431" s="79" t="s">
        <v>130</v>
      </c>
      <c r="G431" s="79"/>
      <c r="H431" s="23"/>
      <c r="I431" s="38" t="s">
        <v>132</v>
      </c>
      <c r="J431" s="23"/>
      <c r="K431" s="26"/>
      <c r="L431" s="79" t="s">
        <v>131</v>
      </c>
      <c r="M431" s="79"/>
      <c r="N431" s="79" t="s">
        <v>130</v>
      </c>
      <c r="O431" s="79"/>
      <c r="P431" s="52"/>
      <c r="Q431" s="23"/>
      <c r="R431" s="23"/>
      <c r="S431" s="23"/>
      <c r="T431" s="23"/>
      <c r="U431" s="23"/>
      <c r="V431" s="21"/>
      <c r="W431" s="21"/>
      <c r="X431" s="21"/>
      <c r="Y431" s="21"/>
    </row>
    <row r="432" spans="1:25" x14ac:dyDescent="0.2">
      <c r="A432" s="39"/>
      <c r="B432" s="23"/>
      <c r="C432" s="26"/>
      <c r="D432" s="79"/>
      <c r="E432" s="79"/>
      <c r="F432" s="79"/>
      <c r="G432" s="79"/>
      <c r="H432" s="23"/>
      <c r="I432" s="39"/>
      <c r="J432" s="23"/>
      <c r="K432" s="26"/>
      <c r="L432" s="79"/>
      <c r="M432" s="79"/>
      <c r="N432" s="79"/>
      <c r="O432" s="79"/>
      <c r="P432" s="52"/>
      <c r="Q432" s="23"/>
      <c r="R432" s="23"/>
      <c r="S432" s="23"/>
      <c r="T432" s="23"/>
      <c r="U432" s="23"/>
      <c r="V432" s="21"/>
      <c r="W432" s="21"/>
      <c r="X432" s="21"/>
      <c r="Y432" s="21"/>
    </row>
    <row r="433" spans="1:25" x14ac:dyDescent="0.2">
      <c r="A433" s="72" t="s">
        <v>129</v>
      </c>
      <c r="B433" s="73"/>
      <c r="C433" s="73" t="s">
        <v>119</v>
      </c>
      <c r="D433" s="78" t="str">
        <f>VLOOKUP(Q407,[95]Base_03!$A$5:$AS$24,28,0)</f>
        <v xml:space="preserve"> G 8</v>
      </c>
      <c r="E433" s="78"/>
      <c r="F433" s="77">
        <f>VLOOKUP(Q407,[95]Base_03!$A$5:$AS$24,30,0)</f>
        <v>55</v>
      </c>
      <c r="G433" s="77"/>
      <c r="H433" s="23" t="s">
        <v>124</v>
      </c>
      <c r="I433" s="72" t="s">
        <v>129</v>
      </c>
      <c r="J433" s="73"/>
      <c r="K433" s="73" t="s">
        <v>119</v>
      </c>
      <c r="L433" s="78" t="str">
        <f>VLOOKUP(Q407,[95]Base_04!$A$5:$AS$24,28,0)</f>
        <v xml:space="preserve"> G 8</v>
      </c>
      <c r="M433" s="78"/>
      <c r="N433" s="77">
        <f>VLOOKUP(Q407,[95]Base_04!$A$5:$AS$24,30,0)</f>
        <v>55</v>
      </c>
      <c r="O433" s="77"/>
      <c r="P433" s="37" t="s">
        <v>124</v>
      </c>
      <c r="Q433" s="23" t="s">
        <v>123</v>
      </c>
      <c r="R433" s="23"/>
      <c r="S433" s="23"/>
      <c r="T433" s="23"/>
      <c r="U433" s="23"/>
      <c r="V433" s="21"/>
      <c r="W433" s="21"/>
      <c r="X433" s="21"/>
      <c r="Y433" s="21"/>
    </row>
    <row r="434" spans="1:25" x14ac:dyDescent="0.2">
      <c r="A434" s="72" t="s">
        <v>128</v>
      </c>
      <c r="B434" s="73"/>
      <c r="C434" s="73" t="s">
        <v>119</v>
      </c>
      <c r="D434" s="78" t="str">
        <f>VLOOKUP(Q407,[95]Base_03!$A$5:$AS$24,31,0)</f>
        <v>H 8</v>
      </c>
      <c r="E434" s="78"/>
      <c r="F434" s="77">
        <f>VLOOKUP(Q407,[95]Base_03!$A$5:$AS$24,34,0)</f>
        <v>-5.76</v>
      </c>
      <c r="G434" s="77"/>
      <c r="H434" s="23" t="s">
        <v>124</v>
      </c>
      <c r="I434" s="72" t="s">
        <v>128</v>
      </c>
      <c r="J434" s="73"/>
      <c r="K434" s="73" t="s">
        <v>119</v>
      </c>
      <c r="L434" s="78" t="str">
        <f>VLOOKUP(Q407,[95]Base_04!$A$5:$AS$24,31,0)</f>
        <v>H 8</v>
      </c>
      <c r="M434" s="78"/>
      <c r="N434" s="77">
        <f>VLOOKUP(Q407,[95]Base_04!$A$5:$AS$24,34,0)</f>
        <v>-5.76</v>
      </c>
      <c r="O434" s="77"/>
      <c r="P434" s="37" t="s">
        <v>124</v>
      </c>
      <c r="Q434" s="23" t="s">
        <v>123</v>
      </c>
      <c r="R434" s="23"/>
      <c r="S434" s="23"/>
      <c r="T434" s="23"/>
      <c r="U434" s="23"/>
      <c r="V434" s="21"/>
      <c r="W434" s="21"/>
      <c r="X434" s="21"/>
      <c r="Y434" s="21"/>
    </row>
    <row r="435" spans="1:25" x14ac:dyDescent="0.2">
      <c r="A435" s="89" t="s">
        <v>127</v>
      </c>
      <c r="B435" s="90"/>
      <c r="C435" s="90" t="s">
        <v>119</v>
      </c>
      <c r="D435" s="91" t="str">
        <f>VLOOKUP(Q407,[95]Base_03!$A$5:$AS$24,35,0)</f>
        <v>Kayu</v>
      </c>
      <c r="E435" s="91"/>
      <c r="F435" s="92">
        <f>VLOOKUP(Q407,[95]Base_03!$A$5:$AS$24,36,0)</f>
        <v>5.76</v>
      </c>
      <c r="G435" s="92"/>
      <c r="H435" s="23" t="s">
        <v>124</v>
      </c>
      <c r="I435" s="89" t="s">
        <v>127</v>
      </c>
      <c r="J435" s="90"/>
      <c r="K435" s="90" t="s">
        <v>119</v>
      </c>
      <c r="L435" s="91" t="str">
        <f>VLOOKUP(Q407,[95]Base_04!$A$5:$AS$24,35,0)</f>
        <v>Kayu</v>
      </c>
      <c r="M435" s="91"/>
      <c r="N435" s="92">
        <f>VLOOKUP(Q407,[95]Base_04!$A$5:$AS$24,36,0)</f>
        <v>5.76</v>
      </c>
      <c r="O435" s="92"/>
      <c r="P435" s="37" t="s">
        <v>124</v>
      </c>
      <c r="Q435" s="23" t="s">
        <v>123</v>
      </c>
      <c r="R435" s="23"/>
      <c r="S435" s="23"/>
      <c r="T435" s="23"/>
      <c r="U435" s="23"/>
      <c r="V435" s="21"/>
      <c r="W435" s="21"/>
      <c r="X435" s="21"/>
      <c r="Y435" s="21"/>
    </row>
    <row r="436" spans="1:25" x14ac:dyDescent="0.2">
      <c r="A436" s="74" t="s">
        <v>126</v>
      </c>
      <c r="B436" s="75"/>
      <c r="C436" s="75"/>
      <c r="D436" s="91"/>
      <c r="E436" s="91"/>
      <c r="F436" s="92"/>
      <c r="G436" s="92"/>
      <c r="H436" s="23"/>
      <c r="I436" s="74" t="s">
        <v>126</v>
      </c>
      <c r="J436" s="75"/>
      <c r="K436" s="75"/>
      <c r="L436" s="91"/>
      <c r="M436" s="91"/>
      <c r="N436" s="92"/>
      <c r="O436" s="92"/>
      <c r="P436" s="37"/>
      <c r="Q436" s="23"/>
      <c r="R436" s="23"/>
      <c r="S436" s="23"/>
      <c r="T436" s="23"/>
      <c r="U436" s="23"/>
      <c r="V436" s="21"/>
      <c r="W436" s="21"/>
      <c r="X436" s="21"/>
      <c r="Y436" s="21"/>
    </row>
    <row r="437" spans="1:25" x14ac:dyDescent="0.2">
      <c r="A437" s="72" t="s">
        <v>125</v>
      </c>
      <c r="B437" s="73"/>
      <c r="C437" s="73" t="s">
        <v>119</v>
      </c>
      <c r="D437" s="78" t="str">
        <f>VLOOKUP(Q407,[95]Base_03!$A$5:$AS$24,39,0)</f>
        <v>R 8</v>
      </c>
      <c r="E437" s="78"/>
      <c r="F437" s="77">
        <f>VLOOKUP(Q407,[95]Base_03!$A$5:$AS$24,40,0)</f>
        <v>36</v>
      </c>
      <c r="G437" s="77"/>
      <c r="H437" s="23" t="s">
        <v>124</v>
      </c>
      <c r="I437" s="72" t="s">
        <v>125</v>
      </c>
      <c r="J437" s="73"/>
      <c r="K437" s="73" t="s">
        <v>119</v>
      </c>
      <c r="L437" s="78" t="str">
        <f>VLOOKUP(Q407,[95]Base_04!$A$5:$AS$24,39,0)</f>
        <v>R 8</v>
      </c>
      <c r="M437" s="78"/>
      <c r="N437" s="77">
        <f>VLOOKUP(Q407,[95]Base_04!$A$5:$AS$24,40,0)</f>
        <v>49</v>
      </c>
      <c r="O437" s="77"/>
      <c r="P437" s="37" t="s">
        <v>124</v>
      </c>
      <c r="Q437" s="23" t="s">
        <v>123</v>
      </c>
      <c r="R437" s="23"/>
      <c r="S437" s="23"/>
      <c r="T437" s="23"/>
      <c r="U437" s="23"/>
      <c r="V437" s="21"/>
      <c r="W437" s="21"/>
      <c r="X437" s="21"/>
      <c r="Y437" s="21"/>
    </row>
    <row r="438" spans="1:25" x14ac:dyDescent="0.2">
      <c r="A438" s="39"/>
      <c r="B438" s="23"/>
      <c r="C438" s="23"/>
      <c r="D438" s="23"/>
      <c r="E438" s="23"/>
      <c r="F438" s="23"/>
      <c r="G438" s="23"/>
      <c r="H438" s="23"/>
      <c r="I438" s="39"/>
      <c r="J438" s="45"/>
      <c r="K438" s="45"/>
      <c r="L438" s="45"/>
      <c r="M438" s="23"/>
      <c r="N438" s="30"/>
      <c r="O438" s="23"/>
      <c r="P438" s="37"/>
      <c r="Q438" s="23"/>
      <c r="R438" s="23"/>
      <c r="S438" s="23"/>
      <c r="T438" s="23"/>
      <c r="U438" s="23"/>
      <c r="V438" s="21"/>
      <c r="W438" s="21"/>
      <c r="X438" s="21"/>
      <c r="Y438" s="21"/>
    </row>
    <row r="439" spans="1:25" x14ac:dyDescent="0.2">
      <c r="A439" s="72" t="s">
        <v>122</v>
      </c>
      <c r="B439" s="73"/>
      <c r="C439" s="73" t="s">
        <v>112</v>
      </c>
      <c r="D439" s="76">
        <f>VLOOKUP(Q407,[95]Base_03!$A$5:$AS$24,42,0)</f>
        <v>6.666666666666667</v>
      </c>
      <c r="E439" s="76"/>
      <c r="F439" s="25" t="s">
        <v>118</v>
      </c>
      <c r="G439" s="23"/>
      <c r="H439" s="23"/>
      <c r="I439" s="72" t="s">
        <v>122</v>
      </c>
      <c r="J439" s="73"/>
      <c r="K439" s="73" t="s">
        <v>112</v>
      </c>
      <c r="L439" s="76">
        <f>VLOOKUP(Q407,[95]Base_04!$A$5:$AS$24,42,0)</f>
        <v>4.8979591836734695</v>
      </c>
      <c r="M439" s="76"/>
      <c r="N439" s="46" t="s">
        <v>118</v>
      </c>
      <c r="O439" s="23"/>
      <c r="P439" s="37"/>
      <c r="Q439" s="32" t="s">
        <v>121</v>
      </c>
      <c r="R439" s="23"/>
      <c r="S439" s="23"/>
      <c r="T439" s="23"/>
      <c r="U439" s="23"/>
      <c r="V439" s="21"/>
      <c r="W439" s="21"/>
      <c r="X439" s="21"/>
      <c r="Y439" s="21"/>
    </row>
    <row r="440" spans="1:25" x14ac:dyDescent="0.2">
      <c r="A440" s="72" t="s">
        <v>120</v>
      </c>
      <c r="B440" s="73"/>
      <c r="C440" s="73" t="s">
        <v>119</v>
      </c>
      <c r="D440" s="76">
        <f>VLOOKUP(Q407,[95]Base_03!$A$5:$AS$24,43,0)</f>
        <v>9.6666666666666661</v>
      </c>
      <c r="E440" s="76"/>
      <c r="F440" s="25" t="s">
        <v>118</v>
      </c>
      <c r="G440" s="23"/>
      <c r="H440" s="23"/>
      <c r="I440" s="72" t="s">
        <v>120</v>
      </c>
      <c r="J440" s="73"/>
      <c r="K440" s="73" t="s">
        <v>119</v>
      </c>
      <c r="L440" s="76">
        <f>VLOOKUP(Q407,[95]Base_04!$A$5:$AS$24,43,0)</f>
        <v>7.1020408163265314</v>
      </c>
      <c r="M440" s="76"/>
      <c r="N440" s="46" t="s">
        <v>118</v>
      </c>
      <c r="O440" s="23"/>
      <c r="P440" s="37"/>
      <c r="Q440" s="32" t="s">
        <v>117</v>
      </c>
      <c r="R440" s="23"/>
      <c r="S440" s="23"/>
      <c r="T440" s="23"/>
      <c r="U440" s="23"/>
      <c r="V440" s="21"/>
      <c r="W440" s="21"/>
      <c r="X440" s="21"/>
      <c r="Y440" s="21"/>
    </row>
    <row r="441" spans="1:25" x14ac:dyDescent="0.2">
      <c r="A441" s="72" t="s">
        <v>115</v>
      </c>
      <c r="B441" s="73"/>
      <c r="C441" s="73"/>
      <c r="D441" s="71" t="str">
        <f>VLOOKUP(Q407,[95]Base_03!$A$5:$AS$24,44,0)</f>
        <v>(Ada) Baik</v>
      </c>
      <c r="E441" s="71"/>
      <c r="F441" s="23"/>
      <c r="G441" s="23"/>
      <c r="H441" s="23"/>
      <c r="I441" s="72" t="s">
        <v>115</v>
      </c>
      <c r="J441" s="73"/>
      <c r="K441" s="73"/>
      <c r="L441" s="71" t="str">
        <f>VLOOKUP(Q407,[95]Base_04!$A$5:$AS$24,44,0)</f>
        <v>(Ada) Baik</v>
      </c>
      <c r="M441" s="71"/>
      <c r="N441" s="30"/>
      <c r="O441" s="23"/>
      <c r="P441" s="37"/>
      <c r="Q441" s="23"/>
      <c r="R441" s="23"/>
      <c r="S441" s="23"/>
      <c r="T441" s="23"/>
      <c r="U441" s="23"/>
      <c r="V441" s="21"/>
      <c r="W441" s="21"/>
      <c r="X441" s="21"/>
      <c r="Y441" s="21"/>
    </row>
    <row r="442" spans="1:25" x14ac:dyDescent="0.2">
      <c r="A442" s="74" t="s">
        <v>116</v>
      </c>
      <c r="B442" s="75"/>
      <c r="C442" s="26"/>
      <c r="D442" s="25"/>
      <c r="E442" s="25"/>
      <c r="F442" s="23"/>
      <c r="G442" s="23"/>
      <c r="H442" s="23"/>
      <c r="I442" s="74" t="s">
        <v>116</v>
      </c>
      <c r="J442" s="75"/>
      <c r="K442" s="26"/>
      <c r="L442" s="25"/>
      <c r="M442" s="25"/>
      <c r="N442" s="30"/>
      <c r="O442" s="23"/>
      <c r="P442" s="37"/>
      <c r="Q442" s="23"/>
      <c r="R442" s="23"/>
      <c r="S442" s="23"/>
      <c r="T442" s="23"/>
      <c r="U442" s="23"/>
      <c r="V442" s="21"/>
      <c r="W442" s="21"/>
      <c r="X442" s="21"/>
      <c r="Y442" s="21"/>
    </row>
    <row r="443" spans="1:25" x14ac:dyDescent="0.2">
      <c r="A443" s="72" t="s">
        <v>115</v>
      </c>
      <c r="B443" s="73"/>
      <c r="C443" s="73"/>
      <c r="D443" s="71" t="str">
        <f>VLOOKUP(Q407,[95]Base_03!$A$5:$AS$24,45,0)</f>
        <v>Air Pam (Baik)</v>
      </c>
      <c r="E443" s="71"/>
      <c r="F443" s="23"/>
      <c r="G443" s="23"/>
      <c r="H443" s="23"/>
      <c r="I443" s="72" t="s">
        <v>115</v>
      </c>
      <c r="J443" s="73"/>
      <c r="K443" s="73"/>
      <c r="L443" s="71" t="str">
        <f>VLOOKUP(Q407,[95]Base_04!$A$5:$AS$24,45,0)</f>
        <v>Air Pam (Baik)</v>
      </c>
      <c r="M443" s="71"/>
      <c r="N443" s="30"/>
      <c r="O443" s="23"/>
      <c r="P443" s="37"/>
      <c r="Q443" s="23"/>
      <c r="R443" s="23"/>
      <c r="S443" s="23"/>
      <c r="T443" s="23"/>
      <c r="U443" s="23"/>
      <c r="V443" s="21"/>
      <c r="W443" s="21"/>
      <c r="X443" s="21"/>
      <c r="Y443" s="21"/>
    </row>
    <row r="444" spans="1:25" x14ac:dyDescent="0.2">
      <c r="A444" s="74" t="s">
        <v>114</v>
      </c>
      <c r="B444" s="75"/>
      <c r="C444" s="26"/>
      <c r="D444" s="25"/>
      <c r="E444" s="25"/>
      <c r="F444" s="23"/>
      <c r="G444" s="23"/>
      <c r="H444" s="23"/>
      <c r="I444" s="74" t="s">
        <v>114</v>
      </c>
      <c r="J444" s="75"/>
      <c r="K444" s="26"/>
      <c r="L444" s="25"/>
      <c r="M444" s="25"/>
      <c r="N444" s="30"/>
      <c r="O444" s="23"/>
      <c r="P444" s="37"/>
      <c r="Q444" s="23"/>
      <c r="R444" s="23"/>
      <c r="S444" s="23"/>
      <c r="T444" s="23"/>
      <c r="U444" s="23"/>
      <c r="V444" s="21"/>
      <c r="W444" s="21"/>
      <c r="X444" s="21"/>
      <c r="Y444" s="21"/>
    </row>
    <row r="445" spans="1:25" x14ac:dyDescent="0.2">
      <c r="A445" s="36" t="s">
        <v>113</v>
      </c>
      <c r="B445" s="23"/>
      <c r="C445" s="26" t="s">
        <v>112</v>
      </c>
      <c r="D445" s="71">
        <f>VLOOKUP(Q407,[94]Base_02!$A$5:$S$24,18,0)</f>
        <v>0</v>
      </c>
      <c r="E445" s="71"/>
      <c r="F445" s="23" t="str">
        <f>IF(D445&gt;0,"LU","LS")</f>
        <v>LS</v>
      </c>
      <c r="G445" s="23"/>
      <c r="H445" s="23"/>
      <c r="I445" s="36" t="s">
        <v>113</v>
      </c>
      <c r="J445" s="26"/>
      <c r="K445" s="26" t="s">
        <v>112</v>
      </c>
      <c r="L445" s="71">
        <f>D445</f>
        <v>0</v>
      </c>
      <c r="M445" s="71"/>
      <c r="N445" s="23" t="str">
        <f>IF(L445&gt;0,"LU","LS")</f>
        <v>LS</v>
      </c>
      <c r="O445" s="23"/>
      <c r="P445" s="37"/>
      <c r="Q445" s="23"/>
      <c r="R445" s="23"/>
      <c r="S445" s="23"/>
      <c r="T445" s="23"/>
      <c r="U445" s="23"/>
      <c r="V445" s="21"/>
      <c r="W445" s="21"/>
      <c r="X445" s="21"/>
      <c r="Y445" s="21"/>
    </row>
    <row r="446" spans="1:25" x14ac:dyDescent="0.2">
      <c r="A446" s="42"/>
      <c r="B446" s="43"/>
      <c r="C446" s="44" t="s">
        <v>111</v>
      </c>
      <c r="D446" s="70">
        <f>VLOOKUP(Q407,[94]Base_02!$A$5:$S$24,19,0)</f>
        <v>0</v>
      </c>
      <c r="E446" s="70"/>
      <c r="F446" s="43" t="s">
        <v>110</v>
      </c>
      <c r="G446" s="43"/>
      <c r="H446" s="43"/>
      <c r="I446" s="42"/>
      <c r="J446" s="43"/>
      <c r="K446" s="43"/>
      <c r="L446" s="70">
        <f>D446</f>
        <v>0</v>
      </c>
      <c r="M446" s="70"/>
      <c r="N446" s="47" t="s">
        <v>110</v>
      </c>
      <c r="O446" s="44"/>
      <c r="P446" s="53"/>
      <c r="Q446" s="23"/>
      <c r="R446" s="23"/>
      <c r="S446" s="23"/>
      <c r="T446" s="23"/>
      <c r="U446" s="23"/>
      <c r="V446" s="21"/>
      <c r="W446" s="21"/>
      <c r="X446" s="21"/>
      <c r="Y446" s="21"/>
    </row>
    <row r="447" spans="1:25" x14ac:dyDescent="0.2">
      <c r="A447" s="23"/>
      <c r="B447" s="23"/>
      <c r="C447" s="26"/>
      <c r="D447" s="23"/>
      <c r="E447" s="23"/>
      <c r="F447" s="23"/>
      <c r="G447" s="23"/>
      <c r="H447" s="23"/>
      <c r="I447" s="23"/>
      <c r="J447" s="23"/>
      <c r="K447" s="25"/>
      <c r="L447" s="25"/>
      <c r="M447" s="30"/>
      <c r="N447" s="23"/>
      <c r="O447" s="23"/>
      <c r="P447" s="23"/>
      <c r="Q447" s="23"/>
      <c r="R447" s="23"/>
      <c r="S447" s="23"/>
      <c r="T447" s="23"/>
      <c r="U447" s="23"/>
      <c r="V447" s="23"/>
      <c r="W447" s="23"/>
      <c r="X447" s="23"/>
      <c r="Y447" s="23"/>
    </row>
    <row r="448" spans="1:25" x14ac:dyDescent="0.2">
      <c r="A448" s="23"/>
      <c r="B448" s="23"/>
      <c r="C448" s="23"/>
      <c r="D448" s="23"/>
      <c r="E448" s="23"/>
      <c r="F448" s="23"/>
      <c r="G448" s="23"/>
      <c r="H448" s="23"/>
      <c r="I448" s="23"/>
      <c r="J448" s="23"/>
      <c r="K448" s="23"/>
      <c r="L448" s="23"/>
      <c r="M448" s="30"/>
      <c r="N448" s="23"/>
      <c r="O448" s="23"/>
      <c r="P448" s="23"/>
      <c r="Q448" s="23"/>
      <c r="R448" s="23"/>
      <c r="S448" s="23"/>
      <c r="T448" s="23"/>
      <c r="U448" s="23"/>
      <c r="V448" s="23"/>
      <c r="W448" s="23"/>
      <c r="X448" s="23"/>
      <c r="Y448" s="23"/>
    </row>
    <row r="449" spans="1:25" x14ac:dyDescent="0.2">
      <c r="A449" s="23"/>
      <c r="B449" s="23"/>
      <c r="C449" s="23"/>
      <c r="D449" s="23"/>
      <c r="E449" s="23"/>
      <c r="F449" s="23"/>
      <c r="G449" s="23"/>
      <c r="H449" s="23"/>
      <c r="I449" s="23"/>
      <c r="J449" s="23"/>
      <c r="K449" s="23"/>
      <c r="L449" s="71" t="str">
        <f>[94]Base_01!$C$4&amp;", …..  …........................  2026"</f>
        <v>Sorong, …..  …........................  2026</v>
      </c>
      <c r="M449" s="71"/>
      <c r="N449" s="71"/>
      <c r="O449" s="71"/>
      <c r="P449" s="71"/>
      <c r="Q449" s="23"/>
      <c r="R449" s="23"/>
      <c r="S449" s="23"/>
      <c r="T449" s="23"/>
      <c r="U449" s="23"/>
      <c r="V449" s="23"/>
      <c r="W449" s="23"/>
      <c r="X449" s="23"/>
      <c r="Y449" s="23"/>
    </row>
    <row r="450" spans="1:25" x14ac:dyDescent="0.2">
      <c r="A450" s="71" t="s">
        <v>108</v>
      </c>
      <c r="B450" s="71"/>
      <c r="C450" s="71"/>
      <c r="D450" s="71"/>
      <c r="E450" s="71"/>
      <c r="F450" s="71"/>
      <c r="G450" s="23"/>
      <c r="H450" s="23"/>
      <c r="I450" s="23"/>
      <c r="J450" s="23"/>
      <c r="K450" s="23"/>
      <c r="L450" s="71" t="s">
        <v>152</v>
      </c>
      <c r="M450" s="71"/>
      <c r="N450" s="71"/>
      <c r="O450" s="71"/>
      <c r="P450" s="71"/>
      <c r="Q450" s="23"/>
      <c r="R450" s="23"/>
      <c r="S450" s="23"/>
      <c r="T450" s="23"/>
      <c r="U450" s="23"/>
      <c r="V450" s="23"/>
      <c r="W450" s="23"/>
      <c r="X450" s="23"/>
      <c r="Y450" s="23"/>
    </row>
    <row r="451" spans="1:25" x14ac:dyDescent="0.2">
      <c r="A451" s="71" t="s">
        <v>153</v>
      </c>
      <c r="B451" s="71"/>
      <c r="C451" s="71"/>
      <c r="D451" s="71"/>
      <c r="E451" s="71"/>
      <c r="F451" s="71"/>
      <c r="G451" s="23"/>
      <c r="H451" s="23"/>
      <c r="I451" s="23"/>
      <c r="J451" s="23"/>
      <c r="K451" s="23"/>
      <c r="L451" s="71" t="s">
        <v>107</v>
      </c>
      <c r="M451" s="71"/>
      <c r="N451" s="71"/>
      <c r="O451" s="71"/>
      <c r="P451" s="71"/>
      <c r="Q451" s="23"/>
      <c r="R451" s="23"/>
      <c r="S451" s="23"/>
      <c r="T451" s="23"/>
      <c r="U451" s="23"/>
      <c r="V451" s="23"/>
      <c r="W451" s="23"/>
      <c r="X451" s="23"/>
      <c r="Y451" s="23"/>
    </row>
    <row r="452" spans="1:25" x14ac:dyDescent="0.2">
      <c r="A452" s="23"/>
      <c r="B452" s="23"/>
      <c r="C452" s="23"/>
      <c r="D452" s="23"/>
      <c r="E452" s="23"/>
      <c r="F452" s="23"/>
      <c r="G452" s="23"/>
      <c r="H452" s="23"/>
      <c r="I452" s="23"/>
      <c r="J452" s="23"/>
      <c r="K452" s="23"/>
      <c r="L452" s="23"/>
      <c r="M452" s="30"/>
      <c r="N452" s="23"/>
      <c r="O452" s="23"/>
      <c r="P452" s="23"/>
      <c r="Q452" s="23"/>
      <c r="R452" s="23"/>
      <c r="S452" s="23"/>
      <c r="T452" s="23"/>
      <c r="U452" s="23"/>
      <c r="V452" s="23"/>
      <c r="W452" s="23"/>
      <c r="X452" s="23"/>
      <c r="Y452" s="23"/>
    </row>
    <row r="453" spans="1:25" x14ac:dyDescent="0.2">
      <c r="A453" s="23"/>
      <c r="B453" s="23"/>
      <c r="C453" s="23"/>
      <c r="D453" s="23"/>
      <c r="E453" s="23"/>
      <c r="F453" s="23"/>
      <c r="G453" s="23"/>
      <c r="H453" s="23"/>
      <c r="I453" s="23"/>
      <c r="J453" s="23"/>
      <c r="K453" s="23"/>
      <c r="L453" s="23"/>
      <c r="M453" s="30"/>
      <c r="N453" s="23"/>
      <c r="O453" s="23"/>
      <c r="P453" s="23"/>
      <c r="Q453" s="23"/>
      <c r="R453" s="23"/>
      <c r="S453" s="23"/>
      <c r="T453" s="23"/>
      <c r="U453" s="23"/>
      <c r="V453" s="23"/>
      <c r="W453" s="23"/>
      <c r="X453" s="23"/>
      <c r="Y453" s="23"/>
    </row>
    <row r="454" spans="1:25" x14ac:dyDescent="0.2">
      <c r="A454" s="23"/>
      <c r="B454" s="23"/>
      <c r="C454" s="23"/>
      <c r="D454" s="23"/>
      <c r="E454" s="23"/>
      <c r="F454" s="23"/>
      <c r="G454" s="23"/>
      <c r="H454" s="23"/>
      <c r="I454" s="23"/>
      <c r="J454" s="23"/>
      <c r="K454" s="23"/>
      <c r="L454" s="23"/>
      <c r="M454" s="30"/>
      <c r="N454" s="23"/>
      <c r="O454" s="23"/>
      <c r="P454" s="23"/>
      <c r="Q454" s="23"/>
      <c r="R454" s="23"/>
      <c r="S454" s="23"/>
      <c r="T454" s="23"/>
      <c r="U454" s="23"/>
      <c r="V454" s="23"/>
      <c r="W454" s="23"/>
      <c r="X454" s="23"/>
      <c r="Y454" s="23"/>
    </row>
    <row r="455" spans="1:25" x14ac:dyDescent="0.2">
      <c r="A455" s="23"/>
      <c r="B455" s="23"/>
      <c r="C455" s="23"/>
      <c r="D455" s="23"/>
      <c r="E455" s="23"/>
      <c r="F455" s="23"/>
      <c r="G455" s="23"/>
      <c r="H455" s="23"/>
      <c r="I455" s="23"/>
      <c r="J455" s="23"/>
      <c r="K455" s="23"/>
      <c r="L455" s="23"/>
      <c r="M455" s="30"/>
      <c r="N455" s="23"/>
      <c r="O455" s="23"/>
      <c r="P455" s="23"/>
      <c r="Q455" s="23"/>
      <c r="R455" s="23"/>
      <c r="S455" s="23"/>
      <c r="T455" s="23"/>
      <c r="U455" s="23"/>
      <c r="V455" s="23"/>
      <c r="W455" s="23"/>
      <c r="X455" s="23"/>
      <c r="Y455" s="23"/>
    </row>
    <row r="456" spans="1:25" x14ac:dyDescent="0.2">
      <c r="A456" s="87" t="str">
        <f>[94]Base_02!$C$28</f>
        <v>Nama PB 1</v>
      </c>
      <c r="B456" s="87"/>
      <c r="C456" s="87"/>
      <c r="D456" s="87"/>
      <c r="E456" s="87"/>
      <c r="F456" s="87"/>
      <c r="G456" s="23"/>
      <c r="H456" s="23"/>
      <c r="I456" s="23"/>
      <c r="J456" s="23"/>
      <c r="K456" s="23"/>
      <c r="L456" s="71" t="str">
        <f>E412</f>
        <v>Nama PB 8</v>
      </c>
      <c r="M456" s="71"/>
      <c r="N456" s="71"/>
      <c r="O456" s="71"/>
      <c r="P456" s="71"/>
      <c r="Q456" s="23"/>
      <c r="R456" s="23"/>
      <c r="S456" s="23"/>
      <c r="T456" s="23"/>
      <c r="U456" s="23"/>
      <c r="V456" s="23"/>
      <c r="W456" s="23"/>
      <c r="X456" s="23"/>
      <c r="Y456" s="23"/>
    </row>
    <row r="457" spans="1:25" x14ac:dyDescent="0.2">
      <c r="A457" s="23"/>
      <c r="B457" s="23"/>
      <c r="C457" s="23"/>
      <c r="D457" s="23"/>
      <c r="E457" s="23"/>
      <c r="F457" s="23"/>
      <c r="G457" s="23"/>
      <c r="H457" s="23"/>
      <c r="I457" s="23"/>
      <c r="J457" s="23"/>
      <c r="K457" s="23"/>
      <c r="L457" s="23"/>
      <c r="M457" s="30"/>
      <c r="N457" s="23"/>
      <c r="O457" s="23"/>
      <c r="P457" s="23"/>
      <c r="Q457" s="23"/>
      <c r="R457" s="23"/>
      <c r="S457" s="23"/>
      <c r="T457" s="23"/>
      <c r="U457" s="23"/>
      <c r="V457" s="23"/>
      <c r="W457" s="23"/>
      <c r="X457" s="23"/>
      <c r="Y457" s="23"/>
    </row>
    <row r="458" spans="1:25" x14ac:dyDescent="0.2">
      <c r="A458" s="87" t="s">
        <v>109</v>
      </c>
      <c r="B458" s="87"/>
      <c r="C458" s="87"/>
      <c r="D458" s="87"/>
      <c r="E458" s="87"/>
      <c r="F458" s="87"/>
      <c r="G458" s="23"/>
      <c r="H458" s="23"/>
      <c r="I458" s="29"/>
      <c r="J458" s="24"/>
      <c r="K458" s="24"/>
      <c r="L458" s="88" t="s">
        <v>92</v>
      </c>
      <c r="M458" s="88"/>
      <c r="N458" s="88"/>
      <c r="O458" s="88"/>
      <c r="P458" s="88"/>
      <c r="Q458" s="23"/>
      <c r="R458" s="23"/>
      <c r="S458" s="23"/>
      <c r="T458" s="23"/>
      <c r="U458" s="23"/>
      <c r="V458" s="23"/>
      <c r="W458" s="23"/>
      <c r="X458" s="23"/>
      <c r="Y458" s="23"/>
    </row>
    <row r="459" spans="1:25" x14ac:dyDescent="0.2">
      <c r="A459" s="68" t="s">
        <v>91</v>
      </c>
      <c r="B459" s="68"/>
      <c r="C459" s="68"/>
      <c r="D459" s="68"/>
      <c r="E459" s="68"/>
      <c r="F459" s="68"/>
      <c r="I459" s="28"/>
      <c r="J459" s="28"/>
      <c r="K459" s="28"/>
      <c r="L459" s="69" t="str">
        <f>[94]Base_01!$B$17&amp;" "&amp;[94]Base_01!$C$4</f>
        <v>Koordinator Kota Sorong</v>
      </c>
      <c r="M459" s="69"/>
      <c r="N459" s="69"/>
      <c r="O459" s="69"/>
      <c r="P459" s="69"/>
      <c r="Q459" s="23"/>
      <c r="R459" s="23"/>
      <c r="S459" s="23"/>
      <c r="T459" s="23"/>
      <c r="U459" s="23"/>
      <c r="V459" s="23"/>
      <c r="W459" s="23"/>
      <c r="X459" s="23"/>
      <c r="Y459" s="23"/>
    </row>
    <row r="460" spans="1:25" x14ac:dyDescent="0.2">
      <c r="M460" s="27"/>
      <c r="Q460" s="23"/>
      <c r="R460" s="23"/>
      <c r="S460" s="23"/>
      <c r="T460" s="23"/>
      <c r="U460" s="23"/>
      <c r="V460" s="23"/>
      <c r="W460" s="23"/>
      <c r="X460" s="23"/>
      <c r="Y460" s="23"/>
    </row>
    <row r="461" spans="1:25" x14ac:dyDescent="0.2">
      <c r="M461" s="27"/>
      <c r="Q461" s="23"/>
      <c r="R461" s="23"/>
      <c r="S461" s="23"/>
      <c r="T461" s="23"/>
      <c r="U461" s="23"/>
      <c r="V461" s="23"/>
      <c r="W461" s="23"/>
      <c r="X461" s="23"/>
      <c r="Y461" s="23"/>
    </row>
    <row r="462" spans="1:25" x14ac:dyDescent="0.2">
      <c r="M462" s="27"/>
      <c r="Q462" s="23"/>
      <c r="R462" s="23"/>
      <c r="S462" s="23"/>
      <c r="T462" s="23"/>
      <c r="U462" s="23"/>
      <c r="V462" s="23"/>
      <c r="W462" s="23"/>
      <c r="X462" s="23"/>
      <c r="Y462" s="23"/>
    </row>
    <row r="463" spans="1:25" x14ac:dyDescent="0.2">
      <c r="M463" s="27"/>
      <c r="Q463" s="23"/>
      <c r="R463" s="23"/>
      <c r="S463" s="23"/>
      <c r="T463" s="23"/>
      <c r="U463" s="23"/>
      <c r="V463" s="23"/>
      <c r="W463" s="23"/>
      <c r="X463" s="23"/>
      <c r="Y463" s="23"/>
    </row>
    <row r="464" spans="1:25" x14ac:dyDescent="0.2">
      <c r="A464" s="68" t="str">
        <f>[94]Base_01!$C$20</f>
        <v>…...............         …...............</v>
      </c>
      <c r="B464" s="68"/>
      <c r="C464" s="68"/>
      <c r="D464" s="68"/>
      <c r="E464" s="68"/>
      <c r="F464" s="68"/>
      <c r="L464" s="68" t="str">
        <f>[94]Base_01!$C$17</f>
        <v>AfrIandi Yudhistira, S.T.</v>
      </c>
      <c r="M464" s="68"/>
      <c r="N464" s="68"/>
      <c r="O464" s="68"/>
      <c r="P464" s="68"/>
      <c r="Q464" s="23"/>
      <c r="R464" s="23"/>
      <c r="S464" s="23"/>
      <c r="T464" s="23"/>
      <c r="U464" s="23"/>
      <c r="V464" s="23"/>
      <c r="W464" s="23"/>
      <c r="X464" s="23"/>
      <c r="Y464" s="23"/>
    </row>
    <row r="465" spans="1:25" x14ac:dyDescent="0.2">
      <c r="A465" s="86" t="s">
        <v>149</v>
      </c>
      <c r="B465" s="86"/>
      <c r="C465" s="86"/>
      <c r="D465" s="86"/>
      <c r="E465" s="86"/>
      <c r="F465" s="86"/>
      <c r="G465" s="86"/>
      <c r="H465" s="86"/>
      <c r="I465" s="86"/>
      <c r="J465" s="86"/>
      <c r="K465" s="86"/>
      <c r="L465" s="86"/>
      <c r="M465" s="86"/>
      <c r="N465" s="86"/>
      <c r="O465" s="86"/>
      <c r="P465" s="86"/>
      <c r="Q465" s="23">
        <f>Q407+1</f>
        <v>9</v>
      </c>
      <c r="R465" s="23"/>
      <c r="S465" s="23"/>
      <c r="T465" s="23"/>
      <c r="U465" s="23"/>
      <c r="V465" s="23"/>
      <c r="W465" s="23"/>
      <c r="X465" s="23"/>
      <c r="Y465" s="23"/>
    </row>
    <row r="466" spans="1:25" x14ac:dyDescent="0.2">
      <c r="A466" s="71" t="s">
        <v>148</v>
      </c>
      <c r="B466" s="71"/>
      <c r="C466" s="71"/>
      <c r="D466" s="71"/>
      <c r="E466" s="71"/>
      <c r="F466" s="71"/>
      <c r="G466" s="71"/>
      <c r="H466" s="71"/>
      <c r="I466" s="71"/>
      <c r="J466" s="71"/>
      <c r="K466" s="71"/>
      <c r="L466" s="71"/>
      <c r="M466" s="71"/>
      <c r="N466" s="71"/>
      <c r="O466" s="71"/>
      <c r="P466" s="71"/>
      <c r="Q466" s="23"/>
      <c r="R466" s="23"/>
      <c r="S466" s="23"/>
      <c r="T466" s="23"/>
      <c r="U466" s="23"/>
      <c r="V466" s="23"/>
      <c r="W466" s="23"/>
      <c r="X466" s="23"/>
      <c r="Y466" s="23"/>
    </row>
    <row r="467" spans="1:25" x14ac:dyDescent="0.2">
      <c r="A467" s="25"/>
      <c r="B467" s="25"/>
      <c r="C467" s="25"/>
      <c r="D467" s="25"/>
      <c r="E467" s="25"/>
      <c r="F467" s="25"/>
      <c r="G467" s="25"/>
      <c r="H467" s="25"/>
      <c r="I467" s="23"/>
      <c r="J467" s="24"/>
      <c r="K467" s="24"/>
      <c r="L467" s="24"/>
      <c r="M467" s="24"/>
      <c r="N467" s="24"/>
      <c r="O467" s="24"/>
      <c r="P467" s="24"/>
      <c r="Q467" s="23"/>
      <c r="R467" s="23"/>
      <c r="S467" s="23"/>
      <c r="T467" s="23"/>
      <c r="U467" s="23"/>
      <c r="V467" s="23"/>
      <c r="W467" s="23"/>
      <c r="X467" s="23"/>
      <c r="Y467" s="23"/>
    </row>
    <row r="468" spans="1:25" x14ac:dyDescent="0.2">
      <c r="A468" s="73" t="s">
        <v>147</v>
      </c>
      <c r="B468" s="73"/>
      <c r="C468" s="73"/>
      <c r="D468" s="73"/>
      <c r="E468" s="35" t="str">
        <f>VLOOKUP(Q465,[94]Base_02!$A$5:$AD$24,2,0)</f>
        <v>000009</v>
      </c>
      <c r="F468" s="23"/>
      <c r="G468" s="23"/>
      <c r="H468" s="24"/>
      <c r="I468" s="23"/>
      <c r="J468" s="24"/>
      <c r="K468" s="24"/>
      <c r="L468" s="24"/>
      <c r="M468" s="24"/>
      <c r="N468" s="24"/>
      <c r="O468" s="24"/>
      <c r="P468" s="24"/>
      <c r="Q468" s="23"/>
      <c r="R468" s="23"/>
      <c r="S468" s="23"/>
      <c r="T468" s="23"/>
      <c r="U468" s="23"/>
      <c r="V468" s="23"/>
      <c r="W468" s="23"/>
      <c r="X468" s="23"/>
      <c r="Y468" s="23"/>
    </row>
    <row r="469" spans="1:25" x14ac:dyDescent="0.2">
      <c r="A469" s="73" t="s">
        <v>68</v>
      </c>
      <c r="B469" s="73"/>
      <c r="C469" s="73"/>
      <c r="D469" s="73"/>
      <c r="E469" s="35">
        <f>VLOOKUP(Q465,[94]Base_02!$A$5:$AD$24,14,0)</f>
        <v>0</v>
      </c>
      <c r="F469" s="23"/>
      <c r="G469" s="23"/>
      <c r="H469" s="24"/>
      <c r="I469" s="23"/>
      <c r="J469" s="24"/>
      <c r="K469" s="24"/>
      <c r="L469" s="24"/>
      <c r="M469" s="24"/>
      <c r="N469" s="24"/>
      <c r="O469" s="24"/>
      <c r="P469" s="24"/>
      <c r="Q469" s="23"/>
      <c r="R469" s="23"/>
      <c r="S469" s="23"/>
      <c r="T469" s="23"/>
      <c r="U469" s="23"/>
      <c r="V469" s="23"/>
      <c r="W469" s="23"/>
      <c r="X469" s="23"/>
      <c r="Y469" s="23"/>
    </row>
    <row r="470" spans="1:25" x14ac:dyDescent="0.2">
      <c r="A470" s="73" t="s">
        <v>150</v>
      </c>
      <c r="B470" s="73"/>
      <c r="C470" s="73"/>
      <c r="D470" s="73"/>
      <c r="E470" s="35" t="str">
        <f>VLOOKUP(Q465,[94]Base_02!$A$5:$AD$24,3,0)</f>
        <v>Nama PB 9</v>
      </c>
      <c r="F470" s="23"/>
      <c r="G470" s="23"/>
      <c r="H470" s="24"/>
      <c r="I470" s="23"/>
      <c r="J470" s="24"/>
      <c r="K470" s="24"/>
      <c r="L470" s="24"/>
      <c r="M470" s="24"/>
      <c r="N470" s="24"/>
      <c r="O470" s="24"/>
      <c r="P470" s="24"/>
      <c r="Q470" s="23"/>
      <c r="R470" s="23"/>
      <c r="S470" s="23"/>
      <c r="T470" s="23"/>
      <c r="U470" s="23"/>
      <c r="V470" s="23"/>
      <c r="W470" s="23"/>
      <c r="X470" s="23"/>
      <c r="Y470" s="23"/>
    </row>
    <row r="471" spans="1:25" x14ac:dyDescent="0.2">
      <c r="A471" s="73" t="s">
        <v>18</v>
      </c>
      <c r="B471" s="73"/>
      <c r="C471" s="73"/>
      <c r="D471" s="73"/>
      <c r="E471" s="35" t="str">
        <f>VLOOKUP(Q465,[94]Base_02!$A$5:$Z$24,11,FALSE)&amp;", RT "&amp;VLOOKUP(Q465,[94]Base_02!$A$5:$Z$24,12,FALSE)&amp;", RW "&amp;VLOOKUP(Q465,[94]Base_02!$A$5:$Z$24,13,FALSE)</f>
        <v>Jalan Kanal Victory, RT 2, RW 1</v>
      </c>
      <c r="F471" s="23"/>
      <c r="G471" s="23"/>
      <c r="H471" s="35"/>
      <c r="I471" s="23"/>
      <c r="J471" s="24"/>
      <c r="K471" s="24"/>
      <c r="L471" s="24"/>
      <c r="M471" s="24"/>
      <c r="N471" s="24"/>
      <c r="O471" s="24"/>
      <c r="P471" s="24"/>
      <c r="Q471" s="23"/>
      <c r="R471" s="23"/>
      <c r="S471" s="23"/>
      <c r="T471" s="23"/>
      <c r="U471" s="23"/>
      <c r="V471" s="23"/>
      <c r="W471" s="23"/>
      <c r="X471" s="23"/>
      <c r="Y471" s="23"/>
    </row>
    <row r="472" spans="1:25" x14ac:dyDescent="0.2">
      <c r="A472" s="73" t="str">
        <f>[94]Base_01!$B$2</f>
        <v>Kelurahan</v>
      </c>
      <c r="B472" s="73"/>
      <c r="C472" s="73"/>
      <c r="D472" s="73"/>
      <c r="E472" s="35" t="str">
        <f>[94]Base_01!$C$2</f>
        <v>Klasabi</v>
      </c>
      <c r="F472" s="23"/>
      <c r="G472" s="23"/>
      <c r="H472" s="24"/>
      <c r="I472" s="23"/>
      <c r="J472" s="24"/>
      <c r="K472" s="24"/>
      <c r="L472" s="24"/>
      <c r="M472" s="24"/>
      <c r="N472" s="24"/>
      <c r="O472" s="24"/>
      <c r="P472" s="24"/>
      <c r="Q472" s="23" t="s">
        <v>146</v>
      </c>
      <c r="R472" s="23"/>
      <c r="S472" s="23"/>
      <c r="T472" s="23"/>
      <c r="U472" s="23"/>
      <c r="V472" s="23"/>
      <c r="W472" s="23"/>
      <c r="X472" s="23"/>
      <c r="Y472" s="23"/>
    </row>
    <row r="473" spans="1:25" x14ac:dyDescent="0.2">
      <c r="A473" s="73" t="s">
        <v>19</v>
      </c>
      <c r="B473" s="73"/>
      <c r="C473" s="73"/>
      <c r="D473" s="73"/>
      <c r="E473" s="35" t="str">
        <f>[94]Base_01!$C$3</f>
        <v>Sorong Manoi</v>
      </c>
      <c r="F473" s="23"/>
      <c r="G473" s="23"/>
      <c r="H473" s="24"/>
      <c r="I473" s="23"/>
      <c r="J473" s="24"/>
      <c r="K473" s="24"/>
      <c r="L473" s="24"/>
      <c r="M473" s="24"/>
      <c r="N473" s="24"/>
      <c r="O473" s="24"/>
      <c r="P473" s="24"/>
      <c r="Q473" s="23" t="s">
        <v>145</v>
      </c>
      <c r="R473" s="23"/>
      <c r="S473" s="23"/>
      <c r="T473" s="23"/>
      <c r="U473" s="23"/>
      <c r="V473" s="23"/>
      <c r="W473" s="23"/>
      <c r="X473" s="23"/>
      <c r="Y473" s="23"/>
    </row>
    <row r="474" spans="1:25" x14ac:dyDescent="0.2">
      <c r="A474" s="73" t="str">
        <f>[94]Base_01!$B$4</f>
        <v>Kota</v>
      </c>
      <c r="B474" s="73"/>
      <c r="C474" s="73"/>
      <c r="D474" s="73"/>
      <c r="E474" s="35" t="str">
        <f>[94]Base_01!$C$4</f>
        <v>Sorong</v>
      </c>
      <c r="F474" s="23"/>
      <c r="G474" s="23"/>
      <c r="H474" s="24"/>
      <c r="I474" s="23"/>
      <c r="J474" s="24"/>
      <c r="K474" s="24"/>
      <c r="L474" s="24"/>
      <c r="M474" s="24"/>
      <c r="N474" s="24"/>
      <c r="O474" s="24"/>
      <c r="P474" s="24"/>
      <c r="Q474" s="23" t="s">
        <v>144</v>
      </c>
      <c r="R474" s="23"/>
      <c r="S474" s="23"/>
      <c r="T474" s="23"/>
      <c r="U474" s="23"/>
      <c r="V474" s="23"/>
      <c r="W474" s="23"/>
      <c r="X474" s="23"/>
      <c r="Y474" s="23"/>
    </row>
    <row r="475" spans="1:25" x14ac:dyDescent="0.2">
      <c r="A475" s="73" t="str">
        <f>[94]Base_01!$B$5</f>
        <v>Provinsi</v>
      </c>
      <c r="B475" s="73"/>
      <c r="C475" s="73"/>
      <c r="D475" s="73"/>
      <c r="E475" s="23" t="str">
        <f>[94]Base_01!$C$5</f>
        <v>Papua Barat Daya</v>
      </c>
      <c r="F475" s="23"/>
      <c r="G475" s="24"/>
      <c r="H475" s="24"/>
      <c r="I475" s="23"/>
      <c r="J475" s="24"/>
      <c r="K475" s="24"/>
      <c r="L475" s="24"/>
      <c r="M475" s="24"/>
      <c r="N475" s="24"/>
      <c r="O475" s="24"/>
      <c r="P475" s="24"/>
      <c r="Q475" s="23" t="s">
        <v>143</v>
      </c>
      <c r="R475" s="23"/>
      <c r="S475" s="23"/>
      <c r="T475" s="23"/>
      <c r="U475" s="23"/>
      <c r="V475" s="23"/>
      <c r="W475" s="23"/>
      <c r="X475" s="23"/>
      <c r="Y475" s="23"/>
    </row>
    <row r="476" spans="1:25" x14ac:dyDescent="0.2">
      <c r="A476" s="23"/>
      <c r="B476" s="23"/>
      <c r="C476" s="23"/>
      <c r="D476" s="23"/>
      <c r="E476" s="23"/>
      <c r="F476" s="23"/>
      <c r="G476" s="23"/>
      <c r="H476" s="23"/>
      <c r="I476" s="24"/>
      <c r="J476" s="24"/>
      <c r="K476" s="24"/>
      <c r="L476" s="24"/>
      <c r="M476" s="24"/>
      <c r="N476" s="24"/>
      <c r="O476" s="24"/>
      <c r="P476" s="24"/>
      <c r="Q476" s="23"/>
      <c r="R476" s="23"/>
      <c r="S476" s="23"/>
      <c r="T476" s="23"/>
      <c r="U476" s="23"/>
      <c r="V476" s="23"/>
      <c r="W476" s="23"/>
      <c r="X476" s="23"/>
      <c r="Y476" s="23"/>
    </row>
    <row r="477" spans="1:25" x14ac:dyDescent="0.2">
      <c r="A477" s="33"/>
      <c r="B477" s="33"/>
      <c r="C477" s="33"/>
      <c r="D477" s="33"/>
      <c r="E477" s="33"/>
      <c r="F477" s="33"/>
      <c r="G477" s="33"/>
      <c r="H477" s="33"/>
      <c r="I477" s="33"/>
      <c r="J477" s="33"/>
      <c r="K477" s="33"/>
      <c r="L477" s="33"/>
      <c r="M477" s="34"/>
      <c r="N477" s="33"/>
      <c r="O477" s="33"/>
      <c r="P477" s="33"/>
      <c r="Q477" s="23"/>
      <c r="R477" s="23"/>
      <c r="S477" s="23"/>
      <c r="T477" s="23"/>
      <c r="U477" s="23"/>
      <c r="V477" s="23"/>
      <c r="W477" s="23"/>
      <c r="X477" s="23"/>
      <c r="Y477" s="23"/>
    </row>
    <row r="478" spans="1:25" x14ac:dyDescent="0.2">
      <c r="A478" s="80" t="s">
        <v>142</v>
      </c>
      <c r="B478" s="81"/>
      <c r="C478" s="81"/>
      <c r="D478" s="81"/>
      <c r="E478" s="81"/>
      <c r="F478" s="81"/>
      <c r="G478" s="81"/>
      <c r="H478" s="81"/>
      <c r="I478" s="80" t="s">
        <v>151</v>
      </c>
      <c r="J478" s="81"/>
      <c r="K478" s="81"/>
      <c r="L478" s="81"/>
      <c r="M478" s="81"/>
      <c r="N478" s="81"/>
      <c r="O478" s="81"/>
      <c r="P478" s="82"/>
      <c r="Q478" s="23"/>
      <c r="R478" s="23"/>
      <c r="S478" s="23"/>
      <c r="T478" s="23"/>
      <c r="U478" s="23"/>
      <c r="V478" s="21"/>
      <c r="W478" s="21"/>
      <c r="X478" s="21"/>
      <c r="Y478" s="21"/>
    </row>
    <row r="479" spans="1:25" x14ac:dyDescent="0.2">
      <c r="A479" s="48"/>
      <c r="B479" s="49"/>
      <c r="C479" s="49"/>
      <c r="D479" s="50"/>
      <c r="E479" s="50"/>
      <c r="F479" s="49"/>
      <c r="G479" s="49"/>
      <c r="H479" s="49"/>
      <c r="I479" s="48"/>
      <c r="J479" s="49"/>
      <c r="K479" s="49"/>
      <c r="L479" s="50"/>
      <c r="M479" s="50"/>
      <c r="N479" s="49"/>
      <c r="O479" s="49"/>
      <c r="P479" s="51"/>
      <c r="Q479" s="23"/>
      <c r="R479" s="23"/>
      <c r="S479" s="23"/>
      <c r="T479" s="23"/>
      <c r="U479" s="23"/>
      <c r="V479" s="21"/>
      <c r="W479" s="21"/>
      <c r="X479" s="21"/>
      <c r="Y479" s="21"/>
    </row>
    <row r="480" spans="1:25" ht="16" x14ac:dyDescent="0.2">
      <c r="A480" s="36" t="s">
        <v>141</v>
      </c>
      <c r="B480" s="23"/>
      <c r="C480" s="26" t="s">
        <v>112</v>
      </c>
      <c r="D480" s="83">
        <f>VLOOKUP(Q465,[95]Base_03!$A$5:$AS$24,5,0)</f>
        <v>36</v>
      </c>
      <c r="E480" s="84"/>
      <c r="F480" s="23" t="s">
        <v>140</v>
      </c>
      <c r="G480" s="23"/>
      <c r="H480" s="23"/>
      <c r="I480" s="36" t="s">
        <v>141</v>
      </c>
      <c r="J480" s="26"/>
      <c r="K480" s="26" t="s">
        <v>119</v>
      </c>
      <c r="L480" s="85">
        <f>VLOOKUP(Q465,[95]Base_04!$A$5:$AS$24,5,0)</f>
        <v>49</v>
      </c>
      <c r="M480" s="85"/>
      <c r="N480" s="30" t="s">
        <v>140</v>
      </c>
      <c r="O480" s="23"/>
      <c r="P480" s="37"/>
      <c r="Q480" s="23"/>
      <c r="R480" s="23"/>
      <c r="S480" s="23"/>
      <c r="T480" s="23"/>
      <c r="U480" s="23"/>
      <c r="V480" s="21"/>
      <c r="W480" s="21"/>
      <c r="X480" s="21"/>
      <c r="Y480" s="21"/>
    </row>
    <row r="481" spans="1:25" ht="15" customHeight="1" x14ac:dyDescent="0.2">
      <c r="A481" s="38" t="s">
        <v>139</v>
      </c>
      <c r="B481" s="23"/>
      <c r="C481" s="26"/>
      <c r="D481" s="79" t="s">
        <v>131</v>
      </c>
      <c r="E481" s="79"/>
      <c r="F481" s="79" t="s">
        <v>130</v>
      </c>
      <c r="G481" s="79"/>
      <c r="H481" s="23"/>
      <c r="I481" s="38" t="s">
        <v>139</v>
      </c>
      <c r="J481" s="23"/>
      <c r="K481" s="26"/>
      <c r="L481" s="79" t="s">
        <v>131</v>
      </c>
      <c r="M481" s="79"/>
      <c r="N481" s="79" t="s">
        <v>130</v>
      </c>
      <c r="O481" s="79"/>
      <c r="P481" s="52"/>
      <c r="Q481" s="23"/>
      <c r="R481" s="23"/>
      <c r="S481" s="23"/>
      <c r="T481" s="23"/>
      <c r="U481" s="23"/>
      <c r="V481" s="21"/>
      <c r="W481" s="21"/>
      <c r="X481" s="21"/>
      <c r="Y481" s="21"/>
    </row>
    <row r="482" spans="1:25" x14ac:dyDescent="0.2">
      <c r="A482" s="39"/>
      <c r="B482" s="23"/>
      <c r="C482" s="26"/>
      <c r="D482" s="79"/>
      <c r="E482" s="79"/>
      <c r="F482" s="79"/>
      <c r="G482" s="79"/>
      <c r="H482" s="23"/>
      <c r="I482" s="39"/>
      <c r="J482" s="23"/>
      <c r="K482" s="26"/>
      <c r="L482" s="79"/>
      <c r="M482" s="79"/>
      <c r="N482" s="79"/>
      <c r="O482" s="79"/>
      <c r="P482" s="52"/>
      <c r="Q482" s="23"/>
      <c r="R482" s="23"/>
      <c r="S482" s="23"/>
      <c r="T482" s="23"/>
      <c r="U482" s="23"/>
      <c r="V482" s="21"/>
      <c r="W482" s="21"/>
      <c r="X482" s="21"/>
      <c r="Y482" s="21"/>
    </row>
    <row r="483" spans="1:25" x14ac:dyDescent="0.2">
      <c r="A483" s="72" t="s">
        <v>138</v>
      </c>
      <c r="B483" s="73"/>
      <c r="C483" s="73" t="s">
        <v>112</v>
      </c>
      <c r="D483" s="78" t="str">
        <f>VLOOKUP(Q465,[95]Base_03!$A$5:$AS$24,6,0)</f>
        <v>BT 9</v>
      </c>
      <c r="E483" s="78"/>
      <c r="F483" s="77">
        <f>VLOOKUP(Q465,[95]Base_03!$A$5:$AS$24,12,0)</f>
        <v>0</v>
      </c>
      <c r="G483" s="77"/>
      <c r="H483" s="23" t="s">
        <v>134</v>
      </c>
      <c r="I483" s="72" t="s">
        <v>138</v>
      </c>
      <c r="J483" s="73"/>
      <c r="K483" s="73"/>
      <c r="L483" s="78" t="str">
        <f>VLOOKUP(Q465,[95]Base_04!$A$5:$AS$24,6,0)</f>
        <v>BT 9</v>
      </c>
      <c r="M483" s="78"/>
      <c r="N483" s="77">
        <f>VLOOKUP(Q465,[95]Base_04!$A$5:$AS$24,12,0)</f>
        <v>0</v>
      </c>
      <c r="O483" s="77"/>
      <c r="P483" s="37" t="s">
        <v>134</v>
      </c>
      <c r="Q483" s="23" t="s">
        <v>123</v>
      </c>
      <c r="R483" s="23"/>
      <c r="S483" s="23"/>
      <c r="T483" s="23"/>
      <c r="U483" s="23"/>
      <c r="V483" s="21"/>
      <c r="W483" s="21"/>
      <c r="X483" s="21"/>
      <c r="Y483" s="21"/>
    </row>
    <row r="484" spans="1:25" x14ac:dyDescent="0.2">
      <c r="A484" s="72" t="s">
        <v>137</v>
      </c>
      <c r="B484" s="73"/>
      <c r="C484" s="73" t="s">
        <v>112</v>
      </c>
      <c r="D484" s="78" t="str">
        <f>VLOOKUP(Q465,[95]Base_03!$A$5:$AS$24,13,0)</f>
        <v>S 9</v>
      </c>
      <c r="E484" s="78"/>
      <c r="F484" s="77">
        <f>VLOOKUP(Q465,[95]Base_03!$A$5:$AS$24,15,0)</f>
        <v>0</v>
      </c>
      <c r="G484" s="77"/>
      <c r="H484" s="23" t="s">
        <v>134</v>
      </c>
      <c r="I484" s="72" t="s">
        <v>137</v>
      </c>
      <c r="J484" s="73"/>
      <c r="K484" s="73"/>
      <c r="L484" s="78" t="str">
        <f>VLOOKUP(Q465,[95]Base_04!$A$5:$AS$24,13,0)</f>
        <v>S 9</v>
      </c>
      <c r="M484" s="78"/>
      <c r="N484" s="77">
        <f>VLOOKUP(Q465,[95]Base_04!$A$5:$AS$24,15,0)</f>
        <v>0</v>
      </c>
      <c r="O484" s="77"/>
      <c r="P484" s="37" t="s">
        <v>134</v>
      </c>
      <c r="Q484" s="23" t="s">
        <v>123</v>
      </c>
      <c r="R484" s="23"/>
      <c r="S484" s="23"/>
      <c r="T484" s="23"/>
      <c r="U484" s="23"/>
      <c r="V484" s="21"/>
      <c r="W484" s="21"/>
      <c r="X484" s="21"/>
      <c r="Y484" s="21"/>
    </row>
    <row r="485" spans="1:25" x14ac:dyDescent="0.2">
      <c r="A485" s="72" t="s">
        <v>136</v>
      </c>
      <c r="B485" s="73"/>
      <c r="C485" s="73" t="s">
        <v>112</v>
      </c>
      <c r="D485" s="78" t="str">
        <f>VLOOKUP(Q465,[95]Base_03!$A$5:$AS$24,16,0)</f>
        <v>B 9</v>
      </c>
      <c r="E485" s="78"/>
      <c r="F485" s="77">
        <f>VLOOKUP(Q465,[95]Base_03!$A$5:$AS$24,22,0)</f>
        <v>0</v>
      </c>
      <c r="G485" s="77"/>
      <c r="H485" s="23" t="s">
        <v>134</v>
      </c>
      <c r="I485" s="72" t="s">
        <v>136</v>
      </c>
      <c r="J485" s="73"/>
      <c r="K485" s="73"/>
      <c r="L485" s="78" t="str">
        <f>VLOOKUP(Q465,[95]Base_04!$A$5:$AS$24,16,0)</f>
        <v>B 9</v>
      </c>
      <c r="M485" s="78"/>
      <c r="N485" s="77">
        <f>VLOOKUP(Q465,[95]Base_04!$A$5:$AS$24,22,0)</f>
        <v>0</v>
      </c>
      <c r="O485" s="77"/>
      <c r="P485" s="37" t="s">
        <v>134</v>
      </c>
      <c r="Q485" s="23" t="s">
        <v>123</v>
      </c>
      <c r="R485" s="23"/>
      <c r="S485" s="23"/>
      <c r="T485" s="23"/>
      <c r="U485" s="23"/>
      <c r="V485" s="21"/>
      <c r="W485" s="21"/>
      <c r="X485" s="21"/>
      <c r="Y485" s="21"/>
    </row>
    <row r="486" spans="1:25" x14ac:dyDescent="0.2">
      <c r="A486" s="72" t="s">
        <v>135</v>
      </c>
      <c r="B486" s="73"/>
      <c r="C486" s="73" t="s">
        <v>112</v>
      </c>
      <c r="D486" s="78" t="str">
        <f>VLOOKUP(Q465,[95]Base_03!$A$5:$AS$24,23,0)</f>
        <v>K 9</v>
      </c>
      <c r="E486" s="78"/>
      <c r="F486" s="77">
        <f>VLOOKUP(Q465,[95]Base_03!$A$5:$AS$24,24,0)</f>
        <v>0</v>
      </c>
      <c r="G486" s="77"/>
      <c r="H486" s="23" t="s">
        <v>134</v>
      </c>
      <c r="I486" s="72" t="s">
        <v>135</v>
      </c>
      <c r="J486" s="73"/>
      <c r="K486" s="73"/>
      <c r="L486" s="78" t="str">
        <f>VLOOKUP(Q465,[95]Base_04!$A$5:$AS$24,23,0)</f>
        <v>K 9</v>
      </c>
      <c r="M486" s="78"/>
      <c r="N486" s="77">
        <f>VLOOKUP(Q465,[95]Base_04!$A$5:$AS$24,24,0)</f>
        <v>0</v>
      </c>
      <c r="O486" s="77"/>
      <c r="P486" s="37" t="s">
        <v>134</v>
      </c>
      <c r="Q486" s="23" t="s">
        <v>123</v>
      </c>
      <c r="R486" s="23"/>
      <c r="S486" s="23"/>
      <c r="T486" s="23"/>
      <c r="U486" s="23"/>
      <c r="V486" s="21"/>
      <c r="W486" s="21"/>
      <c r="X486" s="21"/>
      <c r="Y486" s="21"/>
    </row>
    <row r="487" spans="1:25" x14ac:dyDescent="0.2">
      <c r="A487" s="72" t="s">
        <v>133</v>
      </c>
      <c r="B487" s="73"/>
      <c r="C487" s="73" t="s">
        <v>112</v>
      </c>
      <c r="D487" s="78" t="str">
        <f>VLOOKUP(Q465,[95]Base_03!$A$5:$AS$24,25,0)</f>
        <v>K 9</v>
      </c>
      <c r="E487" s="78"/>
      <c r="F487" s="77">
        <f>VLOOKUP(Q465,[95]Base_03!$A$5:$AS$24,26,0)</f>
        <v>73.900834456272094</v>
      </c>
      <c r="G487" s="77"/>
      <c r="H487" s="23" t="s">
        <v>124</v>
      </c>
      <c r="I487" s="72" t="s">
        <v>133</v>
      </c>
      <c r="J487" s="73"/>
      <c r="K487" s="73"/>
      <c r="L487" s="78" t="str">
        <f>VLOOKUP(Q465,[95]Base_04!$A$5:$AS$24,25,0)</f>
        <v>K 9</v>
      </c>
      <c r="M487" s="78"/>
      <c r="N487" s="77">
        <f>VLOOKUP(Q465,[95]Base_04!$A$5:$AS$24,26,0)</f>
        <v>93.530743608719362</v>
      </c>
      <c r="O487" s="77"/>
      <c r="P487" s="37" t="s">
        <v>124</v>
      </c>
      <c r="Q487" s="23" t="s">
        <v>123</v>
      </c>
      <c r="R487" s="23"/>
      <c r="S487" s="23"/>
      <c r="T487" s="23"/>
      <c r="U487" s="23"/>
      <c r="V487" s="21"/>
      <c r="W487" s="21"/>
      <c r="X487" s="21"/>
      <c r="Y487" s="21"/>
    </row>
    <row r="488" spans="1:25" x14ac:dyDescent="0.2">
      <c r="A488" s="40"/>
      <c r="B488" s="31"/>
      <c r="C488" s="31"/>
      <c r="D488" s="41"/>
      <c r="E488" s="41"/>
      <c r="F488" s="30"/>
      <c r="G488" s="23"/>
      <c r="H488" s="23"/>
      <c r="I488" s="40"/>
      <c r="J488" s="31"/>
      <c r="K488" s="31"/>
      <c r="L488" s="41"/>
      <c r="M488" s="41"/>
      <c r="N488" s="30"/>
      <c r="O488" s="23"/>
      <c r="P488" s="37"/>
      <c r="Q488" s="23"/>
      <c r="R488" s="23"/>
      <c r="S488" s="23"/>
      <c r="T488" s="23"/>
      <c r="U488" s="23"/>
      <c r="V488" s="21"/>
      <c r="W488" s="21"/>
      <c r="X488" s="21"/>
      <c r="Y488" s="21"/>
    </row>
    <row r="489" spans="1:25" x14ac:dyDescent="0.2">
      <c r="A489" s="38" t="s">
        <v>132</v>
      </c>
      <c r="B489" s="23"/>
      <c r="C489" s="26"/>
      <c r="D489" s="79" t="s">
        <v>131</v>
      </c>
      <c r="E489" s="79"/>
      <c r="F489" s="79" t="s">
        <v>130</v>
      </c>
      <c r="G489" s="79"/>
      <c r="H489" s="23"/>
      <c r="I489" s="38" t="s">
        <v>132</v>
      </c>
      <c r="J489" s="23"/>
      <c r="K489" s="26"/>
      <c r="L489" s="79" t="s">
        <v>131</v>
      </c>
      <c r="M489" s="79"/>
      <c r="N489" s="79" t="s">
        <v>130</v>
      </c>
      <c r="O489" s="79"/>
      <c r="P489" s="52"/>
      <c r="Q489" s="23"/>
      <c r="R489" s="23"/>
      <c r="S489" s="23"/>
      <c r="T489" s="23"/>
      <c r="U489" s="23"/>
      <c r="V489" s="21"/>
      <c r="W489" s="21"/>
      <c r="X489" s="21"/>
      <c r="Y489" s="21"/>
    </row>
    <row r="490" spans="1:25" x14ac:dyDescent="0.2">
      <c r="A490" s="39"/>
      <c r="B490" s="23"/>
      <c r="C490" s="26"/>
      <c r="D490" s="79"/>
      <c r="E490" s="79"/>
      <c r="F490" s="79"/>
      <c r="G490" s="79"/>
      <c r="H490" s="23"/>
      <c r="I490" s="39"/>
      <c r="J490" s="23"/>
      <c r="K490" s="26"/>
      <c r="L490" s="79"/>
      <c r="M490" s="79"/>
      <c r="N490" s="79"/>
      <c r="O490" s="79"/>
      <c r="P490" s="52"/>
      <c r="Q490" s="23"/>
      <c r="R490" s="23"/>
      <c r="S490" s="23"/>
      <c r="T490" s="23"/>
      <c r="U490" s="23"/>
      <c r="V490" s="21"/>
      <c r="W490" s="21"/>
      <c r="X490" s="21"/>
      <c r="Y490" s="21"/>
    </row>
    <row r="491" spans="1:25" x14ac:dyDescent="0.2">
      <c r="A491" s="72" t="s">
        <v>129</v>
      </c>
      <c r="B491" s="73"/>
      <c r="C491" s="73" t="s">
        <v>119</v>
      </c>
      <c r="D491" s="78" t="str">
        <f>VLOOKUP(Q465,[95]Base_03!$A$5:$AS$24,28,0)</f>
        <v xml:space="preserve"> G 9</v>
      </c>
      <c r="E491" s="78"/>
      <c r="F491" s="77">
        <f>VLOOKUP(Q465,[95]Base_03!$A$5:$AS$24,30,0)</f>
        <v>55</v>
      </c>
      <c r="G491" s="77"/>
      <c r="H491" s="23" t="s">
        <v>124</v>
      </c>
      <c r="I491" s="72" t="s">
        <v>129</v>
      </c>
      <c r="J491" s="73"/>
      <c r="K491" s="73" t="s">
        <v>119</v>
      </c>
      <c r="L491" s="78" t="str">
        <f>VLOOKUP(Q465,[95]Base_04!$A$5:$AS$24,28,0)</f>
        <v xml:space="preserve"> G 9</v>
      </c>
      <c r="M491" s="78"/>
      <c r="N491" s="77">
        <f>VLOOKUP(Q465,[95]Base_04!$A$5:$AS$24,30,0)</f>
        <v>55</v>
      </c>
      <c r="O491" s="77"/>
      <c r="P491" s="37" t="s">
        <v>124</v>
      </c>
      <c r="Q491" s="23" t="s">
        <v>123</v>
      </c>
      <c r="R491" s="23"/>
      <c r="S491" s="23"/>
      <c r="T491" s="23"/>
      <c r="U491" s="23"/>
      <c r="V491" s="21"/>
      <c r="W491" s="21"/>
      <c r="X491" s="21"/>
      <c r="Y491" s="21"/>
    </row>
    <row r="492" spans="1:25" x14ac:dyDescent="0.2">
      <c r="A492" s="72" t="s">
        <v>128</v>
      </c>
      <c r="B492" s="73"/>
      <c r="C492" s="73" t="s">
        <v>119</v>
      </c>
      <c r="D492" s="78" t="str">
        <f>VLOOKUP(Q465,[95]Base_03!$A$5:$AS$24,31,0)</f>
        <v>H 9</v>
      </c>
      <c r="E492" s="78"/>
      <c r="F492" s="77">
        <f>VLOOKUP(Q465,[95]Base_03!$A$5:$AS$24,34,0)</f>
        <v>-5.76</v>
      </c>
      <c r="G492" s="77"/>
      <c r="H492" s="23" t="s">
        <v>124</v>
      </c>
      <c r="I492" s="72" t="s">
        <v>128</v>
      </c>
      <c r="J492" s="73"/>
      <c r="K492" s="73" t="s">
        <v>119</v>
      </c>
      <c r="L492" s="78" t="str">
        <f>VLOOKUP(Q465,[95]Base_04!$A$5:$AS$24,31,0)</f>
        <v>H 9</v>
      </c>
      <c r="M492" s="78"/>
      <c r="N492" s="77">
        <f>VLOOKUP(Q465,[95]Base_04!$A$5:$AS$24,34,0)</f>
        <v>-5.76</v>
      </c>
      <c r="O492" s="77"/>
      <c r="P492" s="37" t="s">
        <v>124</v>
      </c>
      <c r="Q492" s="23" t="s">
        <v>123</v>
      </c>
      <c r="R492" s="23"/>
      <c r="S492" s="23"/>
      <c r="T492" s="23"/>
      <c r="U492" s="23"/>
      <c r="V492" s="21"/>
      <c r="W492" s="21"/>
      <c r="X492" s="21"/>
      <c r="Y492" s="21"/>
    </row>
    <row r="493" spans="1:25" x14ac:dyDescent="0.2">
      <c r="A493" s="89" t="s">
        <v>127</v>
      </c>
      <c r="B493" s="90"/>
      <c r="C493" s="90" t="s">
        <v>119</v>
      </c>
      <c r="D493" s="91" t="str">
        <f>VLOOKUP(Q465,[95]Base_03!$A$5:$AS$24,35,0)</f>
        <v>Kayu</v>
      </c>
      <c r="E493" s="91"/>
      <c r="F493" s="92">
        <f>VLOOKUP(Q465,[95]Base_03!$A$5:$AS$24,36,0)</f>
        <v>5.76</v>
      </c>
      <c r="G493" s="92"/>
      <c r="H493" s="23" t="s">
        <v>124</v>
      </c>
      <c r="I493" s="89" t="s">
        <v>127</v>
      </c>
      <c r="J493" s="90"/>
      <c r="K493" s="90" t="s">
        <v>119</v>
      </c>
      <c r="L493" s="91" t="str">
        <f>VLOOKUP(Q465,[95]Base_04!$A$5:$AS$24,35,0)</f>
        <v>Kayu</v>
      </c>
      <c r="M493" s="91"/>
      <c r="N493" s="92">
        <f>VLOOKUP(Q465,[95]Base_04!$A$5:$AS$24,36,0)</f>
        <v>5.76</v>
      </c>
      <c r="O493" s="92"/>
      <c r="P493" s="37" t="s">
        <v>124</v>
      </c>
      <c r="Q493" s="23" t="s">
        <v>123</v>
      </c>
      <c r="R493" s="23"/>
      <c r="S493" s="23"/>
      <c r="T493" s="23"/>
      <c r="U493" s="23"/>
      <c r="V493" s="21"/>
      <c r="W493" s="21"/>
      <c r="X493" s="21"/>
      <c r="Y493" s="21"/>
    </row>
    <row r="494" spans="1:25" x14ac:dyDescent="0.2">
      <c r="A494" s="74" t="s">
        <v>126</v>
      </c>
      <c r="B494" s="75"/>
      <c r="C494" s="75"/>
      <c r="D494" s="91"/>
      <c r="E494" s="91"/>
      <c r="F494" s="92"/>
      <c r="G494" s="92"/>
      <c r="H494" s="23"/>
      <c r="I494" s="74" t="s">
        <v>126</v>
      </c>
      <c r="J494" s="75"/>
      <c r="K494" s="75"/>
      <c r="L494" s="91"/>
      <c r="M494" s="91"/>
      <c r="N494" s="92"/>
      <c r="O494" s="92"/>
      <c r="P494" s="37"/>
      <c r="Q494" s="23"/>
      <c r="R494" s="23"/>
      <c r="S494" s="23"/>
      <c r="T494" s="23"/>
      <c r="U494" s="23"/>
      <c r="V494" s="21"/>
      <c r="W494" s="21"/>
      <c r="X494" s="21"/>
      <c r="Y494" s="21"/>
    </row>
    <row r="495" spans="1:25" x14ac:dyDescent="0.2">
      <c r="A495" s="72" t="s">
        <v>125</v>
      </c>
      <c r="B495" s="73"/>
      <c r="C495" s="73" t="s">
        <v>119</v>
      </c>
      <c r="D495" s="78" t="str">
        <f>VLOOKUP(Q465,[95]Base_03!$A$5:$AS$24,39,0)</f>
        <v>R 9</v>
      </c>
      <c r="E495" s="78"/>
      <c r="F495" s="77">
        <f>VLOOKUP(Q465,[95]Base_03!$A$5:$AS$24,40,0)</f>
        <v>36</v>
      </c>
      <c r="G495" s="77"/>
      <c r="H495" s="23" t="s">
        <v>124</v>
      </c>
      <c r="I495" s="72" t="s">
        <v>125</v>
      </c>
      <c r="J495" s="73"/>
      <c r="K495" s="73" t="s">
        <v>119</v>
      </c>
      <c r="L495" s="78" t="str">
        <f>VLOOKUP(Q465,[95]Base_04!$A$5:$AS$24,39,0)</f>
        <v>R 9</v>
      </c>
      <c r="M495" s="78"/>
      <c r="N495" s="77">
        <f>VLOOKUP(Q465,[95]Base_04!$A$5:$AS$24,40,0)</f>
        <v>49</v>
      </c>
      <c r="O495" s="77"/>
      <c r="P495" s="37" t="s">
        <v>124</v>
      </c>
      <c r="Q495" s="23" t="s">
        <v>123</v>
      </c>
      <c r="R495" s="23"/>
      <c r="S495" s="23"/>
      <c r="T495" s="23"/>
      <c r="U495" s="23"/>
      <c r="V495" s="21"/>
      <c r="W495" s="21"/>
      <c r="X495" s="21"/>
      <c r="Y495" s="21"/>
    </row>
    <row r="496" spans="1:25" x14ac:dyDescent="0.2">
      <c r="A496" s="39"/>
      <c r="B496" s="23"/>
      <c r="C496" s="23"/>
      <c r="D496" s="23"/>
      <c r="E496" s="23"/>
      <c r="F496" s="23"/>
      <c r="G496" s="23"/>
      <c r="H496" s="23"/>
      <c r="I496" s="39"/>
      <c r="J496" s="45"/>
      <c r="K496" s="45"/>
      <c r="L496" s="45"/>
      <c r="M496" s="23"/>
      <c r="N496" s="30"/>
      <c r="O496" s="23"/>
      <c r="P496" s="37"/>
      <c r="Q496" s="23"/>
      <c r="R496" s="23"/>
      <c r="S496" s="23"/>
      <c r="T496" s="23"/>
      <c r="U496" s="23"/>
      <c r="V496" s="21"/>
      <c r="W496" s="21"/>
      <c r="X496" s="21"/>
      <c r="Y496" s="21"/>
    </row>
    <row r="497" spans="1:25" x14ac:dyDescent="0.2">
      <c r="A497" s="72" t="s">
        <v>122</v>
      </c>
      <c r="B497" s="73"/>
      <c r="C497" s="73" t="s">
        <v>112</v>
      </c>
      <c r="D497" s="76">
        <f>VLOOKUP(Q465,[95]Base_03!$A$5:$AS$24,42,0)</f>
        <v>6.666666666666667</v>
      </c>
      <c r="E497" s="76"/>
      <c r="F497" s="25" t="s">
        <v>118</v>
      </c>
      <c r="G497" s="23"/>
      <c r="H497" s="23"/>
      <c r="I497" s="72" t="s">
        <v>122</v>
      </c>
      <c r="J497" s="73"/>
      <c r="K497" s="73" t="s">
        <v>112</v>
      </c>
      <c r="L497" s="76">
        <f>VLOOKUP(Q465,[95]Base_04!$A$5:$AS$24,42,0)</f>
        <v>4.8979591836734695</v>
      </c>
      <c r="M497" s="76"/>
      <c r="N497" s="46" t="s">
        <v>118</v>
      </c>
      <c r="O497" s="23"/>
      <c r="P497" s="37"/>
      <c r="Q497" s="32" t="s">
        <v>121</v>
      </c>
      <c r="R497" s="23"/>
      <c r="S497" s="23"/>
      <c r="T497" s="23"/>
      <c r="U497" s="23"/>
      <c r="V497" s="21"/>
      <c r="W497" s="21"/>
      <c r="X497" s="21"/>
      <c r="Y497" s="21"/>
    </row>
    <row r="498" spans="1:25" x14ac:dyDescent="0.2">
      <c r="A498" s="72" t="s">
        <v>120</v>
      </c>
      <c r="B498" s="73"/>
      <c r="C498" s="73" t="s">
        <v>119</v>
      </c>
      <c r="D498" s="76">
        <f>VLOOKUP(Q465,[95]Base_03!$A$5:$AS$24,43,0)</f>
        <v>9.6666666666666661</v>
      </c>
      <c r="E498" s="76"/>
      <c r="F498" s="25" t="s">
        <v>118</v>
      </c>
      <c r="G498" s="23"/>
      <c r="H498" s="23"/>
      <c r="I498" s="72" t="s">
        <v>120</v>
      </c>
      <c r="J498" s="73"/>
      <c r="K498" s="73" t="s">
        <v>119</v>
      </c>
      <c r="L498" s="76">
        <f>VLOOKUP(Q465,[95]Base_04!$A$5:$AS$24,43,0)</f>
        <v>7.1020408163265314</v>
      </c>
      <c r="M498" s="76"/>
      <c r="N498" s="46" t="s">
        <v>118</v>
      </c>
      <c r="O498" s="23"/>
      <c r="P498" s="37"/>
      <c r="Q498" s="32" t="s">
        <v>117</v>
      </c>
      <c r="R498" s="23"/>
      <c r="S498" s="23"/>
      <c r="T498" s="23"/>
      <c r="U498" s="23"/>
      <c r="V498" s="21"/>
      <c r="W498" s="21"/>
      <c r="X498" s="21"/>
      <c r="Y498" s="21"/>
    </row>
    <row r="499" spans="1:25" x14ac:dyDescent="0.2">
      <c r="A499" s="72" t="s">
        <v>115</v>
      </c>
      <c r="B499" s="73"/>
      <c r="C499" s="73"/>
      <c r="D499" s="71" t="str">
        <f>VLOOKUP(Q465,[95]Base_03!$A$5:$AS$24,44,0)</f>
        <v>(Ada) Baik</v>
      </c>
      <c r="E499" s="71"/>
      <c r="F499" s="23"/>
      <c r="G499" s="23"/>
      <c r="H499" s="23"/>
      <c r="I499" s="72" t="s">
        <v>115</v>
      </c>
      <c r="J499" s="73"/>
      <c r="K499" s="73"/>
      <c r="L499" s="71" t="str">
        <f>VLOOKUP(Q465,[95]Base_04!$A$5:$AS$24,44,0)</f>
        <v>(Ada) Baik</v>
      </c>
      <c r="M499" s="71"/>
      <c r="N499" s="30"/>
      <c r="O499" s="23"/>
      <c r="P499" s="37"/>
      <c r="Q499" s="23"/>
      <c r="R499" s="23"/>
      <c r="S499" s="23"/>
      <c r="T499" s="23"/>
      <c r="U499" s="23"/>
      <c r="V499" s="21"/>
      <c r="W499" s="21"/>
      <c r="X499" s="21"/>
      <c r="Y499" s="21"/>
    </row>
    <row r="500" spans="1:25" x14ac:dyDescent="0.2">
      <c r="A500" s="74" t="s">
        <v>116</v>
      </c>
      <c r="B500" s="75"/>
      <c r="C500" s="26"/>
      <c r="D500" s="25"/>
      <c r="E500" s="25"/>
      <c r="F500" s="23"/>
      <c r="G500" s="23"/>
      <c r="H500" s="23"/>
      <c r="I500" s="74" t="s">
        <v>116</v>
      </c>
      <c r="J500" s="75"/>
      <c r="K500" s="26"/>
      <c r="L500" s="25"/>
      <c r="M500" s="25"/>
      <c r="N500" s="30"/>
      <c r="O500" s="23"/>
      <c r="P500" s="37"/>
      <c r="Q500" s="23"/>
      <c r="R500" s="23"/>
      <c r="S500" s="23"/>
      <c r="T500" s="23"/>
      <c r="U500" s="23"/>
      <c r="V500" s="21"/>
      <c r="W500" s="21"/>
      <c r="X500" s="21"/>
      <c r="Y500" s="21"/>
    </row>
    <row r="501" spans="1:25" x14ac:dyDescent="0.2">
      <c r="A501" s="72" t="s">
        <v>115</v>
      </c>
      <c r="B501" s="73"/>
      <c r="C501" s="73"/>
      <c r="D501" s="71" t="str">
        <f>VLOOKUP(Q465,[95]Base_03!$A$5:$AS$24,45,0)</f>
        <v>Air Pam (Baik)</v>
      </c>
      <c r="E501" s="71"/>
      <c r="F501" s="23"/>
      <c r="G501" s="23"/>
      <c r="H501" s="23"/>
      <c r="I501" s="72" t="s">
        <v>115</v>
      </c>
      <c r="J501" s="73"/>
      <c r="K501" s="73"/>
      <c r="L501" s="71" t="str">
        <f>VLOOKUP(Q465,[95]Base_04!$A$5:$AS$24,45,0)</f>
        <v>Air Pam (Baik)</v>
      </c>
      <c r="M501" s="71"/>
      <c r="N501" s="30"/>
      <c r="O501" s="23"/>
      <c r="P501" s="37"/>
      <c r="Q501" s="23"/>
      <c r="R501" s="23"/>
      <c r="S501" s="23"/>
      <c r="T501" s="23"/>
      <c r="U501" s="23"/>
      <c r="V501" s="21"/>
      <c r="W501" s="21"/>
      <c r="X501" s="21"/>
      <c r="Y501" s="21"/>
    </row>
    <row r="502" spans="1:25" x14ac:dyDescent="0.2">
      <c r="A502" s="74" t="s">
        <v>114</v>
      </c>
      <c r="B502" s="75"/>
      <c r="C502" s="26"/>
      <c r="D502" s="25"/>
      <c r="E502" s="25"/>
      <c r="F502" s="23"/>
      <c r="G502" s="23"/>
      <c r="H502" s="23"/>
      <c r="I502" s="74" t="s">
        <v>114</v>
      </c>
      <c r="J502" s="75"/>
      <c r="K502" s="26"/>
      <c r="L502" s="25"/>
      <c r="M502" s="25"/>
      <c r="N502" s="30"/>
      <c r="O502" s="23"/>
      <c r="P502" s="37"/>
      <c r="Q502" s="23"/>
      <c r="R502" s="23"/>
      <c r="S502" s="23"/>
      <c r="T502" s="23"/>
      <c r="U502" s="23"/>
      <c r="V502" s="21"/>
      <c r="W502" s="21"/>
      <c r="X502" s="21"/>
      <c r="Y502" s="21"/>
    </row>
    <row r="503" spans="1:25" x14ac:dyDescent="0.2">
      <c r="A503" s="36" t="s">
        <v>113</v>
      </c>
      <c r="B503" s="23"/>
      <c r="C503" s="26" t="s">
        <v>112</v>
      </c>
      <c r="D503" s="71">
        <f>VLOOKUP(Q465,[94]Base_02!$A$5:$S$24,18,0)</f>
        <v>0</v>
      </c>
      <c r="E503" s="71"/>
      <c r="F503" s="23" t="str">
        <f>IF(D503&gt;0,"LU","LS")</f>
        <v>LS</v>
      </c>
      <c r="G503" s="23"/>
      <c r="H503" s="23"/>
      <c r="I503" s="36" t="s">
        <v>113</v>
      </c>
      <c r="J503" s="26"/>
      <c r="K503" s="26" t="s">
        <v>112</v>
      </c>
      <c r="L503" s="71">
        <f>D503</f>
        <v>0</v>
      </c>
      <c r="M503" s="71"/>
      <c r="N503" s="23" t="str">
        <f>IF(L503&gt;0,"LU","LS")</f>
        <v>LS</v>
      </c>
      <c r="O503" s="23"/>
      <c r="P503" s="37"/>
      <c r="Q503" s="23"/>
      <c r="R503" s="23"/>
      <c r="S503" s="23"/>
      <c r="T503" s="23"/>
      <c r="U503" s="23"/>
      <c r="V503" s="21"/>
      <c r="W503" s="21"/>
      <c r="X503" s="21"/>
      <c r="Y503" s="21"/>
    </row>
    <row r="504" spans="1:25" x14ac:dyDescent="0.2">
      <c r="A504" s="42"/>
      <c r="B504" s="43"/>
      <c r="C504" s="44" t="s">
        <v>111</v>
      </c>
      <c r="D504" s="70">
        <f>VLOOKUP(Q465,[94]Base_02!$A$5:$S$24,19,0)</f>
        <v>0</v>
      </c>
      <c r="E504" s="70"/>
      <c r="F504" s="43" t="s">
        <v>110</v>
      </c>
      <c r="G504" s="43"/>
      <c r="H504" s="43"/>
      <c r="I504" s="42"/>
      <c r="J504" s="43"/>
      <c r="K504" s="43"/>
      <c r="L504" s="70">
        <f>D504</f>
        <v>0</v>
      </c>
      <c r="M504" s="70"/>
      <c r="N504" s="47" t="s">
        <v>110</v>
      </c>
      <c r="O504" s="44"/>
      <c r="P504" s="53"/>
      <c r="Q504" s="23"/>
      <c r="R504" s="23"/>
      <c r="S504" s="23"/>
      <c r="T504" s="23"/>
      <c r="U504" s="23"/>
      <c r="V504" s="21"/>
      <c r="W504" s="21"/>
      <c r="X504" s="21"/>
      <c r="Y504" s="21"/>
    </row>
    <row r="505" spans="1:25" x14ac:dyDescent="0.2">
      <c r="A505" s="23"/>
      <c r="B505" s="23"/>
      <c r="C505" s="26"/>
      <c r="D505" s="23"/>
      <c r="E505" s="23"/>
      <c r="F505" s="23"/>
      <c r="G505" s="23"/>
      <c r="H505" s="23"/>
      <c r="I505" s="23"/>
      <c r="J505" s="23"/>
      <c r="K505" s="25"/>
      <c r="L505" s="25"/>
      <c r="M505" s="30"/>
      <c r="N505" s="23"/>
      <c r="O505" s="23"/>
      <c r="P505" s="23"/>
      <c r="Q505" s="23"/>
      <c r="R505" s="23"/>
      <c r="S505" s="23"/>
      <c r="T505" s="23"/>
      <c r="U505" s="23"/>
      <c r="V505" s="23"/>
      <c r="W505" s="23"/>
      <c r="X505" s="23"/>
      <c r="Y505" s="23"/>
    </row>
    <row r="506" spans="1:25" x14ac:dyDescent="0.2">
      <c r="A506" s="23"/>
      <c r="B506" s="23"/>
      <c r="C506" s="23"/>
      <c r="D506" s="23"/>
      <c r="E506" s="23"/>
      <c r="F506" s="23"/>
      <c r="G506" s="23"/>
      <c r="H506" s="23"/>
      <c r="I506" s="23"/>
      <c r="J506" s="23"/>
      <c r="K506" s="23"/>
      <c r="L506" s="23"/>
      <c r="M506" s="30"/>
      <c r="N506" s="23"/>
      <c r="O506" s="23"/>
      <c r="P506" s="23"/>
      <c r="Q506" s="23"/>
      <c r="R506" s="23"/>
      <c r="S506" s="23"/>
      <c r="T506" s="23"/>
      <c r="U506" s="23"/>
      <c r="V506" s="23"/>
      <c r="W506" s="23"/>
      <c r="X506" s="23"/>
      <c r="Y506" s="23"/>
    </row>
    <row r="507" spans="1:25" x14ac:dyDescent="0.2">
      <c r="A507" s="23"/>
      <c r="B507" s="23"/>
      <c r="C507" s="23"/>
      <c r="D507" s="23"/>
      <c r="E507" s="23"/>
      <c r="F507" s="23"/>
      <c r="G507" s="23"/>
      <c r="H507" s="23"/>
      <c r="I507" s="23"/>
      <c r="J507" s="23"/>
      <c r="K507" s="23"/>
      <c r="L507" s="71" t="str">
        <f>[94]Base_01!$C$4&amp;", …..  …........................  2026"</f>
        <v>Sorong, …..  …........................  2026</v>
      </c>
      <c r="M507" s="71"/>
      <c r="N507" s="71"/>
      <c r="O507" s="71"/>
      <c r="P507" s="71"/>
      <c r="Q507" s="23"/>
      <c r="R507" s="23"/>
      <c r="S507" s="23"/>
      <c r="T507" s="23"/>
      <c r="U507" s="23"/>
      <c r="V507" s="23"/>
      <c r="W507" s="23"/>
      <c r="X507" s="23"/>
      <c r="Y507" s="23"/>
    </row>
    <row r="508" spans="1:25" x14ac:dyDescent="0.2">
      <c r="A508" s="71" t="s">
        <v>108</v>
      </c>
      <c r="B508" s="71"/>
      <c r="C508" s="71"/>
      <c r="D508" s="71"/>
      <c r="E508" s="71"/>
      <c r="F508" s="71"/>
      <c r="G508" s="23"/>
      <c r="H508" s="23"/>
      <c r="I508" s="23"/>
      <c r="J508" s="23"/>
      <c r="K508" s="23"/>
      <c r="L508" s="71" t="s">
        <v>152</v>
      </c>
      <c r="M508" s="71"/>
      <c r="N508" s="71"/>
      <c r="O508" s="71"/>
      <c r="P508" s="71"/>
      <c r="Q508" s="23"/>
      <c r="R508" s="23"/>
      <c r="S508" s="23"/>
      <c r="T508" s="23"/>
      <c r="U508" s="23"/>
      <c r="V508" s="23"/>
      <c r="W508" s="23"/>
      <c r="X508" s="23"/>
      <c r="Y508" s="23"/>
    </row>
    <row r="509" spans="1:25" x14ac:dyDescent="0.2">
      <c r="A509" s="71" t="s">
        <v>153</v>
      </c>
      <c r="B509" s="71"/>
      <c r="C509" s="71"/>
      <c r="D509" s="71"/>
      <c r="E509" s="71"/>
      <c r="F509" s="71"/>
      <c r="G509" s="23"/>
      <c r="H509" s="23"/>
      <c r="I509" s="23"/>
      <c r="J509" s="23"/>
      <c r="K509" s="23"/>
      <c r="L509" s="71" t="s">
        <v>107</v>
      </c>
      <c r="M509" s="71"/>
      <c r="N509" s="71"/>
      <c r="O509" s="71"/>
      <c r="P509" s="71"/>
      <c r="Q509" s="23"/>
      <c r="R509" s="23"/>
      <c r="S509" s="23"/>
      <c r="T509" s="23"/>
      <c r="U509" s="23"/>
      <c r="V509" s="23"/>
      <c r="W509" s="23"/>
      <c r="X509" s="23"/>
      <c r="Y509" s="23"/>
    </row>
    <row r="510" spans="1:25" x14ac:dyDescent="0.2">
      <c r="A510" s="23"/>
      <c r="B510" s="23"/>
      <c r="C510" s="23"/>
      <c r="D510" s="23"/>
      <c r="E510" s="23"/>
      <c r="F510" s="23"/>
      <c r="G510" s="23"/>
      <c r="H510" s="23"/>
      <c r="I510" s="23"/>
      <c r="J510" s="23"/>
      <c r="K510" s="23"/>
      <c r="L510" s="23"/>
      <c r="M510" s="30"/>
      <c r="N510" s="23"/>
      <c r="O510" s="23"/>
      <c r="P510" s="23"/>
      <c r="Q510" s="23"/>
      <c r="R510" s="23"/>
      <c r="S510" s="23"/>
      <c r="T510" s="23"/>
      <c r="U510" s="23"/>
      <c r="V510" s="23"/>
      <c r="W510" s="23"/>
      <c r="X510" s="23"/>
      <c r="Y510" s="23"/>
    </row>
    <row r="511" spans="1:25" x14ac:dyDescent="0.2">
      <c r="A511" s="23"/>
      <c r="B511" s="23"/>
      <c r="C511" s="23"/>
      <c r="D511" s="23"/>
      <c r="E511" s="23"/>
      <c r="F511" s="23"/>
      <c r="G511" s="23"/>
      <c r="H511" s="23"/>
      <c r="I511" s="23"/>
      <c r="J511" s="23"/>
      <c r="K511" s="23"/>
      <c r="L511" s="23"/>
      <c r="M511" s="30"/>
      <c r="N511" s="23"/>
      <c r="O511" s="23"/>
      <c r="P511" s="23"/>
      <c r="Q511" s="23"/>
      <c r="R511" s="23"/>
      <c r="S511" s="23"/>
      <c r="T511" s="23"/>
      <c r="U511" s="23"/>
      <c r="V511" s="23"/>
      <c r="W511" s="23"/>
      <c r="X511" s="23"/>
      <c r="Y511" s="23"/>
    </row>
    <row r="512" spans="1:25" x14ac:dyDescent="0.2">
      <c r="A512" s="23"/>
      <c r="B512" s="23"/>
      <c r="C512" s="23"/>
      <c r="D512" s="23"/>
      <c r="E512" s="23"/>
      <c r="F512" s="23"/>
      <c r="G512" s="23"/>
      <c r="H512" s="23"/>
      <c r="I512" s="23"/>
      <c r="J512" s="23"/>
      <c r="K512" s="23"/>
      <c r="L512" s="23"/>
      <c r="M512" s="30"/>
      <c r="N512" s="23"/>
      <c r="O512" s="23"/>
      <c r="P512" s="23"/>
      <c r="Q512" s="23"/>
      <c r="R512" s="23"/>
      <c r="S512" s="23"/>
      <c r="T512" s="23"/>
      <c r="U512" s="23"/>
      <c r="V512" s="23"/>
      <c r="W512" s="23"/>
      <c r="X512" s="23"/>
      <c r="Y512" s="23"/>
    </row>
    <row r="513" spans="1:25" x14ac:dyDescent="0.2">
      <c r="A513" s="23"/>
      <c r="B513" s="23"/>
      <c r="C513" s="23"/>
      <c r="D513" s="23"/>
      <c r="E513" s="23"/>
      <c r="F513" s="23"/>
      <c r="G513" s="23"/>
      <c r="H513" s="23"/>
      <c r="I513" s="23"/>
      <c r="J513" s="23"/>
      <c r="K513" s="23"/>
      <c r="L513" s="23"/>
      <c r="M513" s="30"/>
      <c r="N513" s="23"/>
      <c r="O513" s="23"/>
      <c r="P513" s="23"/>
      <c r="Q513" s="23"/>
      <c r="R513" s="23"/>
      <c r="S513" s="23"/>
      <c r="T513" s="23"/>
      <c r="U513" s="23"/>
      <c r="V513" s="23"/>
      <c r="W513" s="23"/>
      <c r="X513" s="23"/>
      <c r="Y513" s="23"/>
    </row>
    <row r="514" spans="1:25" x14ac:dyDescent="0.2">
      <c r="A514" s="87" t="str">
        <f>[94]Base_02!$C$28</f>
        <v>Nama PB 1</v>
      </c>
      <c r="B514" s="87"/>
      <c r="C514" s="87"/>
      <c r="D514" s="87"/>
      <c r="E514" s="87"/>
      <c r="F514" s="87"/>
      <c r="G514" s="23"/>
      <c r="H514" s="23"/>
      <c r="I514" s="23"/>
      <c r="J514" s="23"/>
      <c r="K514" s="23"/>
      <c r="L514" s="71" t="str">
        <f>E470</f>
        <v>Nama PB 9</v>
      </c>
      <c r="M514" s="71"/>
      <c r="N514" s="71"/>
      <c r="O514" s="71"/>
      <c r="P514" s="71"/>
      <c r="Q514" s="23"/>
      <c r="R514" s="23"/>
      <c r="S514" s="23"/>
      <c r="T514" s="23"/>
      <c r="U514" s="23"/>
      <c r="V514" s="23"/>
      <c r="W514" s="23"/>
      <c r="X514" s="23"/>
      <c r="Y514" s="23"/>
    </row>
    <row r="515" spans="1:25" x14ac:dyDescent="0.2">
      <c r="A515" s="23"/>
      <c r="B515" s="23"/>
      <c r="C515" s="23"/>
      <c r="D515" s="23"/>
      <c r="E515" s="23"/>
      <c r="F515" s="23"/>
      <c r="G515" s="23"/>
      <c r="H515" s="23"/>
      <c r="I515" s="23"/>
      <c r="J515" s="23"/>
      <c r="K515" s="23"/>
      <c r="L515" s="23"/>
      <c r="M515" s="30"/>
      <c r="N515" s="23"/>
      <c r="O515" s="23"/>
      <c r="P515" s="23"/>
      <c r="Q515" s="23"/>
      <c r="R515" s="23"/>
      <c r="S515" s="23"/>
      <c r="T515" s="23"/>
      <c r="U515" s="23"/>
      <c r="V515" s="23"/>
      <c r="W515" s="23"/>
      <c r="X515" s="23"/>
      <c r="Y515" s="23"/>
    </row>
    <row r="516" spans="1:25" x14ac:dyDescent="0.2">
      <c r="A516" s="87" t="s">
        <v>109</v>
      </c>
      <c r="B516" s="87"/>
      <c r="C516" s="87"/>
      <c r="D516" s="87"/>
      <c r="E516" s="87"/>
      <c r="F516" s="87"/>
      <c r="G516" s="23"/>
      <c r="H516" s="23"/>
      <c r="I516" s="29"/>
      <c r="J516" s="24"/>
      <c r="K516" s="24"/>
      <c r="L516" s="88" t="s">
        <v>92</v>
      </c>
      <c r="M516" s="88"/>
      <c r="N516" s="88"/>
      <c r="O516" s="88"/>
      <c r="P516" s="88"/>
      <c r="Q516" s="23"/>
      <c r="R516" s="23"/>
      <c r="S516" s="23"/>
      <c r="T516" s="23"/>
      <c r="U516" s="23"/>
      <c r="V516" s="23"/>
      <c r="W516" s="23"/>
      <c r="X516" s="23"/>
      <c r="Y516" s="23"/>
    </row>
    <row r="517" spans="1:25" x14ac:dyDescent="0.2">
      <c r="A517" s="68" t="s">
        <v>91</v>
      </c>
      <c r="B517" s="68"/>
      <c r="C517" s="68"/>
      <c r="D517" s="68"/>
      <c r="E517" s="68"/>
      <c r="F517" s="68"/>
      <c r="I517" s="28"/>
      <c r="J517" s="28"/>
      <c r="K517" s="28"/>
      <c r="L517" s="69" t="str">
        <f>[94]Base_01!$B$17&amp;" "&amp;[94]Base_01!$C$4</f>
        <v>Koordinator Kota Sorong</v>
      </c>
      <c r="M517" s="69"/>
      <c r="N517" s="69"/>
      <c r="O517" s="69"/>
      <c r="P517" s="69"/>
      <c r="Q517" s="23"/>
      <c r="R517" s="23"/>
      <c r="S517" s="23"/>
      <c r="T517" s="23"/>
      <c r="U517" s="23"/>
      <c r="V517" s="23"/>
      <c r="W517" s="23"/>
      <c r="X517" s="23"/>
      <c r="Y517" s="23"/>
    </row>
    <row r="518" spans="1:25" x14ac:dyDescent="0.2">
      <c r="M518" s="27"/>
      <c r="Q518" s="23"/>
      <c r="R518" s="23"/>
      <c r="S518" s="23"/>
      <c r="T518" s="23"/>
      <c r="U518" s="23"/>
      <c r="V518" s="23"/>
      <c r="W518" s="23"/>
      <c r="X518" s="23"/>
      <c r="Y518" s="23"/>
    </row>
    <row r="519" spans="1:25" x14ac:dyDescent="0.2">
      <c r="M519" s="27"/>
      <c r="Q519" s="23"/>
      <c r="R519" s="23"/>
      <c r="S519" s="23"/>
      <c r="T519" s="23"/>
      <c r="U519" s="23"/>
      <c r="V519" s="23"/>
      <c r="W519" s="23"/>
      <c r="X519" s="23"/>
      <c r="Y519" s="23"/>
    </row>
    <row r="520" spans="1:25" x14ac:dyDescent="0.2">
      <c r="M520" s="27"/>
      <c r="Q520" s="23"/>
      <c r="R520" s="23"/>
      <c r="S520" s="23"/>
      <c r="T520" s="23"/>
      <c r="U520" s="23"/>
      <c r="V520" s="23"/>
      <c r="W520" s="23"/>
      <c r="X520" s="23"/>
      <c r="Y520" s="23"/>
    </row>
    <row r="521" spans="1:25" x14ac:dyDescent="0.2">
      <c r="M521" s="27"/>
      <c r="Q521" s="23"/>
      <c r="R521" s="23"/>
      <c r="S521" s="23"/>
      <c r="T521" s="23"/>
      <c r="U521" s="23"/>
      <c r="V521" s="23"/>
      <c r="W521" s="23"/>
      <c r="X521" s="23"/>
      <c r="Y521" s="23"/>
    </row>
    <row r="522" spans="1:25" x14ac:dyDescent="0.2">
      <c r="A522" s="68" t="str">
        <f>[94]Base_01!$C$20</f>
        <v>…...............         …...............</v>
      </c>
      <c r="B522" s="68"/>
      <c r="C522" s="68"/>
      <c r="D522" s="68"/>
      <c r="E522" s="68"/>
      <c r="F522" s="68"/>
      <c r="L522" s="68" t="str">
        <f>[94]Base_01!$C$17</f>
        <v>AfrIandi Yudhistira, S.T.</v>
      </c>
      <c r="M522" s="68"/>
      <c r="N522" s="68"/>
      <c r="O522" s="68"/>
      <c r="P522" s="68"/>
      <c r="Q522" s="23"/>
      <c r="R522" s="23"/>
      <c r="S522" s="23"/>
      <c r="T522" s="23"/>
      <c r="U522" s="23"/>
      <c r="V522" s="23"/>
      <c r="W522" s="23"/>
      <c r="X522" s="23"/>
      <c r="Y522" s="23"/>
    </row>
    <row r="523" spans="1:25" x14ac:dyDescent="0.2">
      <c r="A523" s="86" t="s">
        <v>149</v>
      </c>
      <c r="B523" s="86"/>
      <c r="C523" s="86"/>
      <c r="D523" s="86"/>
      <c r="E523" s="86"/>
      <c r="F523" s="86"/>
      <c r="G523" s="86"/>
      <c r="H523" s="86"/>
      <c r="I523" s="86"/>
      <c r="J523" s="86"/>
      <c r="K523" s="86"/>
      <c r="L523" s="86"/>
      <c r="M523" s="86"/>
      <c r="N523" s="86"/>
      <c r="O523" s="86"/>
      <c r="P523" s="86"/>
      <c r="Q523" s="23">
        <f>Q465+1</f>
        <v>10</v>
      </c>
      <c r="R523" s="23"/>
      <c r="S523" s="23"/>
      <c r="T523" s="23"/>
      <c r="U523" s="23"/>
      <c r="V523" s="23"/>
      <c r="W523" s="23"/>
      <c r="X523" s="23"/>
      <c r="Y523" s="23"/>
    </row>
    <row r="524" spans="1:25" x14ac:dyDescent="0.2">
      <c r="A524" s="71" t="s">
        <v>148</v>
      </c>
      <c r="B524" s="71"/>
      <c r="C524" s="71"/>
      <c r="D524" s="71"/>
      <c r="E524" s="71"/>
      <c r="F524" s="71"/>
      <c r="G524" s="71"/>
      <c r="H524" s="71"/>
      <c r="I524" s="71"/>
      <c r="J524" s="71"/>
      <c r="K524" s="71"/>
      <c r="L524" s="71"/>
      <c r="M524" s="71"/>
      <c r="N524" s="71"/>
      <c r="O524" s="71"/>
      <c r="P524" s="71"/>
      <c r="Q524" s="23"/>
      <c r="R524" s="23"/>
      <c r="S524" s="23"/>
      <c r="T524" s="23"/>
      <c r="U524" s="23"/>
      <c r="V524" s="23"/>
      <c r="W524" s="23"/>
      <c r="X524" s="23"/>
      <c r="Y524" s="23"/>
    </row>
    <row r="525" spans="1:25" x14ac:dyDescent="0.2">
      <c r="A525" s="25"/>
      <c r="B525" s="25"/>
      <c r="C525" s="25"/>
      <c r="D525" s="25"/>
      <c r="E525" s="25"/>
      <c r="F525" s="25"/>
      <c r="G525" s="25"/>
      <c r="H525" s="25"/>
      <c r="I525" s="23"/>
      <c r="J525" s="24"/>
      <c r="K525" s="24"/>
      <c r="L525" s="24"/>
      <c r="M525" s="24"/>
      <c r="N525" s="24"/>
      <c r="O525" s="24"/>
      <c r="P525" s="24"/>
      <c r="Q525" s="23"/>
      <c r="R525" s="23"/>
      <c r="S525" s="23"/>
      <c r="T525" s="23"/>
      <c r="U525" s="23"/>
      <c r="V525" s="23"/>
      <c r="W525" s="23"/>
      <c r="X525" s="23"/>
      <c r="Y525" s="23"/>
    </row>
    <row r="526" spans="1:25" x14ac:dyDescent="0.2">
      <c r="A526" s="73" t="s">
        <v>147</v>
      </c>
      <c r="B526" s="73"/>
      <c r="C526" s="73"/>
      <c r="D526" s="73"/>
      <c r="E526" s="35" t="str">
        <f>VLOOKUP(Q523,[94]Base_02!$A$5:$AD$24,2,0)</f>
        <v>000010</v>
      </c>
      <c r="F526" s="23"/>
      <c r="G526" s="23"/>
      <c r="H526" s="24"/>
      <c r="I526" s="23"/>
      <c r="J526" s="24"/>
      <c r="K526" s="24"/>
      <c r="L526" s="24"/>
      <c r="M526" s="24"/>
      <c r="N526" s="24"/>
      <c r="O526" s="24"/>
      <c r="P526" s="24"/>
      <c r="Q526" s="23"/>
      <c r="R526" s="23"/>
      <c r="S526" s="23"/>
      <c r="T526" s="23"/>
      <c r="U526" s="23"/>
      <c r="V526" s="23"/>
      <c r="W526" s="23"/>
      <c r="X526" s="23"/>
      <c r="Y526" s="23"/>
    </row>
    <row r="527" spans="1:25" x14ac:dyDescent="0.2">
      <c r="A527" s="73" t="s">
        <v>68</v>
      </c>
      <c r="B527" s="73"/>
      <c r="C527" s="73"/>
      <c r="D527" s="73"/>
      <c r="E527" s="35">
        <f>VLOOKUP(Q523,[94]Base_02!$A$5:$AD$24,14,0)</f>
        <v>0</v>
      </c>
      <c r="F527" s="23"/>
      <c r="G527" s="23"/>
      <c r="H527" s="24"/>
      <c r="I527" s="23"/>
      <c r="J527" s="24"/>
      <c r="K527" s="24"/>
      <c r="L527" s="24"/>
      <c r="M527" s="24"/>
      <c r="N527" s="24"/>
      <c r="O527" s="24"/>
      <c r="P527" s="24"/>
      <c r="Q527" s="23"/>
      <c r="R527" s="23"/>
      <c r="S527" s="23"/>
      <c r="T527" s="23"/>
      <c r="U527" s="23"/>
      <c r="V527" s="23"/>
      <c r="W527" s="23"/>
      <c r="X527" s="23"/>
      <c r="Y527" s="23"/>
    </row>
    <row r="528" spans="1:25" x14ac:dyDescent="0.2">
      <c r="A528" s="73" t="s">
        <v>150</v>
      </c>
      <c r="B528" s="73"/>
      <c r="C528" s="73"/>
      <c r="D528" s="73"/>
      <c r="E528" s="35" t="str">
        <f>VLOOKUP(Q523,[94]Base_02!$A$5:$AD$24,3,0)</f>
        <v>Nama PB 10</v>
      </c>
      <c r="F528" s="23"/>
      <c r="G528" s="23"/>
      <c r="H528" s="24"/>
      <c r="I528" s="23"/>
      <c r="J528" s="24"/>
      <c r="K528" s="24"/>
      <c r="L528" s="24"/>
      <c r="M528" s="24"/>
      <c r="N528" s="24"/>
      <c r="O528" s="24"/>
      <c r="P528" s="24"/>
      <c r="Q528" s="23"/>
      <c r="R528" s="23"/>
      <c r="S528" s="23"/>
      <c r="T528" s="23"/>
      <c r="U528" s="23"/>
      <c r="V528" s="23"/>
      <c r="W528" s="23"/>
      <c r="X528" s="23"/>
      <c r="Y528" s="23"/>
    </row>
    <row r="529" spans="1:25" x14ac:dyDescent="0.2">
      <c r="A529" s="73" t="s">
        <v>18</v>
      </c>
      <c r="B529" s="73"/>
      <c r="C529" s="73"/>
      <c r="D529" s="73"/>
      <c r="E529" s="35" t="str">
        <f>VLOOKUP(Q523,[94]Base_02!$A$5:$Z$24,11,FALSE)&amp;", RT "&amp;VLOOKUP(Q523,[94]Base_02!$A$5:$Z$24,12,FALSE)&amp;", RW "&amp;VLOOKUP(Q523,[94]Base_02!$A$5:$Z$24,13,FALSE)</f>
        <v>Jalan Kanal Victory, RT 2, RW 1</v>
      </c>
      <c r="F529" s="23"/>
      <c r="G529" s="23"/>
      <c r="H529" s="35"/>
      <c r="I529" s="23"/>
      <c r="J529" s="24"/>
      <c r="K529" s="24"/>
      <c r="L529" s="24"/>
      <c r="M529" s="24"/>
      <c r="N529" s="24"/>
      <c r="O529" s="24"/>
      <c r="P529" s="24"/>
      <c r="Q529" s="23"/>
      <c r="R529" s="23"/>
      <c r="S529" s="23"/>
      <c r="T529" s="23"/>
      <c r="U529" s="23"/>
      <c r="V529" s="23"/>
      <c r="W529" s="23"/>
      <c r="X529" s="23"/>
      <c r="Y529" s="23"/>
    </row>
    <row r="530" spans="1:25" x14ac:dyDescent="0.2">
      <c r="A530" s="73" t="str">
        <f>[94]Base_01!$B$2</f>
        <v>Kelurahan</v>
      </c>
      <c r="B530" s="73"/>
      <c r="C530" s="73"/>
      <c r="D530" s="73"/>
      <c r="E530" s="35" t="str">
        <f>[94]Base_01!$C$2</f>
        <v>Klasabi</v>
      </c>
      <c r="F530" s="23"/>
      <c r="G530" s="23"/>
      <c r="H530" s="24"/>
      <c r="I530" s="23"/>
      <c r="J530" s="24"/>
      <c r="K530" s="24"/>
      <c r="L530" s="24"/>
      <c r="M530" s="24"/>
      <c r="N530" s="24"/>
      <c r="O530" s="24"/>
      <c r="P530" s="24"/>
      <c r="Q530" s="23" t="s">
        <v>146</v>
      </c>
      <c r="R530" s="23"/>
      <c r="S530" s="23"/>
      <c r="T530" s="23"/>
      <c r="U530" s="23"/>
      <c r="V530" s="23"/>
      <c r="W530" s="23"/>
      <c r="X530" s="23"/>
      <c r="Y530" s="23"/>
    </row>
    <row r="531" spans="1:25" x14ac:dyDescent="0.2">
      <c r="A531" s="73" t="s">
        <v>19</v>
      </c>
      <c r="B531" s="73"/>
      <c r="C531" s="73"/>
      <c r="D531" s="73"/>
      <c r="E531" s="35" t="str">
        <f>[94]Base_01!$C$3</f>
        <v>Sorong Manoi</v>
      </c>
      <c r="F531" s="23"/>
      <c r="G531" s="23"/>
      <c r="H531" s="24"/>
      <c r="I531" s="23"/>
      <c r="J531" s="24"/>
      <c r="K531" s="24"/>
      <c r="L531" s="24"/>
      <c r="M531" s="24"/>
      <c r="N531" s="24"/>
      <c r="O531" s="24"/>
      <c r="P531" s="24"/>
      <c r="Q531" s="23" t="s">
        <v>145</v>
      </c>
      <c r="R531" s="23"/>
      <c r="S531" s="23"/>
      <c r="T531" s="23"/>
      <c r="U531" s="23"/>
      <c r="V531" s="23"/>
      <c r="W531" s="23"/>
      <c r="X531" s="23"/>
      <c r="Y531" s="23"/>
    </row>
    <row r="532" spans="1:25" x14ac:dyDescent="0.2">
      <c r="A532" s="73" t="str">
        <f>[94]Base_01!$B$4</f>
        <v>Kota</v>
      </c>
      <c r="B532" s="73"/>
      <c r="C532" s="73"/>
      <c r="D532" s="73"/>
      <c r="E532" s="35" t="str">
        <f>[94]Base_01!$C$4</f>
        <v>Sorong</v>
      </c>
      <c r="F532" s="23"/>
      <c r="G532" s="23"/>
      <c r="H532" s="24"/>
      <c r="I532" s="23"/>
      <c r="J532" s="24"/>
      <c r="K532" s="24"/>
      <c r="L532" s="24"/>
      <c r="M532" s="24"/>
      <c r="N532" s="24"/>
      <c r="O532" s="24"/>
      <c r="P532" s="24"/>
      <c r="Q532" s="23" t="s">
        <v>144</v>
      </c>
      <c r="R532" s="23"/>
      <c r="S532" s="23"/>
      <c r="T532" s="23"/>
      <c r="U532" s="23"/>
      <c r="V532" s="23"/>
      <c r="W532" s="23"/>
      <c r="X532" s="23"/>
      <c r="Y532" s="23"/>
    </row>
    <row r="533" spans="1:25" x14ac:dyDescent="0.2">
      <c r="A533" s="73" t="str">
        <f>[94]Base_01!$B$5</f>
        <v>Provinsi</v>
      </c>
      <c r="B533" s="73"/>
      <c r="C533" s="73"/>
      <c r="D533" s="73"/>
      <c r="E533" s="23" t="str">
        <f>[94]Base_01!$C$5</f>
        <v>Papua Barat Daya</v>
      </c>
      <c r="F533" s="23"/>
      <c r="G533" s="24"/>
      <c r="H533" s="24"/>
      <c r="I533" s="23"/>
      <c r="J533" s="24"/>
      <c r="K533" s="24"/>
      <c r="L533" s="24"/>
      <c r="M533" s="24"/>
      <c r="N533" s="24"/>
      <c r="O533" s="24"/>
      <c r="P533" s="24"/>
      <c r="Q533" s="23" t="s">
        <v>143</v>
      </c>
      <c r="R533" s="23"/>
      <c r="S533" s="23"/>
      <c r="T533" s="23"/>
      <c r="U533" s="23"/>
      <c r="V533" s="23"/>
      <c r="W533" s="23"/>
      <c r="X533" s="23"/>
      <c r="Y533" s="23"/>
    </row>
    <row r="534" spans="1:25" x14ac:dyDescent="0.2">
      <c r="A534" s="23"/>
      <c r="B534" s="23"/>
      <c r="C534" s="23"/>
      <c r="D534" s="23"/>
      <c r="E534" s="23"/>
      <c r="F534" s="23"/>
      <c r="G534" s="23"/>
      <c r="H534" s="23"/>
      <c r="I534" s="24"/>
      <c r="J534" s="24"/>
      <c r="K534" s="24"/>
      <c r="L534" s="24"/>
      <c r="M534" s="24"/>
      <c r="N534" s="24"/>
      <c r="O534" s="24"/>
      <c r="P534" s="24"/>
      <c r="Q534" s="23"/>
      <c r="R534" s="23"/>
      <c r="S534" s="23"/>
      <c r="T534" s="23"/>
      <c r="U534" s="23"/>
      <c r="V534" s="23"/>
      <c r="W534" s="23"/>
      <c r="X534" s="23"/>
      <c r="Y534" s="23"/>
    </row>
    <row r="535" spans="1:25" x14ac:dyDescent="0.2">
      <c r="A535" s="33"/>
      <c r="B535" s="33"/>
      <c r="C535" s="33"/>
      <c r="D535" s="33"/>
      <c r="E535" s="33"/>
      <c r="F535" s="33"/>
      <c r="G535" s="33"/>
      <c r="H535" s="33"/>
      <c r="I535" s="33"/>
      <c r="J535" s="33"/>
      <c r="K535" s="33"/>
      <c r="L535" s="33"/>
      <c r="M535" s="34"/>
      <c r="N535" s="33"/>
      <c r="O535" s="33"/>
      <c r="P535" s="33"/>
      <c r="Q535" s="23"/>
      <c r="R535" s="23"/>
      <c r="S535" s="23"/>
      <c r="T535" s="23"/>
      <c r="U535" s="23"/>
      <c r="V535" s="23"/>
      <c r="W535" s="23"/>
      <c r="X535" s="23"/>
      <c r="Y535" s="23"/>
    </row>
    <row r="536" spans="1:25" x14ac:dyDescent="0.2">
      <c r="A536" s="80" t="s">
        <v>142</v>
      </c>
      <c r="B536" s="81"/>
      <c r="C536" s="81"/>
      <c r="D536" s="81"/>
      <c r="E536" s="81"/>
      <c r="F536" s="81"/>
      <c r="G536" s="81"/>
      <c r="H536" s="81"/>
      <c r="I536" s="80" t="s">
        <v>151</v>
      </c>
      <c r="J536" s="81"/>
      <c r="K536" s="81"/>
      <c r="L536" s="81"/>
      <c r="M536" s="81"/>
      <c r="N536" s="81"/>
      <c r="O536" s="81"/>
      <c r="P536" s="82"/>
      <c r="Q536" s="23"/>
      <c r="R536" s="23"/>
      <c r="S536" s="23"/>
      <c r="T536" s="23"/>
      <c r="U536" s="23"/>
      <c r="V536" s="21"/>
      <c r="W536" s="21"/>
      <c r="X536" s="21"/>
      <c r="Y536" s="21"/>
    </row>
    <row r="537" spans="1:25" x14ac:dyDescent="0.2">
      <c r="A537" s="48"/>
      <c r="B537" s="49"/>
      <c r="C537" s="49"/>
      <c r="D537" s="50"/>
      <c r="E537" s="50"/>
      <c r="F537" s="49"/>
      <c r="G537" s="49"/>
      <c r="H537" s="49"/>
      <c r="I537" s="48"/>
      <c r="J537" s="49"/>
      <c r="K537" s="49"/>
      <c r="L537" s="50"/>
      <c r="M537" s="50"/>
      <c r="N537" s="49"/>
      <c r="O537" s="49"/>
      <c r="P537" s="51"/>
      <c r="Q537" s="23"/>
      <c r="R537" s="23"/>
      <c r="S537" s="23"/>
      <c r="T537" s="23"/>
      <c r="U537" s="23"/>
      <c r="V537" s="21"/>
      <c r="W537" s="21"/>
      <c r="X537" s="21"/>
      <c r="Y537" s="21"/>
    </row>
    <row r="538" spans="1:25" ht="16" x14ac:dyDescent="0.2">
      <c r="A538" s="36" t="s">
        <v>141</v>
      </c>
      <c r="B538" s="23"/>
      <c r="C538" s="26" t="s">
        <v>112</v>
      </c>
      <c r="D538" s="83">
        <f>VLOOKUP(Q523,[95]Base_03!$A$5:$AS$24,5,0)</f>
        <v>36</v>
      </c>
      <c r="E538" s="84"/>
      <c r="F538" s="23" t="s">
        <v>140</v>
      </c>
      <c r="G538" s="23"/>
      <c r="H538" s="23"/>
      <c r="I538" s="36" t="s">
        <v>141</v>
      </c>
      <c r="J538" s="26"/>
      <c r="K538" s="26" t="s">
        <v>119</v>
      </c>
      <c r="L538" s="85">
        <f>VLOOKUP(Q523,[95]Base_04!$A$5:$AS$24,5,0)</f>
        <v>49</v>
      </c>
      <c r="M538" s="85"/>
      <c r="N538" s="30" t="s">
        <v>140</v>
      </c>
      <c r="O538" s="23"/>
      <c r="P538" s="37"/>
      <c r="Q538" s="23"/>
      <c r="R538" s="23"/>
      <c r="S538" s="23"/>
      <c r="T538" s="23"/>
      <c r="U538" s="23"/>
      <c r="V538" s="21"/>
      <c r="W538" s="21"/>
      <c r="X538" s="21"/>
      <c r="Y538" s="21"/>
    </row>
    <row r="539" spans="1:25" ht="15" customHeight="1" x14ac:dyDescent="0.2">
      <c r="A539" s="38" t="s">
        <v>139</v>
      </c>
      <c r="B539" s="23"/>
      <c r="C539" s="26"/>
      <c r="D539" s="79" t="s">
        <v>131</v>
      </c>
      <c r="E539" s="79"/>
      <c r="F539" s="79" t="s">
        <v>130</v>
      </c>
      <c r="G539" s="79"/>
      <c r="H539" s="23"/>
      <c r="I539" s="38" t="s">
        <v>139</v>
      </c>
      <c r="J539" s="23"/>
      <c r="K539" s="26"/>
      <c r="L539" s="79" t="s">
        <v>131</v>
      </c>
      <c r="M539" s="79"/>
      <c r="N539" s="79" t="s">
        <v>130</v>
      </c>
      <c r="O539" s="79"/>
      <c r="P539" s="52"/>
      <c r="Q539" s="23"/>
      <c r="R539" s="23"/>
      <c r="S539" s="23"/>
      <c r="T539" s="23"/>
      <c r="U539" s="23"/>
      <c r="V539" s="21"/>
      <c r="W539" s="21"/>
      <c r="X539" s="21"/>
      <c r="Y539" s="21"/>
    </row>
    <row r="540" spans="1:25" x14ac:dyDescent="0.2">
      <c r="A540" s="39"/>
      <c r="B540" s="23"/>
      <c r="C540" s="26"/>
      <c r="D540" s="79"/>
      <c r="E540" s="79"/>
      <c r="F540" s="79"/>
      <c r="G540" s="79"/>
      <c r="H540" s="23"/>
      <c r="I540" s="39"/>
      <c r="J540" s="23"/>
      <c r="K540" s="26"/>
      <c r="L540" s="79"/>
      <c r="M540" s="79"/>
      <c r="N540" s="79"/>
      <c r="O540" s="79"/>
      <c r="P540" s="52"/>
      <c r="Q540" s="23"/>
      <c r="R540" s="23"/>
      <c r="S540" s="23"/>
      <c r="T540" s="23"/>
      <c r="U540" s="23"/>
      <c r="V540" s="21"/>
      <c r="W540" s="21"/>
      <c r="X540" s="21"/>
      <c r="Y540" s="21"/>
    </row>
    <row r="541" spans="1:25" x14ac:dyDescent="0.2">
      <c r="A541" s="72" t="s">
        <v>138</v>
      </c>
      <c r="B541" s="73"/>
      <c r="C541" s="73" t="s">
        <v>112</v>
      </c>
      <c r="D541" s="78" t="str">
        <f>VLOOKUP(Q523,[95]Base_03!$A$5:$AS$24,6,0)</f>
        <v>BT 10</v>
      </c>
      <c r="E541" s="78"/>
      <c r="F541" s="77">
        <f>VLOOKUP(Q523,[95]Base_03!$A$5:$AS$24,12,0)</f>
        <v>0</v>
      </c>
      <c r="G541" s="77"/>
      <c r="H541" s="23" t="s">
        <v>134</v>
      </c>
      <c r="I541" s="72" t="s">
        <v>138</v>
      </c>
      <c r="J541" s="73"/>
      <c r="K541" s="73"/>
      <c r="L541" s="78" t="str">
        <f>VLOOKUP(Q523,[95]Base_04!$A$5:$AS$24,6,0)</f>
        <v>BT 10</v>
      </c>
      <c r="M541" s="78"/>
      <c r="N541" s="77">
        <f>VLOOKUP(Q523,[95]Base_04!$A$5:$AS$24,12,0)</f>
        <v>0</v>
      </c>
      <c r="O541" s="77"/>
      <c r="P541" s="37" t="s">
        <v>134</v>
      </c>
      <c r="Q541" s="23" t="s">
        <v>123</v>
      </c>
      <c r="R541" s="23"/>
      <c r="S541" s="23"/>
      <c r="T541" s="23"/>
      <c r="U541" s="23"/>
      <c r="V541" s="21"/>
      <c r="W541" s="21"/>
      <c r="X541" s="21"/>
      <c r="Y541" s="21"/>
    </row>
    <row r="542" spans="1:25" x14ac:dyDescent="0.2">
      <c r="A542" s="72" t="s">
        <v>137</v>
      </c>
      <c r="B542" s="73"/>
      <c r="C542" s="73" t="s">
        <v>112</v>
      </c>
      <c r="D542" s="78" t="str">
        <f>VLOOKUP(Q523,[95]Base_03!$A$5:$AS$24,13,0)</f>
        <v>S 10</v>
      </c>
      <c r="E542" s="78"/>
      <c r="F542" s="77">
        <f>VLOOKUP(Q523,[95]Base_03!$A$5:$AS$24,15,0)</f>
        <v>0</v>
      </c>
      <c r="G542" s="77"/>
      <c r="H542" s="23" t="s">
        <v>134</v>
      </c>
      <c r="I542" s="72" t="s">
        <v>137</v>
      </c>
      <c r="J542" s="73"/>
      <c r="K542" s="73"/>
      <c r="L542" s="78" t="str">
        <f>VLOOKUP(Q523,[95]Base_04!$A$5:$AS$24,13,0)</f>
        <v>S 10</v>
      </c>
      <c r="M542" s="78"/>
      <c r="N542" s="77">
        <f>VLOOKUP(Q523,[95]Base_04!$A$5:$AS$24,15,0)</f>
        <v>0</v>
      </c>
      <c r="O542" s="77"/>
      <c r="P542" s="37" t="s">
        <v>134</v>
      </c>
      <c r="Q542" s="23" t="s">
        <v>123</v>
      </c>
      <c r="R542" s="23"/>
      <c r="S542" s="23"/>
      <c r="T542" s="23"/>
      <c r="U542" s="23"/>
      <c r="V542" s="21"/>
      <c r="W542" s="21"/>
      <c r="X542" s="21"/>
      <c r="Y542" s="21"/>
    </row>
    <row r="543" spans="1:25" x14ac:dyDescent="0.2">
      <c r="A543" s="72" t="s">
        <v>136</v>
      </c>
      <c r="B543" s="73"/>
      <c r="C543" s="73" t="s">
        <v>112</v>
      </c>
      <c r="D543" s="78" t="str">
        <f>VLOOKUP(Q523,[95]Base_03!$A$5:$AS$24,16,0)</f>
        <v>B 10</v>
      </c>
      <c r="E543" s="78"/>
      <c r="F543" s="77">
        <f>VLOOKUP(Q523,[95]Base_03!$A$5:$AS$24,22,0)</f>
        <v>0</v>
      </c>
      <c r="G543" s="77"/>
      <c r="H543" s="23" t="s">
        <v>134</v>
      </c>
      <c r="I543" s="72" t="s">
        <v>136</v>
      </c>
      <c r="J543" s="73"/>
      <c r="K543" s="73"/>
      <c r="L543" s="78" t="str">
        <f>VLOOKUP(Q523,[95]Base_04!$A$5:$AS$24,16,0)</f>
        <v>B 10</v>
      </c>
      <c r="M543" s="78"/>
      <c r="N543" s="77">
        <f>VLOOKUP(Q523,[95]Base_04!$A$5:$AS$24,22,0)</f>
        <v>0</v>
      </c>
      <c r="O543" s="77"/>
      <c r="P543" s="37" t="s">
        <v>134</v>
      </c>
      <c r="Q543" s="23" t="s">
        <v>123</v>
      </c>
      <c r="R543" s="23"/>
      <c r="S543" s="23"/>
      <c r="T543" s="23"/>
      <c r="U543" s="23"/>
      <c r="V543" s="21"/>
      <c r="W543" s="21"/>
      <c r="X543" s="21"/>
      <c r="Y543" s="21"/>
    </row>
    <row r="544" spans="1:25" x14ac:dyDescent="0.2">
      <c r="A544" s="72" t="s">
        <v>135</v>
      </c>
      <c r="B544" s="73"/>
      <c r="C544" s="73" t="s">
        <v>112</v>
      </c>
      <c r="D544" s="78" t="str">
        <f>VLOOKUP(Q523,[95]Base_03!$A$5:$AS$24,23,0)</f>
        <v>K 10</v>
      </c>
      <c r="E544" s="78"/>
      <c r="F544" s="77">
        <f>VLOOKUP(Q523,[95]Base_03!$A$5:$AS$24,24,0)</f>
        <v>0</v>
      </c>
      <c r="G544" s="77"/>
      <c r="H544" s="23" t="s">
        <v>134</v>
      </c>
      <c r="I544" s="72" t="s">
        <v>135</v>
      </c>
      <c r="J544" s="73"/>
      <c r="K544" s="73"/>
      <c r="L544" s="78" t="str">
        <f>VLOOKUP(Q523,[95]Base_04!$A$5:$AS$24,23,0)</f>
        <v>K 10</v>
      </c>
      <c r="M544" s="78"/>
      <c r="N544" s="77">
        <f>VLOOKUP(Q523,[95]Base_04!$A$5:$AS$24,24,0)</f>
        <v>0</v>
      </c>
      <c r="O544" s="77"/>
      <c r="P544" s="37" t="s">
        <v>134</v>
      </c>
      <c r="Q544" s="23" t="s">
        <v>123</v>
      </c>
      <c r="R544" s="23"/>
      <c r="S544" s="23"/>
      <c r="T544" s="23"/>
      <c r="U544" s="23"/>
      <c r="V544" s="21"/>
      <c r="W544" s="21"/>
      <c r="X544" s="21"/>
      <c r="Y544" s="21"/>
    </row>
    <row r="545" spans="1:25" x14ac:dyDescent="0.2">
      <c r="A545" s="72" t="s">
        <v>133</v>
      </c>
      <c r="B545" s="73"/>
      <c r="C545" s="73" t="s">
        <v>112</v>
      </c>
      <c r="D545" s="78" t="str">
        <f>VLOOKUP(Q523,[95]Base_03!$A$5:$AS$24,25,0)</f>
        <v>K 10</v>
      </c>
      <c r="E545" s="78"/>
      <c r="F545" s="77">
        <f>VLOOKUP(Q523,[95]Base_03!$A$5:$AS$24,26,0)</f>
        <v>73.900834456272094</v>
      </c>
      <c r="G545" s="77"/>
      <c r="H545" s="23" t="s">
        <v>124</v>
      </c>
      <c r="I545" s="72" t="s">
        <v>133</v>
      </c>
      <c r="J545" s="73"/>
      <c r="K545" s="73"/>
      <c r="L545" s="78" t="str">
        <f>VLOOKUP(Q523,[95]Base_04!$A$5:$AS$24,25,0)</f>
        <v>K 10</v>
      </c>
      <c r="M545" s="78"/>
      <c r="N545" s="77">
        <f>VLOOKUP(Q523,[95]Base_04!$A$5:$AS$24,26,0)</f>
        <v>93.530743608719362</v>
      </c>
      <c r="O545" s="77"/>
      <c r="P545" s="37" t="s">
        <v>124</v>
      </c>
      <c r="Q545" s="23" t="s">
        <v>123</v>
      </c>
      <c r="R545" s="23"/>
      <c r="S545" s="23"/>
      <c r="T545" s="23"/>
      <c r="U545" s="23"/>
      <c r="V545" s="21"/>
      <c r="W545" s="21"/>
      <c r="X545" s="21"/>
      <c r="Y545" s="21"/>
    </row>
    <row r="546" spans="1:25" x14ac:dyDescent="0.2">
      <c r="A546" s="40"/>
      <c r="B546" s="31"/>
      <c r="C546" s="31"/>
      <c r="D546" s="41"/>
      <c r="E546" s="41"/>
      <c r="F546" s="30"/>
      <c r="G546" s="23"/>
      <c r="H546" s="23"/>
      <c r="I546" s="40"/>
      <c r="J546" s="31"/>
      <c r="K546" s="31"/>
      <c r="L546" s="41"/>
      <c r="M546" s="41"/>
      <c r="N546" s="30"/>
      <c r="O546" s="23"/>
      <c r="P546" s="37"/>
      <c r="Q546" s="23"/>
      <c r="R546" s="23"/>
      <c r="S546" s="23"/>
      <c r="T546" s="23"/>
      <c r="U546" s="23"/>
      <c r="V546" s="21"/>
      <c r="W546" s="21"/>
      <c r="X546" s="21"/>
      <c r="Y546" s="21"/>
    </row>
    <row r="547" spans="1:25" x14ac:dyDescent="0.2">
      <c r="A547" s="38" t="s">
        <v>132</v>
      </c>
      <c r="B547" s="23"/>
      <c r="C547" s="26"/>
      <c r="D547" s="79" t="s">
        <v>131</v>
      </c>
      <c r="E547" s="79"/>
      <c r="F547" s="79" t="s">
        <v>130</v>
      </c>
      <c r="G547" s="79"/>
      <c r="H547" s="23"/>
      <c r="I547" s="38" t="s">
        <v>132</v>
      </c>
      <c r="J547" s="23"/>
      <c r="K547" s="26"/>
      <c r="L547" s="79" t="s">
        <v>131</v>
      </c>
      <c r="M547" s="79"/>
      <c r="N547" s="79" t="s">
        <v>130</v>
      </c>
      <c r="O547" s="79"/>
      <c r="P547" s="52"/>
      <c r="Q547" s="23"/>
      <c r="R547" s="23"/>
      <c r="S547" s="23"/>
      <c r="T547" s="23"/>
      <c r="U547" s="23"/>
      <c r="V547" s="21"/>
      <c r="W547" s="21"/>
      <c r="X547" s="21"/>
      <c r="Y547" s="21"/>
    </row>
    <row r="548" spans="1:25" x14ac:dyDescent="0.2">
      <c r="A548" s="39"/>
      <c r="B548" s="23"/>
      <c r="C548" s="26"/>
      <c r="D548" s="79"/>
      <c r="E548" s="79"/>
      <c r="F548" s="79"/>
      <c r="G548" s="79"/>
      <c r="H548" s="23"/>
      <c r="I548" s="39"/>
      <c r="J548" s="23"/>
      <c r="K548" s="26"/>
      <c r="L548" s="79"/>
      <c r="M548" s="79"/>
      <c r="N548" s="79"/>
      <c r="O548" s="79"/>
      <c r="P548" s="52"/>
      <c r="Q548" s="23"/>
      <c r="R548" s="23"/>
      <c r="S548" s="23"/>
      <c r="T548" s="23"/>
      <c r="U548" s="23"/>
      <c r="V548" s="21"/>
      <c r="W548" s="21"/>
      <c r="X548" s="21"/>
      <c r="Y548" s="21"/>
    </row>
    <row r="549" spans="1:25" x14ac:dyDescent="0.2">
      <c r="A549" s="72" t="s">
        <v>129</v>
      </c>
      <c r="B549" s="73"/>
      <c r="C549" s="73" t="s">
        <v>119</v>
      </c>
      <c r="D549" s="78" t="str">
        <f>VLOOKUP(Q523,[95]Base_03!$A$5:$AS$24,28,0)</f>
        <v xml:space="preserve"> G 10</v>
      </c>
      <c r="E549" s="78"/>
      <c r="F549" s="77">
        <f>VLOOKUP(Q523,[95]Base_03!$A$5:$AS$24,30,0)</f>
        <v>55</v>
      </c>
      <c r="G549" s="77"/>
      <c r="H549" s="23" t="s">
        <v>124</v>
      </c>
      <c r="I549" s="72" t="s">
        <v>129</v>
      </c>
      <c r="J549" s="73"/>
      <c r="K549" s="73" t="s">
        <v>119</v>
      </c>
      <c r="L549" s="78" t="str">
        <f>VLOOKUP(Q523,[95]Base_04!$A$5:$AS$24,28,0)</f>
        <v xml:space="preserve"> G 10</v>
      </c>
      <c r="M549" s="78"/>
      <c r="N549" s="77">
        <f>VLOOKUP(Q523,[95]Base_04!$A$5:$AS$24,30,0)</f>
        <v>55</v>
      </c>
      <c r="O549" s="77"/>
      <c r="P549" s="37" t="s">
        <v>124</v>
      </c>
      <c r="Q549" s="23" t="s">
        <v>123</v>
      </c>
      <c r="R549" s="23"/>
      <c r="S549" s="23"/>
      <c r="T549" s="23"/>
      <c r="U549" s="23"/>
      <c r="V549" s="21"/>
      <c r="W549" s="21"/>
      <c r="X549" s="21"/>
      <c r="Y549" s="21"/>
    </row>
    <row r="550" spans="1:25" x14ac:dyDescent="0.2">
      <c r="A550" s="72" t="s">
        <v>128</v>
      </c>
      <c r="B550" s="73"/>
      <c r="C550" s="73" t="s">
        <v>119</v>
      </c>
      <c r="D550" s="78" t="str">
        <f>VLOOKUP(Q523,[95]Base_03!$A$5:$AS$24,31,0)</f>
        <v>H 10</v>
      </c>
      <c r="E550" s="78"/>
      <c r="F550" s="77">
        <f>VLOOKUP(Q523,[95]Base_03!$A$5:$AS$24,34,0)</f>
        <v>-5.76</v>
      </c>
      <c r="G550" s="77"/>
      <c r="H550" s="23" t="s">
        <v>124</v>
      </c>
      <c r="I550" s="72" t="s">
        <v>128</v>
      </c>
      <c r="J550" s="73"/>
      <c r="K550" s="73" t="s">
        <v>119</v>
      </c>
      <c r="L550" s="78" t="str">
        <f>VLOOKUP(Q523,[95]Base_04!$A$5:$AS$24,31,0)</f>
        <v>H 10</v>
      </c>
      <c r="M550" s="78"/>
      <c r="N550" s="77">
        <f>VLOOKUP(Q523,[95]Base_04!$A$5:$AS$24,34,0)</f>
        <v>-5.76</v>
      </c>
      <c r="O550" s="77"/>
      <c r="P550" s="37" t="s">
        <v>124</v>
      </c>
      <c r="Q550" s="23" t="s">
        <v>123</v>
      </c>
      <c r="R550" s="23"/>
      <c r="S550" s="23"/>
      <c r="T550" s="23"/>
      <c r="U550" s="23"/>
      <c r="V550" s="21"/>
      <c r="W550" s="21"/>
      <c r="X550" s="21"/>
      <c r="Y550" s="21"/>
    </row>
    <row r="551" spans="1:25" x14ac:dyDescent="0.2">
      <c r="A551" s="89" t="s">
        <v>127</v>
      </c>
      <c r="B551" s="90"/>
      <c r="C551" s="90" t="s">
        <v>119</v>
      </c>
      <c r="D551" s="91" t="str">
        <f>VLOOKUP(Q523,[95]Base_03!$A$5:$AS$24,35,0)</f>
        <v>Kayu</v>
      </c>
      <c r="E551" s="91"/>
      <c r="F551" s="92">
        <f>VLOOKUP(Q523,[95]Base_03!$A$5:$AS$24,36,0)</f>
        <v>5.76</v>
      </c>
      <c r="G551" s="92"/>
      <c r="H551" s="23" t="s">
        <v>124</v>
      </c>
      <c r="I551" s="89" t="s">
        <v>127</v>
      </c>
      <c r="J551" s="90"/>
      <c r="K551" s="90" t="s">
        <v>119</v>
      </c>
      <c r="L551" s="91" t="str">
        <f>VLOOKUP(Q523,[95]Base_04!$A$5:$AS$24,35,0)</f>
        <v>Kayu</v>
      </c>
      <c r="M551" s="91"/>
      <c r="N551" s="92">
        <f>VLOOKUP(Q523,[95]Base_04!$A$5:$AS$24,36,0)</f>
        <v>5.76</v>
      </c>
      <c r="O551" s="92"/>
      <c r="P551" s="37" t="s">
        <v>124</v>
      </c>
      <c r="Q551" s="23" t="s">
        <v>123</v>
      </c>
      <c r="R551" s="23"/>
      <c r="S551" s="23"/>
      <c r="T551" s="23"/>
      <c r="U551" s="23"/>
      <c r="V551" s="21"/>
      <c r="W551" s="21"/>
      <c r="X551" s="21"/>
      <c r="Y551" s="21"/>
    </row>
    <row r="552" spans="1:25" x14ac:dyDescent="0.2">
      <c r="A552" s="74" t="s">
        <v>126</v>
      </c>
      <c r="B552" s="75"/>
      <c r="C552" s="75"/>
      <c r="D552" s="91"/>
      <c r="E552" s="91"/>
      <c r="F552" s="92"/>
      <c r="G552" s="92"/>
      <c r="H552" s="23"/>
      <c r="I552" s="74" t="s">
        <v>126</v>
      </c>
      <c r="J552" s="75"/>
      <c r="K552" s="75"/>
      <c r="L552" s="91"/>
      <c r="M552" s="91"/>
      <c r="N552" s="92"/>
      <c r="O552" s="92"/>
      <c r="P552" s="37"/>
      <c r="Q552" s="23"/>
      <c r="R552" s="23"/>
      <c r="S552" s="23"/>
      <c r="T552" s="23"/>
      <c r="U552" s="23"/>
      <c r="V552" s="21"/>
      <c r="W552" s="21"/>
      <c r="X552" s="21"/>
      <c r="Y552" s="21"/>
    </row>
    <row r="553" spans="1:25" x14ac:dyDescent="0.2">
      <c r="A553" s="72" t="s">
        <v>125</v>
      </c>
      <c r="B553" s="73"/>
      <c r="C553" s="73" t="s">
        <v>119</v>
      </c>
      <c r="D553" s="78" t="str">
        <f>VLOOKUP(Q523,[95]Base_03!$A$5:$AS$24,39,0)</f>
        <v>R 10</v>
      </c>
      <c r="E553" s="78"/>
      <c r="F553" s="77">
        <f>VLOOKUP(Q523,[95]Base_03!$A$5:$AS$24,40,0)</f>
        <v>36</v>
      </c>
      <c r="G553" s="77"/>
      <c r="H553" s="23" t="s">
        <v>124</v>
      </c>
      <c r="I553" s="72" t="s">
        <v>125</v>
      </c>
      <c r="J553" s="73"/>
      <c r="K553" s="73" t="s">
        <v>119</v>
      </c>
      <c r="L553" s="78" t="str">
        <f>VLOOKUP(Q523,[95]Base_04!$A$5:$AS$24,39,0)</f>
        <v>R 10</v>
      </c>
      <c r="M553" s="78"/>
      <c r="N553" s="77">
        <f>VLOOKUP(Q523,[95]Base_04!$A$5:$AS$24,40,0)</f>
        <v>49</v>
      </c>
      <c r="O553" s="77"/>
      <c r="P553" s="37" t="s">
        <v>124</v>
      </c>
      <c r="Q553" s="23" t="s">
        <v>123</v>
      </c>
      <c r="R553" s="23"/>
      <c r="S553" s="23"/>
      <c r="T553" s="23"/>
      <c r="U553" s="23"/>
      <c r="V553" s="21"/>
      <c r="W553" s="21"/>
      <c r="X553" s="21"/>
      <c r="Y553" s="21"/>
    </row>
    <row r="554" spans="1:25" x14ac:dyDescent="0.2">
      <c r="A554" s="39"/>
      <c r="B554" s="23"/>
      <c r="C554" s="23"/>
      <c r="D554" s="23"/>
      <c r="E554" s="23"/>
      <c r="F554" s="23"/>
      <c r="G554" s="23"/>
      <c r="H554" s="23"/>
      <c r="I554" s="39"/>
      <c r="J554" s="45"/>
      <c r="K554" s="45"/>
      <c r="L554" s="45"/>
      <c r="M554" s="23"/>
      <c r="N554" s="30"/>
      <c r="O554" s="23"/>
      <c r="P554" s="37"/>
      <c r="Q554" s="23"/>
      <c r="R554" s="23"/>
      <c r="S554" s="23"/>
      <c r="T554" s="23"/>
      <c r="U554" s="23"/>
      <c r="V554" s="21"/>
      <c r="W554" s="21"/>
      <c r="X554" s="21"/>
      <c r="Y554" s="21"/>
    </row>
    <row r="555" spans="1:25" x14ac:dyDescent="0.2">
      <c r="A555" s="72" t="s">
        <v>122</v>
      </c>
      <c r="B555" s="73"/>
      <c r="C555" s="73" t="s">
        <v>112</v>
      </c>
      <c r="D555" s="76">
        <f>VLOOKUP(Q523,[95]Base_03!$A$5:$AS$24,42,0)</f>
        <v>6.666666666666667</v>
      </c>
      <c r="E555" s="76"/>
      <c r="F555" s="25" t="s">
        <v>118</v>
      </c>
      <c r="G555" s="23"/>
      <c r="H555" s="23"/>
      <c r="I555" s="72" t="s">
        <v>122</v>
      </c>
      <c r="J555" s="73"/>
      <c r="K555" s="73" t="s">
        <v>112</v>
      </c>
      <c r="L555" s="76">
        <f>VLOOKUP(Q523,[95]Base_04!$A$5:$AS$24,42,0)</f>
        <v>4.8979591836734695</v>
      </c>
      <c r="M555" s="76"/>
      <c r="N555" s="46" t="s">
        <v>118</v>
      </c>
      <c r="O555" s="23"/>
      <c r="P555" s="37"/>
      <c r="Q555" s="32" t="s">
        <v>121</v>
      </c>
      <c r="R555" s="23"/>
      <c r="S555" s="23"/>
      <c r="T555" s="23"/>
      <c r="U555" s="23"/>
      <c r="V555" s="21"/>
      <c r="W555" s="21"/>
      <c r="X555" s="21"/>
      <c r="Y555" s="21"/>
    </row>
    <row r="556" spans="1:25" x14ac:dyDescent="0.2">
      <c r="A556" s="72" t="s">
        <v>120</v>
      </c>
      <c r="B556" s="73"/>
      <c r="C556" s="73" t="s">
        <v>119</v>
      </c>
      <c r="D556" s="76">
        <f>VLOOKUP(Q523,[95]Base_03!$A$5:$AS$24,43,0)</f>
        <v>9.6666666666666661</v>
      </c>
      <c r="E556" s="76"/>
      <c r="F556" s="25" t="s">
        <v>118</v>
      </c>
      <c r="G556" s="23"/>
      <c r="H556" s="23"/>
      <c r="I556" s="72" t="s">
        <v>120</v>
      </c>
      <c r="J556" s="73"/>
      <c r="K556" s="73" t="s">
        <v>119</v>
      </c>
      <c r="L556" s="76">
        <f>VLOOKUP(Q523,[95]Base_04!$A$5:$AS$24,43,0)</f>
        <v>7.1020408163265314</v>
      </c>
      <c r="M556" s="76"/>
      <c r="N556" s="46" t="s">
        <v>118</v>
      </c>
      <c r="O556" s="23"/>
      <c r="P556" s="37"/>
      <c r="Q556" s="32" t="s">
        <v>117</v>
      </c>
      <c r="R556" s="23"/>
      <c r="S556" s="23"/>
      <c r="T556" s="23"/>
      <c r="U556" s="23"/>
      <c r="V556" s="21"/>
      <c r="W556" s="21"/>
      <c r="X556" s="21"/>
      <c r="Y556" s="21"/>
    </row>
    <row r="557" spans="1:25" x14ac:dyDescent="0.2">
      <c r="A557" s="72" t="s">
        <v>115</v>
      </c>
      <c r="B557" s="73"/>
      <c r="C557" s="73"/>
      <c r="D557" s="71" t="str">
        <f>VLOOKUP(Q523,[95]Base_03!$A$5:$AS$24,44,0)</f>
        <v>(Ada) Baik</v>
      </c>
      <c r="E557" s="71"/>
      <c r="F557" s="23"/>
      <c r="G557" s="23"/>
      <c r="H557" s="23"/>
      <c r="I557" s="72" t="s">
        <v>115</v>
      </c>
      <c r="J557" s="73"/>
      <c r="K557" s="73"/>
      <c r="L557" s="71" t="str">
        <f>VLOOKUP(Q523,[95]Base_04!$A$5:$AS$24,44,0)</f>
        <v>(Ada) Baik</v>
      </c>
      <c r="M557" s="71"/>
      <c r="N557" s="30"/>
      <c r="O557" s="23"/>
      <c r="P557" s="37"/>
      <c r="Q557" s="23"/>
      <c r="R557" s="23"/>
      <c r="S557" s="23"/>
      <c r="T557" s="23"/>
      <c r="U557" s="23"/>
      <c r="V557" s="21"/>
      <c r="W557" s="21"/>
      <c r="X557" s="21"/>
      <c r="Y557" s="21"/>
    </row>
    <row r="558" spans="1:25" x14ac:dyDescent="0.2">
      <c r="A558" s="74" t="s">
        <v>116</v>
      </c>
      <c r="B558" s="75"/>
      <c r="C558" s="26"/>
      <c r="D558" s="25"/>
      <c r="E558" s="25"/>
      <c r="F558" s="23"/>
      <c r="G558" s="23"/>
      <c r="H558" s="23"/>
      <c r="I558" s="74" t="s">
        <v>116</v>
      </c>
      <c r="J558" s="75"/>
      <c r="K558" s="26"/>
      <c r="L558" s="25"/>
      <c r="M558" s="25"/>
      <c r="N558" s="30"/>
      <c r="O558" s="23"/>
      <c r="P558" s="37"/>
      <c r="Q558" s="23"/>
      <c r="R558" s="23"/>
      <c r="S558" s="23"/>
      <c r="T558" s="23"/>
      <c r="U558" s="23"/>
      <c r="V558" s="21"/>
      <c r="W558" s="21"/>
      <c r="X558" s="21"/>
      <c r="Y558" s="21"/>
    </row>
    <row r="559" spans="1:25" x14ac:dyDescent="0.2">
      <c r="A559" s="72" t="s">
        <v>115</v>
      </c>
      <c r="B559" s="73"/>
      <c r="C559" s="73"/>
      <c r="D559" s="71" t="str">
        <f>VLOOKUP(Q523,[95]Base_03!$A$5:$AS$24,45,0)</f>
        <v>Air Pam (Baik)</v>
      </c>
      <c r="E559" s="71"/>
      <c r="F559" s="23"/>
      <c r="G559" s="23"/>
      <c r="H559" s="23"/>
      <c r="I559" s="72" t="s">
        <v>115</v>
      </c>
      <c r="J559" s="73"/>
      <c r="K559" s="73"/>
      <c r="L559" s="71" t="str">
        <f>VLOOKUP(Q523,[95]Base_04!$A$5:$AS$24,45,0)</f>
        <v>Air Pam (Baik)</v>
      </c>
      <c r="M559" s="71"/>
      <c r="N559" s="30"/>
      <c r="O559" s="23"/>
      <c r="P559" s="37"/>
      <c r="Q559" s="23"/>
      <c r="R559" s="23"/>
      <c r="S559" s="23"/>
      <c r="T559" s="23"/>
      <c r="U559" s="23"/>
      <c r="V559" s="21"/>
      <c r="W559" s="21"/>
      <c r="X559" s="21"/>
      <c r="Y559" s="21"/>
    </row>
    <row r="560" spans="1:25" x14ac:dyDescent="0.2">
      <c r="A560" s="74" t="s">
        <v>114</v>
      </c>
      <c r="B560" s="75"/>
      <c r="C560" s="26"/>
      <c r="D560" s="25"/>
      <c r="E560" s="25"/>
      <c r="F560" s="23"/>
      <c r="G560" s="23"/>
      <c r="H560" s="23"/>
      <c r="I560" s="74" t="s">
        <v>114</v>
      </c>
      <c r="J560" s="75"/>
      <c r="K560" s="26"/>
      <c r="L560" s="25"/>
      <c r="M560" s="25"/>
      <c r="N560" s="30"/>
      <c r="O560" s="23"/>
      <c r="P560" s="37"/>
      <c r="Q560" s="23"/>
      <c r="R560" s="23"/>
      <c r="S560" s="23"/>
      <c r="T560" s="23"/>
      <c r="U560" s="23"/>
      <c r="V560" s="21"/>
      <c r="W560" s="21"/>
      <c r="X560" s="21"/>
      <c r="Y560" s="21"/>
    </row>
    <row r="561" spans="1:25" x14ac:dyDescent="0.2">
      <c r="A561" s="36" t="s">
        <v>113</v>
      </c>
      <c r="B561" s="23"/>
      <c r="C561" s="26" t="s">
        <v>112</v>
      </c>
      <c r="D561" s="71">
        <f>VLOOKUP(Q523,[94]Base_02!$A$5:$S$24,18,0)</f>
        <v>0</v>
      </c>
      <c r="E561" s="71"/>
      <c r="F561" s="23" t="str">
        <f>IF(D561&gt;0,"LU","LS")</f>
        <v>LS</v>
      </c>
      <c r="G561" s="23"/>
      <c r="H561" s="23"/>
      <c r="I561" s="36" t="s">
        <v>113</v>
      </c>
      <c r="J561" s="26"/>
      <c r="K561" s="26" t="s">
        <v>112</v>
      </c>
      <c r="L561" s="71">
        <f>D561</f>
        <v>0</v>
      </c>
      <c r="M561" s="71"/>
      <c r="N561" s="23" t="str">
        <f>IF(L561&gt;0,"LU","LS")</f>
        <v>LS</v>
      </c>
      <c r="O561" s="23"/>
      <c r="P561" s="37"/>
      <c r="Q561" s="23"/>
      <c r="R561" s="23"/>
      <c r="S561" s="23"/>
      <c r="T561" s="23"/>
      <c r="U561" s="23"/>
      <c r="V561" s="21"/>
      <c r="W561" s="21"/>
      <c r="X561" s="21"/>
      <c r="Y561" s="21"/>
    </row>
    <row r="562" spans="1:25" x14ac:dyDescent="0.2">
      <c r="A562" s="42"/>
      <c r="B562" s="43"/>
      <c r="C562" s="44" t="s">
        <v>111</v>
      </c>
      <c r="D562" s="70">
        <f>VLOOKUP(Q523,[94]Base_02!$A$5:$S$24,19,0)</f>
        <v>0</v>
      </c>
      <c r="E562" s="70"/>
      <c r="F562" s="43" t="s">
        <v>110</v>
      </c>
      <c r="G562" s="43"/>
      <c r="H562" s="43"/>
      <c r="I562" s="42"/>
      <c r="J562" s="43"/>
      <c r="K562" s="43"/>
      <c r="L562" s="70">
        <f>D562</f>
        <v>0</v>
      </c>
      <c r="M562" s="70"/>
      <c r="N562" s="47" t="s">
        <v>110</v>
      </c>
      <c r="O562" s="44"/>
      <c r="P562" s="53"/>
      <c r="Q562" s="23"/>
      <c r="R562" s="23"/>
      <c r="S562" s="23"/>
      <c r="T562" s="23"/>
      <c r="U562" s="23"/>
      <c r="V562" s="21"/>
      <c r="W562" s="21"/>
      <c r="X562" s="21"/>
      <c r="Y562" s="21"/>
    </row>
    <row r="563" spans="1:25" x14ac:dyDescent="0.2">
      <c r="A563" s="23"/>
      <c r="B563" s="23"/>
      <c r="C563" s="26"/>
      <c r="D563" s="23"/>
      <c r="E563" s="23"/>
      <c r="F563" s="23"/>
      <c r="G563" s="23"/>
      <c r="H563" s="23"/>
      <c r="I563" s="23"/>
      <c r="J563" s="23"/>
      <c r="K563" s="25"/>
      <c r="L563" s="25"/>
      <c r="M563" s="30"/>
      <c r="N563" s="23"/>
      <c r="O563" s="23"/>
      <c r="P563" s="23"/>
      <c r="Q563" s="23"/>
      <c r="R563" s="23"/>
      <c r="S563" s="23"/>
      <c r="T563" s="23"/>
      <c r="U563" s="23"/>
      <c r="V563" s="23"/>
      <c r="W563" s="23"/>
      <c r="X563" s="23"/>
      <c r="Y563" s="23"/>
    </row>
    <row r="564" spans="1:25" x14ac:dyDescent="0.2">
      <c r="A564" s="23"/>
      <c r="B564" s="23"/>
      <c r="C564" s="23"/>
      <c r="D564" s="23"/>
      <c r="E564" s="23"/>
      <c r="F564" s="23"/>
      <c r="G564" s="23"/>
      <c r="H564" s="23"/>
      <c r="I564" s="23"/>
      <c r="J564" s="23"/>
      <c r="K564" s="23"/>
      <c r="L564" s="23"/>
      <c r="M564" s="30"/>
      <c r="N564" s="23"/>
      <c r="O564" s="23"/>
      <c r="P564" s="23"/>
      <c r="Q564" s="23"/>
      <c r="R564" s="23"/>
      <c r="S564" s="23"/>
      <c r="T564" s="23"/>
      <c r="U564" s="23"/>
      <c r="V564" s="23"/>
      <c r="W564" s="23"/>
      <c r="X564" s="23"/>
      <c r="Y564" s="23"/>
    </row>
    <row r="565" spans="1:25" x14ac:dyDescent="0.2">
      <c r="A565" s="23"/>
      <c r="B565" s="23"/>
      <c r="C565" s="23"/>
      <c r="D565" s="23"/>
      <c r="E565" s="23"/>
      <c r="F565" s="23"/>
      <c r="G565" s="23"/>
      <c r="H565" s="23"/>
      <c r="I565" s="23"/>
      <c r="J565" s="23"/>
      <c r="K565" s="23"/>
      <c r="L565" s="71" t="str">
        <f>[94]Base_01!$C$4&amp;", …..  …........................  2026"</f>
        <v>Sorong, …..  …........................  2026</v>
      </c>
      <c r="M565" s="71"/>
      <c r="N565" s="71"/>
      <c r="O565" s="71"/>
      <c r="P565" s="71"/>
      <c r="Q565" s="23"/>
      <c r="R565" s="23"/>
      <c r="S565" s="23"/>
      <c r="T565" s="23"/>
      <c r="U565" s="23"/>
      <c r="V565" s="23"/>
      <c r="W565" s="23"/>
      <c r="X565" s="23"/>
      <c r="Y565" s="23"/>
    </row>
    <row r="566" spans="1:25" x14ac:dyDescent="0.2">
      <c r="A566" s="71" t="s">
        <v>108</v>
      </c>
      <c r="B566" s="71"/>
      <c r="C566" s="71"/>
      <c r="D566" s="71"/>
      <c r="E566" s="71"/>
      <c r="F566" s="71"/>
      <c r="G566" s="23"/>
      <c r="H566" s="23"/>
      <c r="I566" s="23"/>
      <c r="J566" s="23"/>
      <c r="K566" s="23"/>
      <c r="L566" s="71" t="s">
        <v>152</v>
      </c>
      <c r="M566" s="71"/>
      <c r="N566" s="71"/>
      <c r="O566" s="71"/>
      <c r="P566" s="71"/>
      <c r="Q566" s="23"/>
      <c r="R566" s="23"/>
      <c r="S566" s="23"/>
      <c r="T566" s="23"/>
      <c r="U566" s="23"/>
      <c r="V566" s="23"/>
      <c r="W566" s="23"/>
      <c r="X566" s="23"/>
      <c r="Y566" s="23"/>
    </row>
    <row r="567" spans="1:25" x14ac:dyDescent="0.2">
      <c r="A567" s="71" t="s">
        <v>153</v>
      </c>
      <c r="B567" s="71"/>
      <c r="C567" s="71"/>
      <c r="D567" s="71"/>
      <c r="E567" s="71"/>
      <c r="F567" s="71"/>
      <c r="G567" s="23"/>
      <c r="H567" s="23"/>
      <c r="I567" s="23"/>
      <c r="J567" s="23"/>
      <c r="K567" s="23"/>
      <c r="L567" s="71" t="s">
        <v>107</v>
      </c>
      <c r="M567" s="71"/>
      <c r="N567" s="71"/>
      <c r="O567" s="71"/>
      <c r="P567" s="71"/>
      <c r="Q567" s="23"/>
      <c r="R567" s="23"/>
      <c r="S567" s="23"/>
      <c r="T567" s="23"/>
      <c r="U567" s="23"/>
      <c r="V567" s="23"/>
      <c r="W567" s="23"/>
      <c r="X567" s="23"/>
      <c r="Y567" s="23"/>
    </row>
    <row r="568" spans="1:25" x14ac:dyDescent="0.2">
      <c r="A568" s="23"/>
      <c r="B568" s="23"/>
      <c r="C568" s="23"/>
      <c r="D568" s="23"/>
      <c r="E568" s="23"/>
      <c r="F568" s="23"/>
      <c r="G568" s="23"/>
      <c r="H568" s="23"/>
      <c r="I568" s="23"/>
      <c r="J568" s="23"/>
      <c r="K568" s="23"/>
      <c r="L568" s="23"/>
      <c r="M568" s="30"/>
      <c r="N568" s="23"/>
      <c r="O568" s="23"/>
      <c r="P568" s="23"/>
      <c r="Q568" s="23"/>
      <c r="R568" s="23"/>
      <c r="S568" s="23"/>
      <c r="T568" s="23"/>
      <c r="U568" s="23"/>
      <c r="V568" s="23"/>
      <c r="W568" s="23"/>
      <c r="X568" s="23"/>
      <c r="Y568" s="23"/>
    </row>
    <row r="569" spans="1:25" x14ac:dyDescent="0.2">
      <c r="A569" s="23"/>
      <c r="B569" s="23"/>
      <c r="C569" s="23"/>
      <c r="D569" s="23"/>
      <c r="E569" s="23"/>
      <c r="F569" s="23"/>
      <c r="G569" s="23"/>
      <c r="H569" s="23"/>
      <c r="I569" s="23"/>
      <c r="J569" s="23"/>
      <c r="K569" s="23"/>
      <c r="L569" s="23"/>
      <c r="M569" s="30"/>
      <c r="N569" s="23"/>
      <c r="O569" s="23"/>
      <c r="P569" s="23"/>
      <c r="Q569" s="23"/>
      <c r="R569" s="23"/>
      <c r="S569" s="23"/>
      <c r="T569" s="23"/>
      <c r="U569" s="23"/>
      <c r="V569" s="23"/>
      <c r="W569" s="23"/>
      <c r="X569" s="23"/>
      <c r="Y569" s="23"/>
    </row>
    <row r="570" spans="1:25" x14ac:dyDescent="0.2">
      <c r="A570" s="23"/>
      <c r="B570" s="23"/>
      <c r="C570" s="23"/>
      <c r="D570" s="23"/>
      <c r="E570" s="23"/>
      <c r="F570" s="23"/>
      <c r="G570" s="23"/>
      <c r="H570" s="23"/>
      <c r="I570" s="23"/>
      <c r="J570" s="23"/>
      <c r="K570" s="23"/>
      <c r="L570" s="23"/>
      <c r="M570" s="30"/>
      <c r="N570" s="23"/>
      <c r="O570" s="23"/>
      <c r="P570" s="23"/>
      <c r="Q570" s="23"/>
      <c r="R570" s="23"/>
      <c r="S570" s="23"/>
      <c r="T570" s="23"/>
      <c r="U570" s="23"/>
      <c r="V570" s="23"/>
      <c r="W570" s="23"/>
      <c r="X570" s="23"/>
      <c r="Y570" s="23"/>
    </row>
    <row r="571" spans="1:25" x14ac:dyDescent="0.2">
      <c r="A571" s="23"/>
      <c r="B571" s="23"/>
      <c r="C571" s="23"/>
      <c r="D571" s="23"/>
      <c r="E571" s="23"/>
      <c r="F571" s="23"/>
      <c r="G571" s="23"/>
      <c r="H571" s="23"/>
      <c r="I571" s="23"/>
      <c r="J571" s="23"/>
      <c r="K571" s="23"/>
      <c r="L571" s="23"/>
      <c r="M571" s="30"/>
      <c r="N571" s="23"/>
      <c r="O571" s="23"/>
      <c r="P571" s="23"/>
      <c r="Q571" s="23"/>
      <c r="R571" s="23"/>
      <c r="S571" s="23"/>
      <c r="T571" s="23"/>
      <c r="U571" s="23"/>
      <c r="V571" s="23"/>
      <c r="W571" s="23"/>
      <c r="X571" s="23"/>
      <c r="Y571" s="23"/>
    </row>
    <row r="572" spans="1:25" x14ac:dyDescent="0.2">
      <c r="A572" s="87" t="str">
        <f>[94]Base_02!$C$28</f>
        <v>Nama PB 1</v>
      </c>
      <c r="B572" s="87"/>
      <c r="C572" s="87"/>
      <c r="D572" s="87"/>
      <c r="E572" s="87"/>
      <c r="F572" s="87"/>
      <c r="G572" s="23"/>
      <c r="H572" s="23"/>
      <c r="I572" s="23"/>
      <c r="J572" s="23"/>
      <c r="K572" s="23"/>
      <c r="L572" s="71" t="str">
        <f>E528</f>
        <v>Nama PB 10</v>
      </c>
      <c r="M572" s="71"/>
      <c r="N572" s="71"/>
      <c r="O572" s="71"/>
      <c r="P572" s="71"/>
      <c r="Q572" s="23"/>
      <c r="R572" s="23"/>
      <c r="S572" s="23"/>
      <c r="T572" s="23"/>
      <c r="U572" s="23"/>
      <c r="V572" s="23"/>
      <c r="W572" s="23"/>
      <c r="X572" s="23"/>
      <c r="Y572" s="23"/>
    </row>
    <row r="573" spans="1:25" x14ac:dyDescent="0.2">
      <c r="A573" s="23"/>
      <c r="B573" s="23"/>
      <c r="C573" s="23"/>
      <c r="D573" s="23"/>
      <c r="E573" s="23"/>
      <c r="F573" s="23"/>
      <c r="G573" s="23"/>
      <c r="H573" s="23"/>
      <c r="I573" s="23"/>
      <c r="J573" s="23"/>
      <c r="K573" s="23"/>
      <c r="L573" s="23"/>
      <c r="M573" s="30"/>
      <c r="N573" s="23"/>
      <c r="O573" s="23"/>
      <c r="P573" s="23"/>
      <c r="Q573" s="23"/>
      <c r="R573" s="23"/>
      <c r="S573" s="23"/>
      <c r="T573" s="23"/>
      <c r="U573" s="23"/>
      <c r="V573" s="23"/>
      <c r="W573" s="23"/>
      <c r="X573" s="23"/>
      <c r="Y573" s="23"/>
    </row>
    <row r="574" spans="1:25" x14ac:dyDescent="0.2">
      <c r="A574" s="87" t="s">
        <v>109</v>
      </c>
      <c r="B574" s="87"/>
      <c r="C574" s="87"/>
      <c r="D574" s="87"/>
      <c r="E574" s="87"/>
      <c r="F574" s="87"/>
      <c r="G574" s="23"/>
      <c r="H574" s="23"/>
      <c r="I574" s="29"/>
      <c r="J574" s="24"/>
      <c r="K574" s="24"/>
      <c r="L574" s="88" t="s">
        <v>92</v>
      </c>
      <c r="M574" s="88"/>
      <c r="N574" s="88"/>
      <c r="O574" s="88"/>
      <c r="P574" s="88"/>
      <c r="Q574" s="23"/>
      <c r="R574" s="23"/>
      <c r="S574" s="23"/>
      <c r="T574" s="23"/>
      <c r="U574" s="23"/>
      <c r="V574" s="23"/>
      <c r="W574" s="23"/>
      <c r="X574" s="23"/>
      <c r="Y574" s="23"/>
    </row>
    <row r="575" spans="1:25" x14ac:dyDescent="0.2">
      <c r="A575" s="68" t="s">
        <v>91</v>
      </c>
      <c r="B575" s="68"/>
      <c r="C575" s="68"/>
      <c r="D575" s="68"/>
      <c r="E575" s="68"/>
      <c r="F575" s="68"/>
      <c r="I575" s="28"/>
      <c r="J575" s="28"/>
      <c r="K575" s="28"/>
      <c r="L575" s="69" t="str">
        <f>[94]Base_01!$B$17&amp;" "&amp;[94]Base_01!$C$4</f>
        <v>Koordinator Kota Sorong</v>
      </c>
      <c r="M575" s="69"/>
      <c r="N575" s="69"/>
      <c r="O575" s="69"/>
      <c r="P575" s="69"/>
      <c r="Q575" s="23"/>
      <c r="R575" s="23"/>
      <c r="S575" s="23"/>
      <c r="T575" s="23"/>
      <c r="U575" s="23"/>
      <c r="V575" s="23"/>
      <c r="W575" s="23"/>
      <c r="X575" s="23"/>
      <c r="Y575" s="23"/>
    </row>
    <row r="576" spans="1:25" x14ac:dyDescent="0.2">
      <c r="M576" s="27"/>
      <c r="Q576" s="23"/>
      <c r="R576" s="23"/>
      <c r="S576" s="23"/>
      <c r="T576" s="23"/>
      <c r="U576" s="23"/>
      <c r="V576" s="23"/>
      <c r="W576" s="23"/>
      <c r="X576" s="23"/>
      <c r="Y576" s="23"/>
    </row>
    <row r="577" spans="1:25" x14ac:dyDescent="0.2">
      <c r="M577" s="27"/>
      <c r="Q577" s="23"/>
      <c r="R577" s="23"/>
      <c r="S577" s="23"/>
      <c r="T577" s="23"/>
      <c r="U577" s="23"/>
      <c r="V577" s="23"/>
      <c r="W577" s="23"/>
      <c r="X577" s="23"/>
      <c r="Y577" s="23"/>
    </row>
    <row r="578" spans="1:25" x14ac:dyDescent="0.2">
      <c r="M578" s="27"/>
      <c r="Q578" s="23"/>
      <c r="R578" s="23"/>
      <c r="S578" s="23"/>
      <c r="T578" s="23"/>
      <c r="U578" s="23"/>
      <c r="V578" s="23"/>
      <c r="W578" s="23"/>
      <c r="X578" s="23"/>
      <c r="Y578" s="23"/>
    </row>
    <row r="579" spans="1:25" x14ac:dyDescent="0.2">
      <c r="M579" s="27"/>
      <c r="Q579" s="23"/>
      <c r="R579" s="23"/>
      <c r="S579" s="23"/>
      <c r="T579" s="23"/>
      <c r="U579" s="23"/>
      <c r="V579" s="23"/>
      <c r="W579" s="23"/>
      <c r="X579" s="23"/>
      <c r="Y579" s="23"/>
    </row>
    <row r="580" spans="1:25" x14ac:dyDescent="0.2">
      <c r="A580" s="68" t="str">
        <f>[94]Base_01!$C$20</f>
        <v>…...............         …...............</v>
      </c>
      <c r="B580" s="68"/>
      <c r="C580" s="68"/>
      <c r="D580" s="68"/>
      <c r="E580" s="68"/>
      <c r="F580" s="68"/>
      <c r="L580" s="68" t="str">
        <f>[94]Base_01!$C$17</f>
        <v>AfrIandi Yudhistira, S.T.</v>
      </c>
      <c r="M580" s="68"/>
      <c r="N580" s="68"/>
      <c r="O580" s="68"/>
      <c r="P580" s="68"/>
      <c r="Q580" s="23"/>
      <c r="R580" s="23"/>
      <c r="S580" s="23"/>
      <c r="T580" s="23"/>
      <c r="U580" s="23"/>
      <c r="V580" s="23"/>
      <c r="W580" s="23"/>
      <c r="X580" s="23"/>
      <c r="Y580" s="23"/>
    </row>
    <row r="581" spans="1:25" x14ac:dyDescent="0.2">
      <c r="A581" s="86" t="s">
        <v>149</v>
      </c>
      <c r="B581" s="86"/>
      <c r="C581" s="86"/>
      <c r="D581" s="86"/>
      <c r="E581" s="86"/>
      <c r="F581" s="86"/>
      <c r="G581" s="86"/>
      <c r="H581" s="86"/>
      <c r="I581" s="86"/>
      <c r="J581" s="86"/>
      <c r="K581" s="86"/>
      <c r="L581" s="86"/>
      <c r="M581" s="86"/>
      <c r="N581" s="86"/>
      <c r="O581" s="86"/>
      <c r="P581" s="86"/>
      <c r="Q581" s="23">
        <f>Q523+1</f>
        <v>11</v>
      </c>
      <c r="R581" s="23"/>
      <c r="S581" s="23"/>
      <c r="T581" s="23"/>
      <c r="U581" s="23"/>
      <c r="V581" s="23"/>
      <c r="W581" s="23"/>
      <c r="X581" s="23"/>
      <c r="Y581" s="23"/>
    </row>
    <row r="582" spans="1:25" x14ac:dyDescent="0.2">
      <c r="A582" s="71" t="s">
        <v>148</v>
      </c>
      <c r="B582" s="71"/>
      <c r="C582" s="71"/>
      <c r="D582" s="71"/>
      <c r="E582" s="71"/>
      <c r="F582" s="71"/>
      <c r="G582" s="71"/>
      <c r="H582" s="71"/>
      <c r="I582" s="71"/>
      <c r="J582" s="71"/>
      <c r="K582" s="71"/>
      <c r="L582" s="71"/>
      <c r="M582" s="71"/>
      <c r="N582" s="71"/>
      <c r="O582" s="71"/>
      <c r="P582" s="71"/>
      <c r="Q582" s="23"/>
      <c r="R582" s="23"/>
      <c r="S582" s="23"/>
      <c r="T582" s="23"/>
      <c r="U582" s="23"/>
      <c r="V582" s="23"/>
      <c r="W582" s="23"/>
      <c r="X582" s="23"/>
      <c r="Y582" s="23"/>
    </row>
    <row r="583" spans="1:25" x14ac:dyDescent="0.2">
      <c r="A583" s="25"/>
      <c r="B583" s="25"/>
      <c r="C583" s="25"/>
      <c r="D583" s="25"/>
      <c r="E583" s="25"/>
      <c r="F583" s="25"/>
      <c r="G583" s="25"/>
      <c r="H583" s="25"/>
      <c r="I583" s="23"/>
      <c r="J583" s="24"/>
      <c r="K583" s="24"/>
      <c r="L583" s="24"/>
      <c r="M583" s="24"/>
      <c r="N583" s="24"/>
      <c r="O583" s="24"/>
      <c r="P583" s="24"/>
      <c r="Q583" s="23"/>
      <c r="R583" s="23"/>
      <c r="S583" s="23"/>
      <c r="T583" s="23"/>
      <c r="U583" s="23"/>
      <c r="V583" s="23"/>
      <c r="W583" s="23"/>
      <c r="X583" s="23"/>
      <c r="Y583" s="23"/>
    </row>
    <row r="584" spans="1:25" x14ac:dyDescent="0.2">
      <c r="A584" s="73" t="s">
        <v>147</v>
      </c>
      <c r="B584" s="73"/>
      <c r="C584" s="73"/>
      <c r="D584" s="73"/>
      <c r="E584" s="35" t="str">
        <f>VLOOKUP(Q581,[94]Base_02!$A$5:$AD$24,2,0)</f>
        <v>000011</v>
      </c>
      <c r="F584" s="23"/>
      <c r="G584" s="23"/>
      <c r="H584" s="24"/>
      <c r="I584" s="23"/>
      <c r="J584" s="24"/>
      <c r="K584" s="24"/>
      <c r="L584" s="24"/>
      <c r="M584" s="24"/>
      <c r="N584" s="24"/>
      <c r="O584" s="24"/>
      <c r="P584" s="24"/>
      <c r="Q584" s="23"/>
      <c r="R584" s="23"/>
      <c r="S584" s="23"/>
      <c r="T584" s="23"/>
      <c r="U584" s="23"/>
      <c r="V584" s="23"/>
      <c r="W584" s="23"/>
      <c r="X584" s="23"/>
      <c r="Y584" s="23"/>
    </row>
    <row r="585" spans="1:25" x14ac:dyDescent="0.2">
      <c r="A585" s="73" t="s">
        <v>68</v>
      </c>
      <c r="B585" s="73"/>
      <c r="C585" s="73"/>
      <c r="D585" s="73"/>
      <c r="E585" s="35">
        <f>VLOOKUP(Q581,[94]Base_02!$A$5:$AD$24,14,0)</f>
        <v>0</v>
      </c>
      <c r="F585" s="23"/>
      <c r="G585" s="23"/>
      <c r="H585" s="24"/>
      <c r="I585" s="23"/>
      <c r="J585" s="24"/>
      <c r="K585" s="24"/>
      <c r="L585" s="24"/>
      <c r="M585" s="24"/>
      <c r="N585" s="24"/>
      <c r="O585" s="24"/>
      <c r="P585" s="24"/>
      <c r="Q585" s="23"/>
      <c r="R585" s="23"/>
      <c r="S585" s="23"/>
      <c r="T585" s="23"/>
      <c r="U585" s="23"/>
      <c r="V585" s="23"/>
      <c r="W585" s="23"/>
      <c r="X585" s="23"/>
      <c r="Y585" s="23"/>
    </row>
    <row r="586" spans="1:25" x14ac:dyDescent="0.2">
      <c r="A586" s="73" t="s">
        <v>150</v>
      </c>
      <c r="B586" s="73"/>
      <c r="C586" s="73"/>
      <c r="D586" s="73"/>
      <c r="E586" s="35" t="str">
        <f>VLOOKUP(Q581,[94]Base_02!$A$5:$AD$24,3,0)</f>
        <v>Nama PB 11</v>
      </c>
      <c r="F586" s="23"/>
      <c r="G586" s="23"/>
      <c r="H586" s="24"/>
      <c r="I586" s="23"/>
      <c r="J586" s="24"/>
      <c r="K586" s="24"/>
      <c r="L586" s="24"/>
      <c r="M586" s="24"/>
      <c r="N586" s="24"/>
      <c r="O586" s="24"/>
      <c r="P586" s="24"/>
      <c r="Q586" s="23"/>
      <c r="R586" s="23"/>
      <c r="S586" s="23"/>
      <c r="T586" s="23"/>
      <c r="U586" s="23"/>
      <c r="V586" s="23"/>
      <c r="W586" s="23"/>
      <c r="X586" s="23"/>
      <c r="Y586" s="23"/>
    </row>
    <row r="587" spans="1:25" x14ac:dyDescent="0.2">
      <c r="A587" s="73" t="s">
        <v>18</v>
      </c>
      <c r="B587" s="73"/>
      <c r="C587" s="73"/>
      <c r="D587" s="73"/>
      <c r="E587" s="35" t="str">
        <f>VLOOKUP(Q581,[94]Base_02!$A$5:$Z$24,11,FALSE)&amp;", RT "&amp;VLOOKUP(Q581,[94]Base_02!$A$5:$Z$24,12,FALSE)&amp;", RW "&amp;VLOOKUP(Q581,[94]Base_02!$A$5:$Z$24,13,FALSE)</f>
        <v>Jalan Kanal Victory, RT 2, RW 1</v>
      </c>
      <c r="F587" s="23"/>
      <c r="G587" s="23"/>
      <c r="H587" s="35"/>
      <c r="I587" s="23"/>
      <c r="J587" s="24"/>
      <c r="K587" s="24"/>
      <c r="L587" s="24"/>
      <c r="M587" s="24"/>
      <c r="N587" s="24"/>
      <c r="O587" s="24"/>
      <c r="P587" s="24"/>
      <c r="Q587" s="23"/>
      <c r="R587" s="23"/>
      <c r="S587" s="23"/>
      <c r="T587" s="23"/>
      <c r="U587" s="23"/>
      <c r="V587" s="23"/>
      <c r="W587" s="23"/>
      <c r="X587" s="23"/>
      <c r="Y587" s="23"/>
    </row>
    <row r="588" spans="1:25" x14ac:dyDescent="0.2">
      <c r="A588" s="73" t="str">
        <f>[94]Base_01!$B$2</f>
        <v>Kelurahan</v>
      </c>
      <c r="B588" s="73"/>
      <c r="C588" s="73"/>
      <c r="D588" s="73"/>
      <c r="E588" s="35" t="str">
        <f>[94]Base_01!$C$2</f>
        <v>Klasabi</v>
      </c>
      <c r="F588" s="23"/>
      <c r="G588" s="23"/>
      <c r="H588" s="24"/>
      <c r="I588" s="23"/>
      <c r="J588" s="24"/>
      <c r="K588" s="24"/>
      <c r="L588" s="24"/>
      <c r="M588" s="24"/>
      <c r="N588" s="24"/>
      <c r="O588" s="24"/>
      <c r="P588" s="24"/>
      <c r="Q588" s="23" t="s">
        <v>146</v>
      </c>
      <c r="R588" s="23"/>
      <c r="S588" s="23"/>
      <c r="T588" s="23"/>
      <c r="U588" s="23"/>
      <c r="V588" s="23"/>
      <c r="W588" s="23"/>
      <c r="X588" s="23"/>
      <c r="Y588" s="23"/>
    </row>
    <row r="589" spans="1:25" x14ac:dyDescent="0.2">
      <c r="A589" s="73" t="s">
        <v>19</v>
      </c>
      <c r="B589" s="73"/>
      <c r="C589" s="73"/>
      <c r="D589" s="73"/>
      <c r="E589" s="35" t="str">
        <f>[94]Base_01!$C$3</f>
        <v>Sorong Manoi</v>
      </c>
      <c r="F589" s="23"/>
      <c r="G589" s="23"/>
      <c r="H589" s="24"/>
      <c r="I589" s="23"/>
      <c r="J589" s="24"/>
      <c r="K589" s="24"/>
      <c r="L589" s="24"/>
      <c r="M589" s="24"/>
      <c r="N589" s="24"/>
      <c r="O589" s="24"/>
      <c r="P589" s="24"/>
      <c r="Q589" s="23" t="s">
        <v>145</v>
      </c>
      <c r="R589" s="23"/>
      <c r="S589" s="23"/>
      <c r="T589" s="23"/>
      <c r="U589" s="23"/>
      <c r="V589" s="23"/>
      <c r="W589" s="23"/>
      <c r="X589" s="23"/>
      <c r="Y589" s="23"/>
    </row>
    <row r="590" spans="1:25" x14ac:dyDescent="0.2">
      <c r="A590" s="73" t="str">
        <f>[94]Base_01!$B$4</f>
        <v>Kota</v>
      </c>
      <c r="B590" s="73"/>
      <c r="C590" s="73"/>
      <c r="D590" s="73"/>
      <c r="E590" s="35" t="str">
        <f>[94]Base_01!$C$4</f>
        <v>Sorong</v>
      </c>
      <c r="F590" s="23"/>
      <c r="G590" s="23"/>
      <c r="H590" s="24"/>
      <c r="I590" s="23"/>
      <c r="J590" s="24"/>
      <c r="K590" s="24"/>
      <c r="L590" s="24"/>
      <c r="M590" s="24"/>
      <c r="N590" s="24"/>
      <c r="O590" s="24"/>
      <c r="P590" s="24"/>
      <c r="Q590" s="23" t="s">
        <v>144</v>
      </c>
      <c r="R590" s="23"/>
      <c r="S590" s="23"/>
      <c r="T590" s="23"/>
      <c r="U590" s="23"/>
      <c r="V590" s="23"/>
      <c r="W590" s="23"/>
      <c r="X590" s="23"/>
      <c r="Y590" s="23"/>
    </row>
    <row r="591" spans="1:25" x14ac:dyDescent="0.2">
      <c r="A591" s="73" t="str">
        <f>[94]Base_01!$B$5</f>
        <v>Provinsi</v>
      </c>
      <c r="B591" s="73"/>
      <c r="C591" s="73"/>
      <c r="D591" s="73"/>
      <c r="E591" s="23" t="str">
        <f>[94]Base_01!$C$5</f>
        <v>Papua Barat Daya</v>
      </c>
      <c r="F591" s="23"/>
      <c r="G591" s="24"/>
      <c r="H591" s="24"/>
      <c r="I591" s="23"/>
      <c r="J591" s="24"/>
      <c r="K591" s="24"/>
      <c r="L591" s="24"/>
      <c r="M591" s="24"/>
      <c r="N591" s="24"/>
      <c r="O591" s="24"/>
      <c r="P591" s="24"/>
      <c r="Q591" s="23" t="s">
        <v>143</v>
      </c>
      <c r="R591" s="23"/>
      <c r="S591" s="23"/>
      <c r="T591" s="23"/>
      <c r="U591" s="23"/>
      <c r="V591" s="23"/>
      <c r="W591" s="23"/>
      <c r="X591" s="23"/>
      <c r="Y591" s="23"/>
    </row>
    <row r="592" spans="1:25" x14ac:dyDescent="0.2">
      <c r="A592" s="23"/>
      <c r="B592" s="23"/>
      <c r="C592" s="23"/>
      <c r="D592" s="23"/>
      <c r="E592" s="23"/>
      <c r="F592" s="23"/>
      <c r="G592" s="23"/>
      <c r="H592" s="23"/>
      <c r="I592" s="24"/>
      <c r="J592" s="24"/>
      <c r="K592" s="24"/>
      <c r="L592" s="24"/>
      <c r="M592" s="24"/>
      <c r="N592" s="24"/>
      <c r="O592" s="24"/>
      <c r="P592" s="24"/>
      <c r="Q592" s="23"/>
      <c r="R592" s="23"/>
      <c r="S592" s="23"/>
      <c r="T592" s="23"/>
      <c r="U592" s="23"/>
      <c r="V592" s="23"/>
      <c r="W592" s="23"/>
      <c r="X592" s="23"/>
      <c r="Y592" s="23"/>
    </row>
    <row r="593" spans="1:25" x14ac:dyDescent="0.2">
      <c r="A593" s="33"/>
      <c r="B593" s="33"/>
      <c r="C593" s="33"/>
      <c r="D593" s="33"/>
      <c r="E593" s="33"/>
      <c r="F593" s="33"/>
      <c r="G593" s="33"/>
      <c r="H593" s="33"/>
      <c r="I593" s="33"/>
      <c r="J593" s="33"/>
      <c r="K593" s="33"/>
      <c r="L593" s="33"/>
      <c r="M593" s="34"/>
      <c r="N593" s="33"/>
      <c r="O593" s="33"/>
      <c r="P593" s="33"/>
      <c r="Q593" s="23"/>
      <c r="R593" s="23"/>
      <c r="S593" s="23"/>
      <c r="T593" s="23"/>
      <c r="U593" s="23"/>
      <c r="V593" s="23"/>
      <c r="W593" s="23"/>
      <c r="X593" s="23"/>
      <c r="Y593" s="23"/>
    </row>
    <row r="594" spans="1:25" x14ac:dyDescent="0.2">
      <c r="A594" s="80" t="s">
        <v>142</v>
      </c>
      <c r="B594" s="81"/>
      <c r="C594" s="81"/>
      <c r="D594" s="81"/>
      <c r="E594" s="81"/>
      <c r="F594" s="81"/>
      <c r="G594" s="81"/>
      <c r="H594" s="81"/>
      <c r="I594" s="80" t="s">
        <v>151</v>
      </c>
      <c r="J594" s="81"/>
      <c r="K594" s="81"/>
      <c r="L594" s="81"/>
      <c r="M594" s="81"/>
      <c r="N594" s="81"/>
      <c r="O594" s="81"/>
      <c r="P594" s="82"/>
      <c r="Q594" s="23"/>
      <c r="R594" s="23"/>
      <c r="S594" s="23"/>
      <c r="T594" s="23"/>
      <c r="U594" s="23"/>
      <c r="V594" s="21"/>
      <c r="W594" s="21"/>
      <c r="X594" s="21"/>
      <c r="Y594" s="21"/>
    </row>
    <row r="595" spans="1:25" x14ac:dyDescent="0.2">
      <c r="A595" s="48"/>
      <c r="B595" s="49"/>
      <c r="C595" s="49"/>
      <c r="D595" s="50"/>
      <c r="E595" s="50"/>
      <c r="F595" s="49"/>
      <c r="G595" s="49"/>
      <c r="H595" s="49"/>
      <c r="I595" s="48"/>
      <c r="J595" s="49"/>
      <c r="K595" s="49"/>
      <c r="L595" s="50"/>
      <c r="M595" s="50"/>
      <c r="N595" s="49"/>
      <c r="O595" s="49"/>
      <c r="P595" s="51"/>
      <c r="Q595" s="23"/>
      <c r="R595" s="23"/>
      <c r="S595" s="23"/>
      <c r="T595" s="23"/>
      <c r="U595" s="23"/>
      <c r="V595" s="21"/>
      <c r="W595" s="21"/>
      <c r="X595" s="21"/>
      <c r="Y595" s="21"/>
    </row>
    <row r="596" spans="1:25" ht="16" x14ac:dyDescent="0.2">
      <c r="A596" s="36" t="s">
        <v>141</v>
      </c>
      <c r="B596" s="23"/>
      <c r="C596" s="26" t="s">
        <v>112</v>
      </c>
      <c r="D596" s="83">
        <f>VLOOKUP(Q581,[95]Base_03!$A$5:$AS$24,5,0)</f>
        <v>36</v>
      </c>
      <c r="E596" s="84"/>
      <c r="F596" s="23" t="s">
        <v>140</v>
      </c>
      <c r="G596" s="23"/>
      <c r="H596" s="23"/>
      <c r="I596" s="36" t="s">
        <v>141</v>
      </c>
      <c r="J596" s="26"/>
      <c r="K596" s="26" t="s">
        <v>119</v>
      </c>
      <c r="L596" s="85">
        <f>VLOOKUP(Q581,[95]Base_04!$A$5:$AS$24,5,0)</f>
        <v>49</v>
      </c>
      <c r="M596" s="85"/>
      <c r="N596" s="30" t="s">
        <v>140</v>
      </c>
      <c r="O596" s="23"/>
      <c r="P596" s="37"/>
      <c r="Q596" s="23"/>
      <c r="R596" s="23"/>
      <c r="S596" s="23"/>
      <c r="T596" s="23"/>
      <c r="U596" s="23"/>
      <c r="V596" s="21"/>
      <c r="W596" s="21"/>
      <c r="X596" s="21"/>
      <c r="Y596" s="21"/>
    </row>
    <row r="597" spans="1:25" ht="15" customHeight="1" x14ac:dyDescent="0.2">
      <c r="A597" s="38" t="s">
        <v>139</v>
      </c>
      <c r="B597" s="23"/>
      <c r="C597" s="26"/>
      <c r="D597" s="79" t="s">
        <v>131</v>
      </c>
      <c r="E597" s="79"/>
      <c r="F597" s="79" t="s">
        <v>130</v>
      </c>
      <c r="G597" s="79"/>
      <c r="H597" s="23"/>
      <c r="I597" s="38" t="s">
        <v>139</v>
      </c>
      <c r="J597" s="23"/>
      <c r="K597" s="26"/>
      <c r="L597" s="79" t="s">
        <v>131</v>
      </c>
      <c r="M597" s="79"/>
      <c r="N597" s="79" t="s">
        <v>130</v>
      </c>
      <c r="O597" s="79"/>
      <c r="P597" s="52"/>
      <c r="Q597" s="23"/>
      <c r="R597" s="23"/>
      <c r="S597" s="23"/>
      <c r="T597" s="23"/>
      <c r="U597" s="23"/>
      <c r="V597" s="21"/>
      <c r="W597" s="21"/>
      <c r="X597" s="21"/>
      <c r="Y597" s="21"/>
    </row>
    <row r="598" spans="1:25" x14ac:dyDescent="0.2">
      <c r="A598" s="39"/>
      <c r="B598" s="23"/>
      <c r="C598" s="26"/>
      <c r="D598" s="79"/>
      <c r="E598" s="79"/>
      <c r="F598" s="79"/>
      <c r="G598" s="79"/>
      <c r="H598" s="23"/>
      <c r="I598" s="39"/>
      <c r="J598" s="23"/>
      <c r="K598" s="26"/>
      <c r="L598" s="79"/>
      <c r="M598" s="79"/>
      <c r="N598" s="79"/>
      <c r="O598" s="79"/>
      <c r="P598" s="52"/>
      <c r="Q598" s="23"/>
      <c r="R598" s="23"/>
      <c r="S598" s="23"/>
      <c r="T598" s="23"/>
      <c r="U598" s="23"/>
      <c r="V598" s="21"/>
      <c r="W598" s="21"/>
      <c r="X598" s="21"/>
      <c r="Y598" s="21"/>
    </row>
    <row r="599" spans="1:25" x14ac:dyDescent="0.2">
      <c r="A599" s="72" t="s">
        <v>138</v>
      </c>
      <c r="B599" s="73"/>
      <c r="C599" s="73" t="s">
        <v>112</v>
      </c>
      <c r="D599" s="78" t="str">
        <f>VLOOKUP(Q581,[95]Base_03!$A$5:$AS$24,6,0)</f>
        <v>BT 11</v>
      </c>
      <c r="E599" s="78"/>
      <c r="F599" s="77">
        <f>VLOOKUP(Q581,[95]Base_03!$A$5:$AS$24,12,0)</f>
        <v>0</v>
      </c>
      <c r="G599" s="77"/>
      <c r="H599" s="23" t="s">
        <v>134</v>
      </c>
      <c r="I599" s="72" t="s">
        <v>138</v>
      </c>
      <c r="J599" s="73"/>
      <c r="K599" s="73"/>
      <c r="L599" s="78" t="str">
        <f>VLOOKUP(Q581,[95]Base_04!$A$5:$AS$24,6,0)</f>
        <v>BT 11</v>
      </c>
      <c r="M599" s="78"/>
      <c r="N599" s="77">
        <f>VLOOKUP(Q581,[95]Base_04!$A$5:$AS$24,12,0)</f>
        <v>0</v>
      </c>
      <c r="O599" s="77"/>
      <c r="P599" s="37" t="s">
        <v>134</v>
      </c>
      <c r="Q599" s="23" t="s">
        <v>123</v>
      </c>
      <c r="R599" s="23"/>
      <c r="S599" s="23"/>
      <c r="T599" s="23"/>
      <c r="U599" s="23"/>
      <c r="V599" s="21"/>
      <c r="W599" s="21"/>
      <c r="X599" s="21"/>
      <c r="Y599" s="21"/>
    </row>
    <row r="600" spans="1:25" x14ac:dyDescent="0.2">
      <c r="A600" s="72" t="s">
        <v>137</v>
      </c>
      <c r="B600" s="73"/>
      <c r="C600" s="73" t="s">
        <v>112</v>
      </c>
      <c r="D600" s="78" t="str">
        <f>VLOOKUP(Q581,[95]Base_03!$A$5:$AS$24,13,0)</f>
        <v>S 11</v>
      </c>
      <c r="E600" s="78"/>
      <c r="F600" s="77">
        <f>VLOOKUP(Q581,[95]Base_03!$A$5:$AS$24,15,0)</f>
        <v>0</v>
      </c>
      <c r="G600" s="77"/>
      <c r="H600" s="23" t="s">
        <v>134</v>
      </c>
      <c r="I600" s="72" t="s">
        <v>137</v>
      </c>
      <c r="J600" s="73"/>
      <c r="K600" s="73"/>
      <c r="L600" s="78" t="str">
        <f>VLOOKUP(Q581,[95]Base_04!$A$5:$AS$24,13,0)</f>
        <v>S 11</v>
      </c>
      <c r="M600" s="78"/>
      <c r="N600" s="77">
        <f>VLOOKUP(Q581,[95]Base_04!$A$5:$AS$24,15,0)</f>
        <v>0</v>
      </c>
      <c r="O600" s="77"/>
      <c r="P600" s="37" t="s">
        <v>134</v>
      </c>
      <c r="Q600" s="23" t="s">
        <v>123</v>
      </c>
      <c r="R600" s="23"/>
      <c r="S600" s="23"/>
      <c r="T600" s="23"/>
      <c r="U600" s="23"/>
      <c r="V600" s="21"/>
      <c r="W600" s="21"/>
      <c r="X600" s="21"/>
      <c r="Y600" s="21"/>
    </row>
    <row r="601" spans="1:25" x14ac:dyDescent="0.2">
      <c r="A601" s="72" t="s">
        <v>136</v>
      </c>
      <c r="B601" s="73"/>
      <c r="C601" s="73" t="s">
        <v>112</v>
      </c>
      <c r="D601" s="78" t="str">
        <f>VLOOKUP(Q581,[95]Base_03!$A$5:$AS$24,16,0)</f>
        <v>B 11</v>
      </c>
      <c r="E601" s="78"/>
      <c r="F601" s="77">
        <f>VLOOKUP(Q581,[95]Base_03!$A$5:$AS$24,22,0)</f>
        <v>0</v>
      </c>
      <c r="G601" s="77"/>
      <c r="H601" s="23" t="s">
        <v>134</v>
      </c>
      <c r="I601" s="72" t="s">
        <v>136</v>
      </c>
      <c r="J601" s="73"/>
      <c r="K601" s="73"/>
      <c r="L601" s="78" t="str">
        <f>VLOOKUP(Q581,[95]Base_04!$A$5:$AS$24,16,0)</f>
        <v>B 11</v>
      </c>
      <c r="M601" s="78"/>
      <c r="N601" s="77">
        <f>VLOOKUP(Q581,[95]Base_04!$A$5:$AS$24,22,0)</f>
        <v>0</v>
      </c>
      <c r="O601" s="77"/>
      <c r="P601" s="37" t="s">
        <v>134</v>
      </c>
      <c r="Q601" s="23" t="s">
        <v>123</v>
      </c>
      <c r="R601" s="23"/>
      <c r="S601" s="23"/>
      <c r="T601" s="23"/>
      <c r="U601" s="23"/>
      <c r="V601" s="21"/>
      <c r="W601" s="21"/>
      <c r="X601" s="21"/>
      <c r="Y601" s="21"/>
    </row>
    <row r="602" spans="1:25" x14ac:dyDescent="0.2">
      <c r="A602" s="72" t="s">
        <v>135</v>
      </c>
      <c r="B602" s="73"/>
      <c r="C602" s="73" t="s">
        <v>112</v>
      </c>
      <c r="D602" s="78" t="str">
        <f>VLOOKUP(Q581,[95]Base_03!$A$5:$AS$24,23,0)</f>
        <v>K 11</v>
      </c>
      <c r="E602" s="78"/>
      <c r="F602" s="77">
        <f>VLOOKUP(Q581,[95]Base_03!$A$5:$AS$24,24,0)</f>
        <v>0</v>
      </c>
      <c r="G602" s="77"/>
      <c r="H602" s="23" t="s">
        <v>134</v>
      </c>
      <c r="I602" s="72" t="s">
        <v>135</v>
      </c>
      <c r="J602" s="73"/>
      <c r="K602" s="73"/>
      <c r="L602" s="78" t="str">
        <f>VLOOKUP(Q581,[95]Base_04!$A$5:$AS$24,23,0)</f>
        <v>K 11</v>
      </c>
      <c r="M602" s="78"/>
      <c r="N602" s="77">
        <f>VLOOKUP(Q581,[95]Base_04!$A$5:$AS$24,24,0)</f>
        <v>0</v>
      </c>
      <c r="O602" s="77"/>
      <c r="P602" s="37" t="s">
        <v>134</v>
      </c>
      <c r="Q602" s="23" t="s">
        <v>123</v>
      </c>
      <c r="R602" s="23"/>
      <c r="S602" s="23"/>
      <c r="T602" s="23"/>
      <c r="U602" s="23"/>
      <c r="V602" s="21"/>
      <c r="W602" s="21"/>
      <c r="X602" s="21"/>
      <c r="Y602" s="21"/>
    </row>
    <row r="603" spans="1:25" x14ac:dyDescent="0.2">
      <c r="A603" s="72" t="s">
        <v>133</v>
      </c>
      <c r="B603" s="73"/>
      <c r="C603" s="73" t="s">
        <v>112</v>
      </c>
      <c r="D603" s="78" t="str">
        <f>VLOOKUP(Q581,[95]Base_03!$A$5:$AS$24,25,0)</f>
        <v>K 11</v>
      </c>
      <c r="E603" s="78"/>
      <c r="F603" s="77">
        <f>VLOOKUP(Q581,[95]Base_03!$A$5:$AS$24,26,0)</f>
        <v>73.900834456272094</v>
      </c>
      <c r="G603" s="77"/>
      <c r="H603" s="23" t="s">
        <v>124</v>
      </c>
      <c r="I603" s="72" t="s">
        <v>133</v>
      </c>
      <c r="J603" s="73"/>
      <c r="K603" s="73"/>
      <c r="L603" s="78" t="str">
        <f>VLOOKUP(Q581,[95]Base_04!$A$5:$AS$24,25,0)</f>
        <v>K 11</v>
      </c>
      <c r="M603" s="78"/>
      <c r="N603" s="77">
        <f>VLOOKUP(Q581,[95]Base_04!$A$5:$AS$24,26,0)</f>
        <v>93.530743608719362</v>
      </c>
      <c r="O603" s="77"/>
      <c r="P603" s="37" t="s">
        <v>124</v>
      </c>
      <c r="Q603" s="23" t="s">
        <v>123</v>
      </c>
      <c r="R603" s="23"/>
      <c r="S603" s="23"/>
      <c r="T603" s="23"/>
      <c r="U603" s="23"/>
      <c r="V603" s="21"/>
      <c r="W603" s="21"/>
      <c r="X603" s="21"/>
      <c r="Y603" s="21"/>
    </row>
    <row r="604" spans="1:25" x14ac:dyDescent="0.2">
      <c r="A604" s="40"/>
      <c r="B604" s="31"/>
      <c r="C604" s="31"/>
      <c r="D604" s="41"/>
      <c r="E604" s="41"/>
      <c r="F604" s="30"/>
      <c r="G604" s="23"/>
      <c r="H604" s="23"/>
      <c r="I604" s="40"/>
      <c r="J604" s="31"/>
      <c r="K604" s="31"/>
      <c r="L604" s="41"/>
      <c r="M604" s="41"/>
      <c r="N604" s="30"/>
      <c r="O604" s="23"/>
      <c r="P604" s="37"/>
      <c r="Q604" s="23"/>
      <c r="R604" s="23"/>
      <c r="S604" s="23"/>
      <c r="T604" s="23"/>
      <c r="U604" s="23"/>
      <c r="V604" s="21"/>
      <c r="W604" s="21"/>
      <c r="X604" s="21"/>
      <c r="Y604" s="21"/>
    </row>
    <row r="605" spans="1:25" x14ac:dyDescent="0.2">
      <c r="A605" s="38" t="s">
        <v>132</v>
      </c>
      <c r="B605" s="23"/>
      <c r="C605" s="26"/>
      <c r="D605" s="79" t="s">
        <v>131</v>
      </c>
      <c r="E605" s="79"/>
      <c r="F605" s="79" t="s">
        <v>130</v>
      </c>
      <c r="G605" s="79"/>
      <c r="H605" s="23"/>
      <c r="I605" s="38" t="s">
        <v>132</v>
      </c>
      <c r="J605" s="23"/>
      <c r="K605" s="26"/>
      <c r="L605" s="79" t="s">
        <v>131</v>
      </c>
      <c r="M605" s="79"/>
      <c r="N605" s="79" t="s">
        <v>130</v>
      </c>
      <c r="O605" s="79"/>
      <c r="P605" s="52"/>
      <c r="Q605" s="23"/>
      <c r="R605" s="23"/>
      <c r="S605" s="23"/>
      <c r="T605" s="23"/>
      <c r="U605" s="23"/>
      <c r="V605" s="21"/>
      <c r="W605" s="21"/>
      <c r="X605" s="21"/>
      <c r="Y605" s="21"/>
    </row>
    <row r="606" spans="1:25" x14ac:dyDescent="0.2">
      <c r="A606" s="39"/>
      <c r="B606" s="23"/>
      <c r="C606" s="26"/>
      <c r="D606" s="79"/>
      <c r="E606" s="79"/>
      <c r="F606" s="79"/>
      <c r="G606" s="79"/>
      <c r="H606" s="23"/>
      <c r="I606" s="39"/>
      <c r="J606" s="23"/>
      <c r="K606" s="26"/>
      <c r="L606" s="79"/>
      <c r="M606" s="79"/>
      <c r="N606" s="79"/>
      <c r="O606" s="79"/>
      <c r="P606" s="52"/>
      <c r="Q606" s="23"/>
      <c r="R606" s="23"/>
      <c r="S606" s="23"/>
      <c r="T606" s="23"/>
      <c r="U606" s="23"/>
      <c r="V606" s="21"/>
      <c r="W606" s="21"/>
      <c r="X606" s="21"/>
      <c r="Y606" s="21"/>
    </row>
    <row r="607" spans="1:25" x14ac:dyDescent="0.2">
      <c r="A607" s="72" t="s">
        <v>129</v>
      </c>
      <c r="B607" s="73"/>
      <c r="C607" s="73" t="s">
        <v>119</v>
      </c>
      <c r="D607" s="78" t="str">
        <f>VLOOKUP(Q581,[95]Base_03!$A$5:$AS$24,28,0)</f>
        <v xml:space="preserve"> G 11</v>
      </c>
      <c r="E607" s="78"/>
      <c r="F607" s="77">
        <f>VLOOKUP(Q581,[95]Base_03!$A$5:$AS$24,30,0)</f>
        <v>55</v>
      </c>
      <c r="G607" s="77"/>
      <c r="H607" s="23" t="s">
        <v>124</v>
      </c>
      <c r="I607" s="72" t="s">
        <v>129</v>
      </c>
      <c r="J607" s="73"/>
      <c r="K607" s="73" t="s">
        <v>119</v>
      </c>
      <c r="L607" s="78" t="str">
        <f>VLOOKUP(Q581,[95]Base_04!$A$5:$AS$24,28,0)</f>
        <v xml:space="preserve"> G 11</v>
      </c>
      <c r="M607" s="78"/>
      <c r="N607" s="77">
        <f>VLOOKUP(Q581,[95]Base_04!$A$5:$AS$24,30,0)</f>
        <v>55</v>
      </c>
      <c r="O607" s="77"/>
      <c r="P607" s="37" t="s">
        <v>124</v>
      </c>
      <c r="Q607" s="23" t="s">
        <v>123</v>
      </c>
      <c r="R607" s="23"/>
      <c r="S607" s="23"/>
      <c r="T607" s="23"/>
      <c r="U607" s="23"/>
      <c r="V607" s="21"/>
      <c r="W607" s="21"/>
      <c r="X607" s="21"/>
      <c r="Y607" s="21"/>
    </row>
    <row r="608" spans="1:25" x14ac:dyDescent="0.2">
      <c r="A608" s="72" t="s">
        <v>128</v>
      </c>
      <c r="B608" s="73"/>
      <c r="C608" s="73" t="s">
        <v>119</v>
      </c>
      <c r="D608" s="78" t="str">
        <f>VLOOKUP(Q581,[95]Base_03!$A$5:$AS$24,31,0)</f>
        <v>H 11</v>
      </c>
      <c r="E608" s="78"/>
      <c r="F608" s="77">
        <f>VLOOKUP(Q581,[95]Base_03!$A$5:$AS$24,34,0)</f>
        <v>-5.76</v>
      </c>
      <c r="G608" s="77"/>
      <c r="H608" s="23" t="s">
        <v>124</v>
      </c>
      <c r="I608" s="72" t="s">
        <v>128</v>
      </c>
      <c r="J608" s="73"/>
      <c r="K608" s="73" t="s">
        <v>119</v>
      </c>
      <c r="L608" s="78" t="str">
        <f>VLOOKUP(Q581,[95]Base_04!$A$5:$AS$24,31,0)</f>
        <v>H 11</v>
      </c>
      <c r="M608" s="78"/>
      <c r="N608" s="77">
        <f>VLOOKUP(Q581,[95]Base_04!$A$5:$AS$24,34,0)</f>
        <v>-5.76</v>
      </c>
      <c r="O608" s="77"/>
      <c r="P608" s="37" t="s">
        <v>124</v>
      </c>
      <c r="Q608" s="23" t="s">
        <v>123</v>
      </c>
      <c r="R608" s="23"/>
      <c r="S608" s="23"/>
      <c r="T608" s="23"/>
      <c r="U608" s="23"/>
      <c r="V608" s="21"/>
      <c r="W608" s="21"/>
      <c r="X608" s="21"/>
      <c r="Y608" s="21"/>
    </row>
    <row r="609" spans="1:25" x14ac:dyDescent="0.2">
      <c r="A609" s="89" t="s">
        <v>127</v>
      </c>
      <c r="B609" s="90"/>
      <c r="C609" s="90" t="s">
        <v>119</v>
      </c>
      <c r="D609" s="91" t="str">
        <f>VLOOKUP(Q581,[95]Base_03!$A$5:$AS$24,35,0)</f>
        <v>Kayu</v>
      </c>
      <c r="E609" s="91"/>
      <c r="F609" s="92">
        <f>VLOOKUP(Q581,[95]Base_03!$A$5:$AS$24,36,0)</f>
        <v>5.76</v>
      </c>
      <c r="G609" s="92"/>
      <c r="H609" s="23" t="s">
        <v>124</v>
      </c>
      <c r="I609" s="89" t="s">
        <v>127</v>
      </c>
      <c r="J609" s="90"/>
      <c r="K609" s="90" t="s">
        <v>119</v>
      </c>
      <c r="L609" s="91" t="str">
        <f>VLOOKUP(Q581,[95]Base_04!$A$5:$AS$24,35,0)</f>
        <v>Kayu</v>
      </c>
      <c r="M609" s="91"/>
      <c r="N609" s="92">
        <f>VLOOKUP(Q581,[95]Base_04!$A$5:$AS$24,36,0)</f>
        <v>5.76</v>
      </c>
      <c r="O609" s="92"/>
      <c r="P609" s="37" t="s">
        <v>124</v>
      </c>
      <c r="Q609" s="23" t="s">
        <v>123</v>
      </c>
      <c r="R609" s="23"/>
      <c r="S609" s="23"/>
      <c r="T609" s="23"/>
      <c r="U609" s="23"/>
      <c r="V609" s="21"/>
      <c r="W609" s="21"/>
      <c r="X609" s="21"/>
      <c r="Y609" s="21"/>
    </row>
    <row r="610" spans="1:25" x14ac:dyDescent="0.2">
      <c r="A610" s="74" t="s">
        <v>126</v>
      </c>
      <c r="B610" s="75"/>
      <c r="C610" s="75"/>
      <c r="D610" s="91"/>
      <c r="E610" s="91"/>
      <c r="F610" s="92"/>
      <c r="G610" s="92"/>
      <c r="H610" s="23"/>
      <c r="I610" s="74" t="s">
        <v>126</v>
      </c>
      <c r="J610" s="75"/>
      <c r="K610" s="75"/>
      <c r="L610" s="91"/>
      <c r="M610" s="91"/>
      <c r="N610" s="92"/>
      <c r="O610" s="92"/>
      <c r="P610" s="37"/>
      <c r="Q610" s="23"/>
      <c r="R610" s="23"/>
      <c r="S610" s="23"/>
      <c r="T610" s="23"/>
      <c r="U610" s="23"/>
      <c r="V610" s="21"/>
      <c r="W610" s="21"/>
      <c r="X610" s="21"/>
      <c r="Y610" s="21"/>
    </row>
    <row r="611" spans="1:25" x14ac:dyDescent="0.2">
      <c r="A611" s="72" t="s">
        <v>125</v>
      </c>
      <c r="B611" s="73"/>
      <c r="C611" s="73" t="s">
        <v>119</v>
      </c>
      <c r="D611" s="78" t="str">
        <f>VLOOKUP(Q581,[95]Base_03!$A$5:$AS$24,39,0)</f>
        <v>R 11</v>
      </c>
      <c r="E611" s="78"/>
      <c r="F611" s="77">
        <f>VLOOKUP(Q581,[95]Base_03!$A$5:$AS$24,40,0)</f>
        <v>36</v>
      </c>
      <c r="G611" s="77"/>
      <c r="H611" s="23" t="s">
        <v>124</v>
      </c>
      <c r="I611" s="72" t="s">
        <v>125</v>
      </c>
      <c r="J611" s="73"/>
      <c r="K611" s="73" t="s">
        <v>119</v>
      </c>
      <c r="L611" s="78" t="str">
        <f>VLOOKUP(Q581,[95]Base_04!$A$5:$AS$24,39,0)</f>
        <v>R 11</v>
      </c>
      <c r="M611" s="78"/>
      <c r="N611" s="77">
        <f>VLOOKUP(Q581,[95]Base_04!$A$5:$AS$24,40,0)</f>
        <v>49</v>
      </c>
      <c r="O611" s="77"/>
      <c r="P611" s="37" t="s">
        <v>124</v>
      </c>
      <c r="Q611" s="23" t="s">
        <v>123</v>
      </c>
      <c r="R611" s="23"/>
      <c r="S611" s="23"/>
      <c r="T611" s="23"/>
      <c r="U611" s="23"/>
      <c r="V611" s="21"/>
      <c r="W611" s="21"/>
      <c r="X611" s="21"/>
      <c r="Y611" s="21"/>
    </row>
    <row r="612" spans="1:25" x14ac:dyDescent="0.2">
      <c r="A612" s="39"/>
      <c r="B612" s="23"/>
      <c r="C612" s="23"/>
      <c r="D612" s="23"/>
      <c r="E612" s="23"/>
      <c r="F612" s="23"/>
      <c r="G612" s="23"/>
      <c r="H612" s="23"/>
      <c r="I612" s="39"/>
      <c r="J612" s="45"/>
      <c r="K612" s="45"/>
      <c r="L612" s="45"/>
      <c r="M612" s="23"/>
      <c r="N612" s="30"/>
      <c r="O612" s="23"/>
      <c r="P612" s="37"/>
      <c r="Q612" s="23"/>
      <c r="R612" s="23"/>
      <c r="S612" s="23"/>
      <c r="T612" s="23"/>
      <c r="U612" s="23"/>
      <c r="V612" s="21"/>
      <c r="W612" s="21"/>
      <c r="X612" s="21"/>
      <c r="Y612" s="21"/>
    </row>
    <row r="613" spans="1:25" x14ac:dyDescent="0.2">
      <c r="A613" s="72" t="s">
        <v>122</v>
      </c>
      <c r="B613" s="73"/>
      <c r="C613" s="73" t="s">
        <v>112</v>
      </c>
      <c r="D613" s="76">
        <f>VLOOKUP(Q581,[95]Base_03!$A$5:$AS$24,42,0)</f>
        <v>6.666666666666667</v>
      </c>
      <c r="E613" s="76"/>
      <c r="F613" s="25" t="s">
        <v>118</v>
      </c>
      <c r="G613" s="23"/>
      <c r="H613" s="23"/>
      <c r="I613" s="72" t="s">
        <v>122</v>
      </c>
      <c r="J613" s="73"/>
      <c r="K613" s="73" t="s">
        <v>112</v>
      </c>
      <c r="L613" s="76">
        <f>VLOOKUP(Q581,[95]Base_04!$A$5:$AS$24,42,0)</f>
        <v>4.8979591836734695</v>
      </c>
      <c r="M613" s="76"/>
      <c r="N613" s="46" t="s">
        <v>118</v>
      </c>
      <c r="O613" s="23"/>
      <c r="P613" s="37"/>
      <c r="Q613" s="32" t="s">
        <v>121</v>
      </c>
      <c r="R613" s="23"/>
      <c r="S613" s="23"/>
      <c r="T613" s="23"/>
      <c r="U613" s="23"/>
      <c r="V613" s="21"/>
      <c r="W613" s="21"/>
      <c r="X613" s="21"/>
      <c r="Y613" s="21"/>
    </row>
    <row r="614" spans="1:25" x14ac:dyDescent="0.2">
      <c r="A614" s="72" t="s">
        <v>120</v>
      </c>
      <c r="B614" s="73"/>
      <c r="C614" s="73" t="s">
        <v>119</v>
      </c>
      <c r="D614" s="76">
        <f>VLOOKUP(Q581,[95]Base_03!$A$5:$AS$24,43,0)</f>
        <v>9.6666666666666661</v>
      </c>
      <c r="E614" s="76"/>
      <c r="F614" s="25" t="s">
        <v>118</v>
      </c>
      <c r="G614" s="23"/>
      <c r="H614" s="23"/>
      <c r="I614" s="72" t="s">
        <v>120</v>
      </c>
      <c r="J614" s="73"/>
      <c r="K614" s="73" t="s">
        <v>119</v>
      </c>
      <c r="L614" s="76">
        <f>VLOOKUP(Q581,[95]Base_04!$A$5:$AS$24,43,0)</f>
        <v>7.1020408163265314</v>
      </c>
      <c r="M614" s="76"/>
      <c r="N614" s="46" t="s">
        <v>118</v>
      </c>
      <c r="O614" s="23"/>
      <c r="P614" s="37"/>
      <c r="Q614" s="32" t="s">
        <v>117</v>
      </c>
      <c r="R614" s="23"/>
      <c r="S614" s="23"/>
      <c r="T614" s="23"/>
      <c r="U614" s="23"/>
      <c r="V614" s="21"/>
      <c r="W614" s="21"/>
      <c r="X614" s="21"/>
      <c r="Y614" s="21"/>
    </row>
    <row r="615" spans="1:25" x14ac:dyDescent="0.2">
      <c r="A615" s="72" t="s">
        <v>115</v>
      </c>
      <c r="B615" s="73"/>
      <c r="C615" s="73"/>
      <c r="D615" s="71" t="str">
        <f>VLOOKUP(Q581,[95]Base_03!$A$5:$AS$24,44,0)</f>
        <v>(Ada) Baik</v>
      </c>
      <c r="E615" s="71"/>
      <c r="F615" s="23"/>
      <c r="G615" s="23"/>
      <c r="H615" s="23"/>
      <c r="I615" s="72" t="s">
        <v>115</v>
      </c>
      <c r="J615" s="73"/>
      <c r="K615" s="73"/>
      <c r="L615" s="71" t="str">
        <f>VLOOKUP(Q581,[95]Base_04!$A$5:$AS$24,44,0)</f>
        <v>(Ada) Baik</v>
      </c>
      <c r="M615" s="71"/>
      <c r="N615" s="30"/>
      <c r="O615" s="23"/>
      <c r="P615" s="37"/>
      <c r="Q615" s="23"/>
      <c r="R615" s="23"/>
      <c r="S615" s="23"/>
      <c r="T615" s="23"/>
      <c r="U615" s="23"/>
      <c r="V615" s="21"/>
      <c r="W615" s="21"/>
      <c r="X615" s="21"/>
      <c r="Y615" s="21"/>
    </row>
    <row r="616" spans="1:25" x14ac:dyDescent="0.2">
      <c r="A616" s="74" t="s">
        <v>116</v>
      </c>
      <c r="B616" s="75"/>
      <c r="C616" s="26"/>
      <c r="D616" s="25"/>
      <c r="E616" s="25"/>
      <c r="F616" s="23"/>
      <c r="G616" s="23"/>
      <c r="H616" s="23"/>
      <c r="I616" s="74" t="s">
        <v>116</v>
      </c>
      <c r="J616" s="75"/>
      <c r="K616" s="26"/>
      <c r="L616" s="25"/>
      <c r="M616" s="25"/>
      <c r="N616" s="30"/>
      <c r="O616" s="23"/>
      <c r="P616" s="37"/>
      <c r="Q616" s="23"/>
      <c r="R616" s="23"/>
      <c r="S616" s="23"/>
      <c r="T616" s="23"/>
      <c r="U616" s="23"/>
      <c r="V616" s="21"/>
      <c r="W616" s="21"/>
      <c r="X616" s="21"/>
      <c r="Y616" s="21"/>
    </row>
    <row r="617" spans="1:25" x14ac:dyDescent="0.2">
      <c r="A617" s="72" t="s">
        <v>115</v>
      </c>
      <c r="B617" s="73"/>
      <c r="C617" s="73"/>
      <c r="D617" s="71" t="str">
        <f>VLOOKUP(Q581,[95]Base_03!$A$5:$AS$24,45,0)</f>
        <v>Air Pam (Baik)</v>
      </c>
      <c r="E617" s="71"/>
      <c r="F617" s="23"/>
      <c r="G617" s="23"/>
      <c r="H617" s="23"/>
      <c r="I617" s="72" t="s">
        <v>115</v>
      </c>
      <c r="J617" s="73"/>
      <c r="K617" s="73"/>
      <c r="L617" s="71" t="str">
        <f>VLOOKUP(Q581,[95]Base_04!$A$5:$AS$24,45,0)</f>
        <v>Air Pam (Baik)</v>
      </c>
      <c r="M617" s="71"/>
      <c r="N617" s="30"/>
      <c r="O617" s="23"/>
      <c r="P617" s="37"/>
      <c r="Q617" s="23"/>
      <c r="R617" s="23"/>
      <c r="S617" s="23"/>
      <c r="T617" s="23"/>
      <c r="U617" s="23"/>
      <c r="V617" s="21"/>
      <c r="W617" s="21"/>
      <c r="X617" s="21"/>
      <c r="Y617" s="21"/>
    </row>
    <row r="618" spans="1:25" x14ac:dyDescent="0.2">
      <c r="A618" s="74" t="s">
        <v>114</v>
      </c>
      <c r="B618" s="75"/>
      <c r="C618" s="26"/>
      <c r="D618" s="25"/>
      <c r="E618" s="25"/>
      <c r="F618" s="23"/>
      <c r="G618" s="23"/>
      <c r="H618" s="23"/>
      <c r="I618" s="74" t="s">
        <v>114</v>
      </c>
      <c r="J618" s="75"/>
      <c r="K618" s="26"/>
      <c r="L618" s="25"/>
      <c r="M618" s="25"/>
      <c r="N618" s="30"/>
      <c r="O618" s="23"/>
      <c r="P618" s="37"/>
      <c r="Q618" s="23"/>
      <c r="R618" s="23"/>
      <c r="S618" s="23"/>
      <c r="T618" s="23"/>
      <c r="U618" s="23"/>
      <c r="V618" s="21"/>
      <c r="W618" s="21"/>
      <c r="X618" s="21"/>
      <c r="Y618" s="21"/>
    </row>
    <row r="619" spans="1:25" x14ac:dyDescent="0.2">
      <c r="A619" s="36" t="s">
        <v>113</v>
      </c>
      <c r="B619" s="23"/>
      <c r="C619" s="26" t="s">
        <v>112</v>
      </c>
      <c r="D619" s="71">
        <f>VLOOKUP(Q581,[94]Base_02!$A$5:$S$24,18,0)</f>
        <v>0</v>
      </c>
      <c r="E619" s="71"/>
      <c r="F619" s="23" t="str">
        <f>IF(D619&gt;0,"LU","LS")</f>
        <v>LS</v>
      </c>
      <c r="G619" s="23"/>
      <c r="H619" s="23"/>
      <c r="I619" s="36" t="s">
        <v>113</v>
      </c>
      <c r="J619" s="26"/>
      <c r="K619" s="26" t="s">
        <v>112</v>
      </c>
      <c r="L619" s="71">
        <f>D619</f>
        <v>0</v>
      </c>
      <c r="M619" s="71"/>
      <c r="N619" s="23" t="str">
        <f>IF(L619&gt;0,"LU","LS")</f>
        <v>LS</v>
      </c>
      <c r="O619" s="23"/>
      <c r="P619" s="37"/>
      <c r="Q619" s="23"/>
      <c r="R619" s="23"/>
      <c r="S619" s="23"/>
      <c r="T619" s="23"/>
      <c r="U619" s="23"/>
      <c r="V619" s="21"/>
      <c r="W619" s="21"/>
      <c r="X619" s="21"/>
      <c r="Y619" s="21"/>
    </row>
    <row r="620" spans="1:25" x14ac:dyDescent="0.2">
      <c r="A620" s="42"/>
      <c r="B620" s="43"/>
      <c r="C620" s="44" t="s">
        <v>111</v>
      </c>
      <c r="D620" s="70">
        <f>VLOOKUP(Q581,[94]Base_02!$A$5:$S$24,19,0)</f>
        <v>0</v>
      </c>
      <c r="E620" s="70"/>
      <c r="F620" s="43" t="s">
        <v>110</v>
      </c>
      <c r="G620" s="43"/>
      <c r="H620" s="43"/>
      <c r="I620" s="42"/>
      <c r="J620" s="43"/>
      <c r="K620" s="43"/>
      <c r="L620" s="70">
        <f>D620</f>
        <v>0</v>
      </c>
      <c r="M620" s="70"/>
      <c r="N620" s="47" t="s">
        <v>110</v>
      </c>
      <c r="O620" s="44"/>
      <c r="P620" s="53"/>
      <c r="Q620" s="23"/>
      <c r="R620" s="23"/>
      <c r="S620" s="23"/>
      <c r="T620" s="23"/>
      <c r="U620" s="23"/>
      <c r="V620" s="21"/>
      <c r="W620" s="21"/>
      <c r="X620" s="21"/>
      <c r="Y620" s="21"/>
    </row>
    <row r="621" spans="1:25" x14ac:dyDescent="0.2">
      <c r="A621" s="23"/>
      <c r="B621" s="23"/>
      <c r="C621" s="26"/>
      <c r="D621" s="23"/>
      <c r="E621" s="23"/>
      <c r="F621" s="23"/>
      <c r="G621" s="23"/>
      <c r="H621" s="23"/>
      <c r="I621" s="23"/>
      <c r="J621" s="23"/>
      <c r="K621" s="25"/>
      <c r="L621" s="25"/>
      <c r="M621" s="30"/>
      <c r="N621" s="23"/>
      <c r="O621" s="23"/>
      <c r="P621" s="23"/>
      <c r="Q621" s="23"/>
      <c r="R621" s="23"/>
      <c r="S621" s="23"/>
      <c r="T621" s="23"/>
      <c r="U621" s="23"/>
      <c r="V621" s="23"/>
      <c r="W621" s="23"/>
      <c r="X621" s="23"/>
      <c r="Y621" s="23"/>
    </row>
    <row r="622" spans="1:25" x14ac:dyDescent="0.2">
      <c r="A622" s="23"/>
      <c r="B622" s="23"/>
      <c r="C622" s="23"/>
      <c r="D622" s="23"/>
      <c r="E622" s="23"/>
      <c r="F622" s="23"/>
      <c r="G622" s="23"/>
      <c r="H622" s="23"/>
      <c r="I622" s="23"/>
      <c r="J622" s="23"/>
      <c r="K622" s="23"/>
      <c r="L622" s="23"/>
      <c r="M622" s="30"/>
      <c r="N622" s="23"/>
      <c r="O622" s="23"/>
      <c r="P622" s="23"/>
      <c r="Q622" s="23"/>
      <c r="R622" s="23"/>
      <c r="S622" s="23"/>
      <c r="T622" s="23"/>
      <c r="U622" s="23"/>
      <c r="V622" s="23"/>
      <c r="W622" s="23"/>
      <c r="X622" s="23"/>
      <c r="Y622" s="23"/>
    </row>
    <row r="623" spans="1:25" x14ac:dyDescent="0.2">
      <c r="A623" s="23"/>
      <c r="B623" s="23"/>
      <c r="C623" s="23"/>
      <c r="D623" s="23"/>
      <c r="E623" s="23"/>
      <c r="F623" s="23"/>
      <c r="G623" s="23"/>
      <c r="H623" s="23"/>
      <c r="I623" s="23"/>
      <c r="J623" s="23"/>
      <c r="K623" s="23"/>
      <c r="L623" s="71" t="str">
        <f>[94]Base_01!$C$4&amp;", …..  …........................  2026"</f>
        <v>Sorong, …..  …........................  2026</v>
      </c>
      <c r="M623" s="71"/>
      <c r="N623" s="71"/>
      <c r="O623" s="71"/>
      <c r="P623" s="71"/>
      <c r="Q623" s="23"/>
      <c r="R623" s="23"/>
      <c r="S623" s="23"/>
      <c r="T623" s="23"/>
      <c r="U623" s="23"/>
      <c r="V623" s="23"/>
      <c r="W623" s="23"/>
      <c r="X623" s="23"/>
      <c r="Y623" s="23"/>
    </row>
    <row r="624" spans="1:25" x14ac:dyDescent="0.2">
      <c r="A624" s="71" t="s">
        <v>108</v>
      </c>
      <c r="B624" s="71"/>
      <c r="C624" s="71"/>
      <c r="D624" s="71"/>
      <c r="E624" s="71"/>
      <c r="F624" s="71"/>
      <c r="G624" s="23"/>
      <c r="H624" s="23"/>
      <c r="I624" s="23"/>
      <c r="J624" s="23"/>
      <c r="K624" s="23"/>
      <c r="L624" s="71" t="s">
        <v>152</v>
      </c>
      <c r="M624" s="71"/>
      <c r="N624" s="71"/>
      <c r="O624" s="71"/>
      <c r="P624" s="71"/>
      <c r="Q624" s="23"/>
      <c r="R624" s="23"/>
      <c r="S624" s="23"/>
      <c r="T624" s="23"/>
      <c r="U624" s="23"/>
      <c r="V624" s="23"/>
      <c r="W624" s="23"/>
      <c r="X624" s="23"/>
      <c r="Y624" s="23"/>
    </row>
    <row r="625" spans="1:25" x14ac:dyDescent="0.2">
      <c r="A625" s="71" t="s">
        <v>153</v>
      </c>
      <c r="B625" s="71"/>
      <c r="C625" s="71"/>
      <c r="D625" s="71"/>
      <c r="E625" s="71"/>
      <c r="F625" s="71"/>
      <c r="G625" s="23"/>
      <c r="H625" s="23"/>
      <c r="I625" s="23"/>
      <c r="J625" s="23"/>
      <c r="K625" s="23"/>
      <c r="L625" s="71" t="s">
        <v>107</v>
      </c>
      <c r="M625" s="71"/>
      <c r="N625" s="71"/>
      <c r="O625" s="71"/>
      <c r="P625" s="71"/>
      <c r="Q625" s="23"/>
      <c r="R625" s="23"/>
      <c r="S625" s="23"/>
      <c r="T625" s="23"/>
      <c r="U625" s="23"/>
      <c r="V625" s="23"/>
      <c r="W625" s="23"/>
      <c r="X625" s="23"/>
      <c r="Y625" s="23"/>
    </row>
    <row r="626" spans="1:25" x14ac:dyDescent="0.2">
      <c r="A626" s="23"/>
      <c r="B626" s="23"/>
      <c r="C626" s="23"/>
      <c r="D626" s="23"/>
      <c r="E626" s="23"/>
      <c r="F626" s="23"/>
      <c r="G626" s="23"/>
      <c r="H626" s="23"/>
      <c r="I626" s="23"/>
      <c r="J626" s="23"/>
      <c r="K626" s="23"/>
      <c r="L626" s="23"/>
      <c r="M626" s="30"/>
      <c r="N626" s="23"/>
      <c r="O626" s="23"/>
      <c r="P626" s="23"/>
      <c r="Q626" s="23"/>
      <c r="R626" s="23"/>
      <c r="S626" s="23"/>
      <c r="T626" s="23"/>
      <c r="U626" s="23"/>
      <c r="V626" s="23"/>
      <c r="W626" s="23"/>
      <c r="X626" s="23"/>
      <c r="Y626" s="23"/>
    </row>
    <row r="627" spans="1:25" x14ac:dyDescent="0.2">
      <c r="A627" s="23"/>
      <c r="B627" s="23"/>
      <c r="C627" s="23"/>
      <c r="D627" s="23"/>
      <c r="E627" s="23"/>
      <c r="F627" s="23"/>
      <c r="G627" s="23"/>
      <c r="H627" s="23"/>
      <c r="I627" s="23"/>
      <c r="J627" s="23"/>
      <c r="K627" s="23"/>
      <c r="L627" s="23"/>
      <c r="M627" s="30"/>
      <c r="N627" s="23"/>
      <c r="O627" s="23"/>
      <c r="P627" s="23"/>
      <c r="Q627" s="23"/>
      <c r="R627" s="23"/>
      <c r="S627" s="23"/>
      <c r="T627" s="23"/>
      <c r="U627" s="23"/>
      <c r="V627" s="23"/>
      <c r="W627" s="23"/>
      <c r="X627" s="23"/>
      <c r="Y627" s="23"/>
    </row>
    <row r="628" spans="1:25" x14ac:dyDescent="0.2">
      <c r="A628" s="23"/>
      <c r="B628" s="23"/>
      <c r="C628" s="23"/>
      <c r="D628" s="23"/>
      <c r="E628" s="23"/>
      <c r="F628" s="23"/>
      <c r="G628" s="23"/>
      <c r="H628" s="23"/>
      <c r="I628" s="23"/>
      <c r="J628" s="23"/>
      <c r="K628" s="23"/>
      <c r="L628" s="23"/>
      <c r="M628" s="30"/>
      <c r="N628" s="23"/>
      <c r="O628" s="23"/>
      <c r="P628" s="23"/>
      <c r="Q628" s="23"/>
      <c r="R628" s="23"/>
      <c r="S628" s="23"/>
      <c r="T628" s="23"/>
      <c r="U628" s="23"/>
      <c r="V628" s="23"/>
      <c r="W628" s="23"/>
      <c r="X628" s="23"/>
      <c r="Y628" s="23"/>
    </row>
    <row r="629" spans="1:25" x14ac:dyDescent="0.2">
      <c r="A629" s="23"/>
      <c r="B629" s="23"/>
      <c r="C629" s="23"/>
      <c r="D629" s="23"/>
      <c r="E629" s="23"/>
      <c r="F629" s="23"/>
      <c r="G629" s="23"/>
      <c r="H629" s="23"/>
      <c r="I629" s="23"/>
      <c r="J629" s="23"/>
      <c r="K629" s="23"/>
      <c r="L629" s="23"/>
      <c r="M629" s="30"/>
      <c r="N629" s="23"/>
      <c r="O629" s="23"/>
      <c r="P629" s="23"/>
      <c r="Q629" s="23"/>
      <c r="R629" s="23"/>
      <c r="S629" s="23"/>
      <c r="T629" s="23"/>
      <c r="U629" s="23"/>
      <c r="V629" s="23"/>
      <c r="W629" s="23"/>
      <c r="X629" s="23"/>
      <c r="Y629" s="23"/>
    </row>
    <row r="630" spans="1:25" x14ac:dyDescent="0.2">
      <c r="A630" s="87" t="str">
        <f>[94]Base_02!$C$28</f>
        <v>Nama PB 1</v>
      </c>
      <c r="B630" s="87"/>
      <c r="C630" s="87"/>
      <c r="D630" s="87"/>
      <c r="E630" s="87"/>
      <c r="F630" s="87"/>
      <c r="G630" s="23"/>
      <c r="H630" s="23"/>
      <c r="I630" s="23"/>
      <c r="J630" s="23"/>
      <c r="K630" s="23"/>
      <c r="L630" s="71" t="str">
        <f>E586</f>
        <v>Nama PB 11</v>
      </c>
      <c r="M630" s="71"/>
      <c r="N630" s="71"/>
      <c r="O630" s="71"/>
      <c r="P630" s="71"/>
      <c r="Q630" s="23"/>
      <c r="R630" s="23"/>
      <c r="S630" s="23"/>
      <c r="T630" s="23"/>
      <c r="U630" s="23"/>
      <c r="V630" s="23"/>
      <c r="W630" s="23"/>
      <c r="X630" s="23"/>
      <c r="Y630" s="23"/>
    </row>
    <row r="631" spans="1:25" x14ac:dyDescent="0.2">
      <c r="A631" s="23"/>
      <c r="B631" s="23"/>
      <c r="C631" s="23"/>
      <c r="D631" s="23"/>
      <c r="E631" s="23"/>
      <c r="F631" s="23"/>
      <c r="G631" s="23"/>
      <c r="H631" s="23"/>
      <c r="I631" s="23"/>
      <c r="J631" s="23"/>
      <c r="K631" s="23"/>
      <c r="L631" s="23"/>
      <c r="M631" s="30"/>
      <c r="N631" s="23"/>
      <c r="O631" s="23"/>
      <c r="P631" s="23"/>
      <c r="Q631" s="23"/>
      <c r="R631" s="23"/>
      <c r="S631" s="23"/>
      <c r="T631" s="23"/>
      <c r="U631" s="23"/>
      <c r="V631" s="23"/>
      <c r="W631" s="23"/>
      <c r="X631" s="23"/>
      <c r="Y631" s="23"/>
    </row>
    <row r="632" spans="1:25" x14ac:dyDescent="0.2">
      <c r="A632" s="87" t="s">
        <v>109</v>
      </c>
      <c r="B632" s="87"/>
      <c r="C632" s="87"/>
      <c r="D632" s="87"/>
      <c r="E632" s="87"/>
      <c r="F632" s="87"/>
      <c r="G632" s="23"/>
      <c r="H632" s="23"/>
      <c r="I632" s="29"/>
      <c r="J632" s="24"/>
      <c r="K632" s="24"/>
      <c r="L632" s="88" t="s">
        <v>92</v>
      </c>
      <c r="M632" s="88"/>
      <c r="N632" s="88"/>
      <c r="O632" s="88"/>
      <c r="P632" s="88"/>
      <c r="Q632" s="23"/>
      <c r="R632" s="23"/>
      <c r="S632" s="23"/>
      <c r="T632" s="23"/>
      <c r="U632" s="23"/>
      <c r="V632" s="23"/>
      <c r="W632" s="23"/>
      <c r="X632" s="23"/>
      <c r="Y632" s="23"/>
    </row>
    <row r="633" spans="1:25" x14ac:dyDescent="0.2">
      <c r="A633" s="68" t="s">
        <v>91</v>
      </c>
      <c r="B633" s="68"/>
      <c r="C633" s="68"/>
      <c r="D633" s="68"/>
      <c r="E633" s="68"/>
      <c r="F633" s="68"/>
      <c r="I633" s="28"/>
      <c r="J633" s="28"/>
      <c r="K633" s="28"/>
      <c r="L633" s="69" t="str">
        <f>[94]Base_01!$B$17&amp;" "&amp;[94]Base_01!$C$4</f>
        <v>Koordinator Kota Sorong</v>
      </c>
      <c r="M633" s="69"/>
      <c r="N633" s="69"/>
      <c r="O633" s="69"/>
      <c r="P633" s="69"/>
      <c r="Q633" s="23"/>
      <c r="R633" s="23"/>
      <c r="S633" s="23"/>
      <c r="T633" s="23"/>
      <c r="U633" s="23"/>
      <c r="V633" s="23"/>
      <c r="W633" s="23"/>
      <c r="X633" s="23"/>
      <c r="Y633" s="23"/>
    </row>
    <row r="634" spans="1:25" x14ac:dyDescent="0.2">
      <c r="M634" s="27"/>
      <c r="Q634" s="23"/>
      <c r="R634" s="23"/>
      <c r="S634" s="23"/>
      <c r="T634" s="23"/>
      <c r="U634" s="23"/>
      <c r="V634" s="23"/>
      <c r="W634" s="23"/>
      <c r="X634" s="23"/>
      <c r="Y634" s="23"/>
    </row>
    <row r="635" spans="1:25" x14ac:dyDescent="0.2">
      <c r="M635" s="27"/>
      <c r="Q635" s="23"/>
      <c r="R635" s="23"/>
      <c r="S635" s="23"/>
      <c r="T635" s="23"/>
      <c r="U635" s="23"/>
      <c r="V635" s="23"/>
      <c r="W635" s="23"/>
      <c r="X635" s="23"/>
      <c r="Y635" s="23"/>
    </row>
    <row r="636" spans="1:25" x14ac:dyDescent="0.2">
      <c r="M636" s="27"/>
      <c r="Q636" s="23"/>
      <c r="R636" s="23"/>
      <c r="S636" s="23"/>
      <c r="T636" s="23"/>
      <c r="U636" s="23"/>
      <c r="V636" s="23"/>
      <c r="W636" s="23"/>
      <c r="X636" s="23"/>
      <c r="Y636" s="23"/>
    </row>
    <row r="637" spans="1:25" x14ac:dyDescent="0.2">
      <c r="M637" s="27"/>
      <c r="Q637" s="23"/>
      <c r="R637" s="23"/>
      <c r="S637" s="23"/>
      <c r="T637" s="23"/>
      <c r="U637" s="23"/>
      <c r="V637" s="23"/>
      <c r="W637" s="23"/>
      <c r="X637" s="23"/>
      <c r="Y637" s="23"/>
    </row>
    <row r="638" spans="1:25" x14ac:dyDescent="0.2">
      <c r="A638" s="68" t="str">
        <f>[94]Base_01!$C$20</f>
        <v>…...............         …...............</v>
      </c>
      <c r="B638" s="68"/>
      <c r="C638" s="68"/>
      <c r="D638" s="68"/>
      <c r="E638" s="68"/>
      <c r="F638" s="68"/>
      <c r="L638" s="68" t="str">
        <f>[94]Base_01!$C$17</f>
        <v>AfrIandi Yudhistira, S.T.</v>
      </c>
      <c r="M638" s="68"/>
      <c r="N638" s="68"/>
      <c r="O638" s="68"/>
      <c r="P638" s="68"/>
      <c r="Q638" s="23"/>
      <c r="R638" s="23"/>
      <c r="S638" s="23"/>
      <c r="T638" s="23"/>
      <c r="U638" s="23"/>
      <c r="V638" s="23"/>
      <c r="W638" s="23"/>
      <c r="X638" s="23"/>
      <c r="Y638" s="23"/>
    </row>
    <row r="639" spans="1:25" x14ac:dyDescent="0.2">
      <c r="A639" s="86" t="s">
        <v>149</v>
      </c>
      <c r="B639" s="86"/>
      <c r="C639" s="86"/>
      <c r="D639" s="86"/>
      <c r="E639" s="86"/>
      <c r="F639" s="86"/>
      <c r="G639" s="86"/>
      <c r="H639" s="86"/>
      <c r="I639" s="86"/>
      <c r="J639" s="86"/>
      <c r="K639" s="86"/>
      <c r="L639" s="86"/>
      <c r="M639" s="86"/>
      <c r="N639" s="86"/>
      <c r="O639" s="86"/>
      <c r="P639" s="86"/>
      <c r="Q639" s="23">
        <f>Q581+1</f>
        <v>12</v>
      </c>
      <c r="R639" s="23"/>
      <c r="S639" s="23"/>
      <c r="T639" s="23"/>
      <c r="U639" s="23"/>
      <c r="V639" s="23"/>
      <c r="W639" s="23"/>
      <c r="X639" s="23"/>
      <c r="Y639" s="23"/>
    </row>
    <row r="640" spans="1:25" x14ac:dyDescent="0.2">
      <c r="A640" s="71" t="s">
        <v>148</v>
      </c>
      <c r="B640" s="71"/>
      <c r="C640" s="71"/>
      <c r="D640" s="71"/>
      <c r="E640" s="71"/>
      <c r="F640" s="71"/>
      <c r="G640" s="71"/>
      <c r="H640" s="71"/>
      <c r="I640" s="71"/>
      <c r="J640" s="71"/>
      <c r="K640" s="71"/>
      <c r="L640" s="71"/>
      <c r="M640" s="71"/>
      <c r="N640" s="71"/>
      <c r="O640" s="71"/>
      <c r="P640" s="71"/>
      <c r="Q640" s="23"/>
      <c r="R640" s="23"/>
      <c r="S640" s="23"/>
      <c r="T640" s="23"/>
      <c r="U640" s="23"/>
      <c r="V640" s="23"/>
      <c r="W640" s="23"/>
      <c r="X640" s="23"/>
      <c r="Y640" s="23"/>
    </row>
    <row r="641" spans="1:25" x14ac:dyDescent="0.2">
      <c r="A641" s="25"/>
      <c r="B641" s="25"/>
      <c r="C641" s="25"/>
      <c r="D641" s="25"/>
      <c r="E641" s="25"/>
      <c r="F641" s="25"/>
      <c r="G641" s="25"/>
      <c r="H641" s="25"/>
      <c r="I641" s="23"/>
      <c r="J641" s="24"/>
      <c r="K641" s="24"/>
      <c r="L641" s="24"/>
      <c r="M641" s="24"/>
      <c r="N641" s="24"/>
      <c r="O641" s="24"/>
      <c r="P641" s="24"/>
      <c r="Q641" s="23"/>
      <c r="R641" s="23"/>
      <c r="S641" s="23"/>
      <c r="T641" s="23"/>
      <c r="U641" s="23"/>
      <c r="V641" s="23"/>
      <c r="W641" s="23"/>
      <c r="X641" s="23"/>
      <c r="Y641" s="23"/>
    </row>
    <row r="642" spans="1:25" x14ac:dyDescent="0.2">
      <c r="A642" s="73" t="s">
        <v>147</v>
      </c>
      <c r="B642" s="73"/>
      <c r="C642" s="73"/>
      <c r="D642" s="73"/>
      <c r="E642" s="35" t="str">
        <f>VLOOKUP(Q639,[94]Base_02!$A$5:$AD$24,2,0)</f>
        <v>000012</v>
      </c>
      <c r="F642" s="23"/>
      <c r="G642" s="23"/>
      <c r="H642" s="24"/>
      <c r="I642" s="23"/>
      <c r="J642" s="24"/>
      <c r="K642" s="24"/>
      <c r="L642" s="24"/>
      <c r="M642" s="24"/>
      <c r="N642" s="24"/>
      <c r="O642" s="24"/>
      <c r="P642" s="24"/>
      <c r="Q642" s="23"/>
      <c r="R642" s="23"/>
      <c r="S642" s="23"/>
      <c r="T642" s="23"/>
      <c r="U642" s="23"/>
      <c r="V642" s="23"/>
      <c r="W642" s="23"/>
      <c r="X642" s="23"/>
      <c r="Y642" s="23"/>
    </row>
    <row r="643" spans="1:25" x14ac:dyDescent="0.2">
      <c r="A643" s="73" t="s">
        <v>68</v>
      </c>
      <c r="B643" s="73"/>
      <c r="C643" s="73"/>
      <c r="D643" s="73"/>
      <c r="E643" s="35">
        <f>VLOOKUP(Q639,[94]Base_02!$A$5:$AD$24,14,0)</f>
        <v>0</v>
      </c>
      <c r="F643" s="23"/>
      <c r="G643" s="23"/>
      <c r="H643" s="24"/>
      <c r="I643" s="23"/>
      <c r="J643" s="24"/>
      <c r="K643" s="24"/>
      <c r="L643" s="24"/>
      <c r="M643" s="24"/>
      <c r="N643" s="24"/>
      <c r="O643" s="24"/>
      <c r="P643" s="24"/>
      <c r="Q643" s="23"/>
      <c r="R643" s="23"/>
      <c r="S643" s="23"/>
      <c r="T643" s="23"/>
      <c r="U643" s="23"/>
      <c r="V643" s="23"/>
      <c r="W643" s="23"/>
      <c r="X643" s="23"/>
      <c r="Y643" s="23"/>
    </row>
    <row r="644" spans="1:25" x14ac:dyDescent="0.2">
      <c r="A644" s="73" t="s">
        <v>150</v>
      </c>
      <c r="B644" s="73"/>
      <c r="C644" s="73"/>
      <c r="D644" s="73"/>
      <c r="E644" s="35" t="str">
        <f>VLOOKUP(Q639,[94]Base_02!$A$5:$AD$24,3,0)</f>
        <v>Nama PB 12</v>
      </c>
      <c r="F644" s="23"/>
      <c r="G644" s="23"/>
      <c r="H644" s="24"/>
      <c r="I644" s="23"/>
      <c r="J644" s="24"/>
      <c r="K644" s="24"/>
      <c r="L644" s="24"/>
      <c r="M644" s="24"/>
      <c r="N644" s="24"/>
      <c r="O644" s="24"/>
      <c r="P644" s="24"/>
      <c r="Q644" s="23"/>
      <c r="R644" s="23"/>
      <c r="S644" s="23"/>
      <c r="T644" s="23"/>
      <c r="U644" s="23"/>
      <c r="V644" s="23"/>
      <c r="W644" s="23"/>
      <c r="X644" s="23"/>
      <c r="Y644" s="23"/>
    </row>
    <row r="645" spans="1:25" x14ac:dyDescent="0.2">
      <c r="A645" s="73" t="s">
        <v>18</v>
      </c>
      <c r="B645" s="73"/>
      <c r="C645" s="73"/>
      <c r="D645" s="73"/>
      <c r="E645" s="35" t="str">
        <f>VLOOKUP(Q639,[94]Base_02!$A$5:$Z$24,11,FALSE)&amp;", RT "&amp;VLOOKUP(Q639,[94]Base_02!$A$5:$Z$24,12,FALSE)&amp;", RW "&amp;VLOOKUP(Q639,[94]Base_02!$A$5:$Z$24,13,FALSE)</f>
        <v>Jalan Kanal Victory, RT 2, RW 1</v>
      </c>
      <c r="F645" s="23"/>
      <c r="G645" s="23"/>
      <c r="H645" s="35"/>
      <c r="I645" s="23"/>
      <c r="J645" s="24"/>
      <c r="K645" s="24"/>
      <c r="L645" s="24"/>
      <c r="M645" s="24"/>
      <c r="N645" s="24"/>
      <c r="O645" s="24"/>
      <c r="P645" s="24"/>
      <c r="Q645" s="23"/>
      <c r="R645" s="23"/>
      <c r="S645" s="23"/>
      <c r="T645" s="23"/>
      <c r="U645" s="23"/>
      <c r="V645" s="23"/>
      <c r="W645" s="23"/>
      <c r="X645" s="23"/>
      <c r="Y645" s="23"/>
    </row>
    <row r="646" spans="1:25" x14ac:dyDescent="0.2">
      <c r="A646" s="73" t="str">
        <f>[94]Base_01!$B$2</f>
        <v>Kelurahan</v>
      </c>
      <c r="B646" s="73"/>
      <c r="C646" s="73"/>
      <c r="D646" s="73"/>
      <c r="E646" s="35" t="str">
        <f>[94]Base_01!$C$2</f>
        <v>Klasabi</v>
      </c>
      <c r="F646" s="23"/>
      <c r="G646" s="23"/>
      <c r="H646" s="24"/>
      <c r="I646" s="23"/>
      <c r="J646" s="24"/>
      <c r="K646" s="24"/>
      <c r="L646" s="24"/>
      <c r="M646" s="24"/>
      <c r="N646" s="24"/>
      <c r="O646" s="24"/>
      <c r="P646" s="24"/>
      <c r="Q646" s="23" t="s">
        <v>146</v>
      </c>
      <c r="R646" s="23"/>
      <c r="S646" s="23"/>
      <c r="T646" s="23"/>
      <c r="U646" s="23"/>
      <c r="V646" s="23"/>
      <c r="W646" s="23"/>
      <c r="X646" s="23"/>
      <c r="Y646" s="23"/>
    </row>
    <row r="647" spans="1:25" x14ac:dyDescent="0.2">
      <c r="A647" s="73" t="s">
        <v>19</v>
      </c>
      <c r="B647" s="73"/>
      <c r="C647" s="73"/>
      <c r="D647" s="73"/>
      <c r="E647" s="35" t="str">
        <f>[94]Base_01!$C$3</f>
        <v>Sorong Manoi</v>
      </c>
      <c r="F647" s="23"/>
      <c r="G647" s="23"/>
      <c r="H647" s="24"/>
      <c r="I647" s="23"/>
      <c r="J647" s="24"/>
      <c r="K647" s="24"/>
      <c r="L647" s="24"/>
      <c r="M647" s="24"/>
      <c r="N647" s="24"/>
      <c r="O647" s="24"/>
      <c r="P647" s="24"/>
      <c r="Q647" s="23" t="s">
        <v>145</v>
      </c>
      <c r="R647" s="23"/>
      <c r="S647" s="23"/>
      <c r="T647" s="23"/>
      <c r="U647" s="23"/>
      <c r="V647" s="23"/>
      <c r="W647" s="23"/>
      <c r="X647" s="23"/>
      <c r="Y647" s="23"/>
    </row>
    <row r="648" spans="1:25" x14ac:dyDescent="0.2">
      <c r="A648" s="73" t="str">
        <f>[94]Base_01!$B$4</f>
        <v>Kota</v>
      </c>
      <c r="B648" s="73"/>
      <c r="C648" s="73"/>
      <c r="D648" s="73"/>
      <c r="E648" s="35" t="str">
        <f>[94]Base_01!$C$4</f>
        <v>Sorong</v>
      </c>
      <c r="F648" s="23"/>
      <c r="G648" s="23"/>
      <c r="H648" s="24"/>
      <c r="I648" s="23"/>
      <c r="J648" s="24"/>
      <c r="K648" s="24"/>
      <c r="L648" s="24"/>
      <c r="M648" s="24"/>
      <c r="N648" s="24"/>
      <c r="O648" s="24"/>
      <c r="P648" s="24"/>
      <c r="Q648" s="23" t="s">
        <v>144</v>
      </c>
      <c r="R648" s="23"/>
      <c r="S648" s="23"/>
      <c r="T648" s="23"/>
      <c r="U648" s="23"/>
      <c r="V648" s="23"/>
      <c r="W648" s="23"/>
      <c r="X648" s="23"/>
      <c r="Y648" s="23"/>
    </row>
    <row r="649" spans="1:25" x14ac:dyDescent="0.2">
      <c r="A649" s="73" t="str">
        <f>[94]Base_01!$B$5</f>
        <v>Provinsi</v>
      </c>
      <c r="B649" s="73"/>
      <c r="C649" s="73"/>
      <c r="D649" s="73"/>
      <c r="E649" s="23" t="str">
        <f>[94]Base_01!$C$5</f>
        <v>Papua Barat Daya</v>
      </c>
      <c r="F649" s="23"/>
      <c r="G649" s="24"/>
      <c r="H649" s="24"/>
      <c r="I649" s="23"/>
      <c r="J649" s="24"/>
      <c r="K649" s="24"/>
      <c r="L649" s="24"/>
      <c r="M649" s="24"/>
      <c r="N649" s="24"/>
      <c r="O649" s="24"/>
      <c r="P649" s="24"/>
      <c r="Q649" s="23" t="s">
        <v>143</v>
      </c>
      <c r="R649" s="23"/>
      <c r="S649" s="23"/>
      <c r="T649" s="23"/>
      <c r="U649" s="23"/>
      <c r="V649" s="23"/>
      <c r="W649" s="23"/>
      <c r="X649" s="23"/>
      <c r="Y649" s="23"/>
    </row>
    <row r="650" spans="1:25" x14ac:dyDescent="0.2">
      <c r="A650" s="23"/>
      <c r="B650" s="23"/>
      <c r="C650" s="23"/>
      <c r="D650" s="23"/>
      <c r="E650" s="23"/>
      <c r="F650" s="23"/>
      <c r="G650" s="23"/>
      <c r="H650" s="23"/>
      <c r="I650" s="24"/>
      <c r="J650" s="24"/>
      <c r="K650" s="24"/>
      <c r="L650" s="24"/>
      <c r="M650" s="24"/>
      <c r="N650" s="24"/>
      <c r="O650" s="24"/>
      <c r="P650" s="24"/>
      <c r="Q650" s="23"/>
      <c r="R650" s="23"/>
      <c r="S650" s="23"/>
      <c r="T650" s="23"/>
      <c r="U650" s="23"/>
      <c r="V650" s="23"/>
      <c r="W650" s="23"/>
      <c r="X650" s="23"/>
      <c r="Y650" s="23"/>
    </row>
    <row r="651" spans="1:25" x14ac:dyDescent="0.2">
      <c r="A651" s="33"/>
      <c r="B651" s="33"/>
      <c r="C651" s="33"/>
      <c r="D651" s="33"/>
      <c r="E651" s="33"/>
      <c r="F651" s="33"/>
      <c r="G651" s="33"/>
      <c r="H651" s="33"/>
      <c r="I651" s="33"/>
      <c r="J651" s="33"/>
      <c r="K651" s="33"/>
      <c r="L651" s="33"/>
      <c r="M651" s="34"/>
      <c r="N651" s="33"/>
      <c r="O651" s="33"/>
      <c r="P651" s="33"/>
      <c r="Q651" s="23"/>
      <c r="R651" s="23"/>
      <c r="S651" s="23"/>
      <c r="T651" s="23"/>
      <c r="U651" s="23"/>
      <c r="V651" s="23"/>
      <c r="W651" s="23"/>
      <c r="X651" s="23"/>
      <c r="Y651" s="23"/>
    </row>
    <row r="652" spans="1:25" x14ac:dyDescent="0.2">
      <c r="A652" s="80" t="s">
        <v>142</v>
      </c>
      <c r="B652" s="81"/>
      <c r="C652" s="81"/>
      <c r="D652" s="81"/>
      <c r="E652" s="81"/>
      <c r="F652" s="81"/>
      <c r="G652" s="81"/>
      <c r="H652" s="81"/>
      <c r="I652" s="80" t="s">
        <v>151</v>
      </c>
      <c r="J652" s="81"/>
      <c r="K652" s="81"/>
      <c r="L652" s="81"/>
      <c r="M652" s="81"/>
      <c r="N652" s="81"/>
      <c r="O652" s="81"/>
      <c r="P652" s="82"/>
      <c r="Q652" s="23"/>
      <c r="R652" s="23"/>
      <c r="S652" s="23"/>
      <c r="T652" s="23"/>
      <c r="U652" s="23"/>
      <c r="V652" s="21"/>
      <c r="W652" s="21"/>
      <c r="X652" s="21"/>
      <c r="Y652" s="21"/>
    </row>
    <row r="653" spans="1:25" x14ac:dyDescent="0.2">
      <c r="A653" s="48"/>
      <c r="B653" s="49"/>
      <c r="C653" s="49"/>
      <c r="D653" s="50"/>
      <c r="E653" s="50"/>
      <c r="F653" s="49"/>
      <c r="G653" s="49"/>
      <c r="H653" s="49"/>
      <c r="I653" s="48"/>
      <c r="J653" s="49"/>
      <c r="K653" s="49"/>
      <c r="L653" s="50"/>
      <c r="M653" s="50"/>
      <c r="N653" s="49"/>
      <c r="O653" s="49"/>
      <c r="P653" s="51"/>
      <c r="Q653" s="23"/>
      <c r="R653" s="23"/>
      <c r="S653" s="23"/>
      <c r="T653" s="23"/>
      <c r="U653" s="23"/>
      <c r="V653" s="21"/>
      <c r="W653" s="21"/>
      <c r="X653" s="21"/>
      <c r="Y653" s="21"/>
    </row>
    <row r="654" spans="1:25" ht="16" x14ac:dyDescent="0.2">
      <c r="A654" s="36" t="s">
        <v>141</v>
      </c>
      <c r="B654" s="23"/>
      <c r="C654" s="26" t="s">
        <v>112</v>
      </c>
      <c r="D654" s="83">
        <f>VLOOKUP(Q639,[95]Base_03!$A$5:$AS$24,5,0)</f>
        <v>36</v>
      </c>
      <c r="E654" s="84"/>
      <c r="F654" s="23" t="s">
        <v>140</v>
      </c>
      <c r="G654" s="23"/>
      <c r="H654" s="23"/>
      <c r="I654" s="36" t="s">
        <v>141</v>
      </c>
      <c r="J654" s="26"/>
      <c r="K654" s="26" t="s">
        <v>119</v>
      </c>
      <c r="L654" s="85">
        <f>VLOOKUP(Q639,[95]Base_04!$A$5:$AS$24,5,0)</f>
        <v>49</v>
      </c>
      <c r="M654" s="85"/>
      <c r="N654" s="30" t="s">
        <v>140</v>
      </c>
      <c r="O654" s="23"/>
      <c r="P654" s="37"/>
      <c r="Q654" s="23"/>
      <c r="R654" s="23"/>
      <c r="S654" s="23"/>
      <c r="T654" s="23"/>
      <c r="U654" s="23"/>
      <c r="V654" s="21"/>
      <c r="W654" s="21"/>
      <c r="X654" s="21"/>
      <c r="Y654" s="21"/>
    </row>
    <row r="655" spans="1:25" ht="15" customHeight="1" x14ac:dyDescent="0.2">
      <c r="A655" s="38" t="s">
        <v>139</v>
      </c>
      <c r="B655" s="23"/>
      <c r="C655" s="26"/>
      <c r="D655" s="79" t="s">
        <v>131</v>
      </c>
      <c r="E655" s="79"/>
      <c r="F655" s="79" t="s">
        <v>130</v>
      </c>
      <c r="G655" s="79"/>
      <c r="H655" s="23"/>
      <c r="I655" s="38" t="s">
        <v>139</v>
      </c>
      <c r="J655" s="23"/>
      <c r="K655" s="26"/>
      <c r="L655" s="79" t="s">
        <v>131</v>
      </c>
      <c r="M655" s="79"/>
      <c r="N655" s="79" t="s">
        <v>130</v>
      </c>
      <c r="O655" s="79"/>
      <c r="P655" s="52"/>
      <c r="Q655" s="23"/>
      <c r="R655" s="23"/>
      <c r="S655" s="23"/>
      <c r="T655" s="23"/>
      <c r="U655" s="23"/>
      <c r="V655" s="21"/>
      <c r="W655" s="21"/>
      <c r="X655" s="21"/>
      <c r="Y655" s="21"/>
    </row>
    <row r="656" spans="1:25" x14ac:dyDescent="0.2">
      <c r="A656" s="39"/>
      <c r="B656" s="23"/>
      <c r="C656" s="26"/>
      <c r="D656" s="79"/>
      <c r="E656" s="79"/>
      <c r="F656" s="79"/>
      <c r="G656" s="79"/>
      <c r="H656" s="23"/>
      <c r="I656" s="39"/>
      <c r="J656" s="23"/>
      <c r="K656" s="26"/>
      <c r="L656" s="79"/>
      <c r="M656" s="79"/>
      <c r="N656" s="79"/>
      <c r="O656" s="79"/>
      <c r="P656" s="52"/>
      <c r="Q656" s="23"/>
      <c r="R656" s="23"/>
      <c r="S656" s="23"/>
      <c r="T656" s="23"/>
      <c r="U656" s="23"/>
      <c r="V656" s="21"/>
      <c r="W656" s="21"/>
      <c r="X656" s="21"/>
      <c r="Y656" s="21"/>
    </row>
    <row r="657" spans="1:25" x14ac:dyDescent="0.2">
      <c r="A657" s="72" t="s">
        <v>138</v>
      </c>
      <c r="B657" s="73"/>
      <c r="C657" s="73" t="s">
        <v>112</v>
      </c>
      <c r="D657" s="78" t="str">
        <f>VLOOKUP(Q639,[95]Base_03!$A$5:$AS$24,6,0)</f>
        <v>BT 12</v>
      </c>
      <c r="E657" s="78"/>
      <c r="F657" s="77">
        <f>VLOOKUP(Q639,[95]Base_03!$A$5:$AS$24,12,0)</f>
        <v>0</v>
      </c>
      <c r="G657" s="77"/>
      <c r="H657" s="23" t="s">
        <v>134</v>
      </c>
      <c r="I657" s="72" t="s">
        <v>138</v>
      </c>
      <c r="J657" s="73"/>
      <c r="K657" s="73"/>
      <c r="L657" s="78" t="str">
        <f>VLOOKUP(Q639,[95]Base_04!$A$5:$AS$24,6,0)</f>
        <v>BT 12</v>
      </c>
      <c r="M657" s="78"/>
      <c r="N657" s="77">
        <f>VLOOKUP(Q639,[95]Base_04!$A$5:$AS$24,12,0)</f>
        <v>0</v>
      </c>
      <c r="O657" s="77"/>
      <c r="P657" s="37" t="s">
        <v>134</v>
      </c>
      <c r="Q657" s="23" t="s">
        <v>123</v>
      </c>
      <c r="R657" s="23"/>
      <c r="S657" s="23"/>
      <c r="T657" s="23"/>
      <c r="U657" s="23"/>
      <c r="V657" s="21"/>
      <c r="W657" s="21"/>
      <c r="X657" s="21"/>
      <c r="Y657" s="21"/>
    </row>
    <row r="658" spans="1:25" x14ac:dyDescent="0.2">
      <c r="A658" s="72" t="s">
        <v>137</v>
      </c>
      <c r="B658" s="73"/>
      <c r="C658" s="73" t="s">
        <v>112</v>
      </c>
      <c r="D658" s="78" t="str">
        <f>VLOOKUP(Q639,[95]Base_03!$A$5:$AS$24,13,0)</f>
        <v>S 12</v>
      </c>
      <c r="E658" s="78"/>
      <c r="F658" s="77">
        <f>VLOOKUP(Q639,[95]Base_03!$A$5:$AS$24,15,0)</f>
        <v>0</v>
      </c>
      <c r="G658" s="77"/>
      <c r="H658" s="23" t="s">
        <v>134</v>
      </c>
      <c r="I658" s="72" t="s">
        <v>137</v>
      </c>
      <c r="J658" s="73"/>
      <c r="K658" s="73"/>
      <c r="L658" s="78" t="str">
        <f>VLOOKUP(Q639,[95]Base_04!$A$5:$AS$24,13,0)</f>
        <v>S 12</v>
      </c>
      <c r="M658" s="78"/>
      <c r="N658" s="77">
        <f>VLOOKUP(Q639,[95]Base_04!$A$5:$AS$24,15,0)</f>
        <v>0</v>
      </c>
      <c r="O658" s="77"/>
      <c r="P658" s="37" t="s">
        <v>134</v>
      </c>
      <c r="Q658" s="23" t="s">
        <v>123</v>
      </c>
      <c r="R658" s="23"/>
      <c r="S658" s="23"/>
      <c r="T658" s="23"/>
      <c r="U658" s="23"/>
      <c r="V658" s="21"/>
      <c r="W658" s="21"/>
      <c r="X658" s="21"/>
      <c r="Y658" s="21"/>
    </row>
    <row r="659" spans="1:25" x14ac:dyDescent="0.2">
      <c r="A659" s="72" t="s">
        <v>136</v>
      </c>
      <c r="B659" s="73"/>
      <c r="C659" s="73" t="s">
        <v>112</v>
      </c>
      <c r="D659" s="78" t="str">
        <f>VLOOKUP(Q639,[95]Base_03!$A$5:$AS$24,16,0)</f>
        <v>B 12</v>
      </c>
      <c r="E659" s="78"/>
      <c r="F659" s="77">
        <f>VLOOKUP(Q639,[95]Base_03!$A$5:$AS$24,22,0)</f>
        <v>0</v>
      </c>
      <c r="G659" s="77"/>
      <c r="H659" s="23" t="s">
        <v>134</v>
      </c>
      <c r="I659" s="72" t="s">
        <v>136</v>
      </c>
      <c r="J659" s="73"/>
      <c r="K659" s="73"/>
      <c r="L659" s="78" t="str">
        <f>VLOOKUP(Q639,[95]Base_04!$A$5:$AS$24,16,0)</f>
        <v>B 12</v>
      </c>
      <c r="M659" s="78"/>
      <c r="N659" s="77">
        <f>VLOOKUP(Q639,[95]Base_04!$A$5:$AS$24,22,0)</f>
        <v>0</v>
      </c>
      <c r="O659" s="77"/>
      <c r="P659" s="37" t="s">
        <v>134</v>
      </c>
      <c r="Q659" s="23" t="s">
        <v>123</v>
      </c>
      <c r="R659" s="23"/>
      <c r="S659" s="23"/>
      <c r="T659" s="23"/>
      <c r="U659" s="23"/>
      <c r="V659" s="21"/>
      <c r="W659" s="21"/>
      <c r="X659" s="21"/>
      <c r="Y659" s="21"/>
    </row>
    <row r="660" spans="1:25" x14ac:dyDescent="0.2">
      <c r="A660" s="72" t="s">
        <v>135</v>
      </c>
      <c r="B660" s="73"/>
      <c r="C660" s="73" t="s">
        <v>112</v>
      </c>
      <c r="D660" s="78" t="str">
        <f>VLOOKUP(Q639,[95]Base_03!$A$5:$AS$24,23,0)</f>
        <v>K 12</v>
      </c>
      <c r="E660" s="78"/>
      <c r="F660" s="77">
        <f>VLOOKUP(Q639,[95]Base_03!$A$5:$AS$24,24,0)</f>
        <v>0</v>
      </c>
      <c r="G660" s="77"/>
      <c r="H660" s="23" t="s">
        <v>134</v>
      </c>
      <c r="I660" s="72" t="s">
        <v>135</v>
      </c>
      <c r="J660" s="73"/>
      <c r="K660" s="73"/>
      <c r="L660" s="78" t="str">
        <f>VLOOKUP(Q639,[95]Base_04!$A$5:$AS$24,23,0)</f>
        <v>K 12</v>
      </c>
      <c r="M660" s="78"/>
      <c r="N660" s="77">
        <f>VLOOKUP(Q639,[95]Base_04!$A$5:$AS$24,24,0)</f>
        <v>0</v>
      </c>
      <c r="O660" s="77"/>
      <c r="P660" s="37" t="s">
        <v>134</v>
      </c>
      <c r="Q660" s="23" t="s">
        <v>123</v>
      </c>
      <c r="R660" s="23"/>
      <c r="S660" s="23"/>
      <c r="T660" s="23"/>
      <c r="U660" s="23"/>
      <c r="V660" s="21"/>
      <c r="W660" s="21"/>
      <c r="X660" s="21"/>
      <c r="Y660" s="21"/>
    </row>
    <row r="661" spans="1:25" x14ac:dyDescent="0.2">
      <c r="A661" s="72" t="s">
        <v>133</v>
      </c>
      <c r="B661" s="73"/>
      <c r="C661" s="73" t="s">
        <v>112</v>
      </c>
      <c r="D661" s="78" t="str">
        <f>VLOOKUP(Q639,[95]Base_03!$A$5:$AS$24,25,0)</f>
        <v>K 12</v>
      </c>
      <c r="E661" s="78"/>
      <c r="F661" s="77">
        <f>VLOOKUP(Q639,[95]Base_03!$A$5:$AS$24,26,0)</f>
        <v>73.900834456272094</v>
      </c>
      <c r="G661" s="77"/>
      <c r="H661" s="23" t="s">
        <v>124</v>
      </c>
      <c r="I661" s="72" t="s">
        <v>133</v>
      </c>
      <c r="J661" s="73"/>
      <c r="K661" s="73"/>
      <c r="L661" s="78" t="str">
        <f>VLOOKUP(Q639,[95]Base_04!$A$5:$AS$24,25,0)</f>
        <v>K 12</v>
      </c>
      <c r="M661" s="78"/>
      <c r="N661" s="77">
        <f>VLOOKUP(Q639,[95]Base_04!$A$5:$AS$24,26,0)</f>
        <v>93.530743608719362</v>
      </c>
      <c r="O661" s="77"/>
      <c r="P661" s="37" t="s">
        <v>124</v>
      </c>
      <c r="Q661" s="23" t="s">
        <v>123</v>
      </c>
      <c r="R661" s="23"/>
      <c r="S661" s="23"/>
      <c r="T661" s="23"/>
      <c r="U661" s="23"/>
      <c r="V661" s="21"/>
      <c r="W661" s="21"/>
      <c r="X661" s="21"/>
      <c r="Y661" s="21"/>
    </row>
    <row r="662" spans="1:25" x14ac:dyDescent="0.2">
      <c r="A662" s="40"/>
      <c r="B662" s="31"/>
      <c r="C662" s="31"/>
      <c r="D662" s="41"/>
      <c r="E662" s="41"/>
      <c r="F662" s="30"/>
      <c r="G662" s="23"/>
      <c r="H662" s="23"/>
      <c r="I662" s="40"/>
      <c r="J662" s="31"/>
      <c r="K662" s="31"/>
      <c r="L662" s="41"/>
      <c r="M662" s="41"/>
      <c r="N662" s="30"/>
      <c r="O662" s="23"/>
      <c r="P662" s="37"/>
      <c r="Q662" s="23"/>
      <c r="R662" s="23"/>
      <c r="S662" s="23"/>
      <c r="T662" s="23"/>
      <c r="U662" s="23"/>
      <c r="V662" s="21"/>
      <c r="W662" s="21"/>
      <c r="X662" s="21"/>
      <c r="Y662" s="21"/>
    </row>
    <row r="663" spans="1:25" x14ac:dyDescent="0.2">
      <c r="A663" s="38" t="s">
        <v>132</v>
      </c>
      <c r="B663" s="23"/>
      <c r="C663" s="26"/>
      <c r="D663" s="79" t="s">
        <v>131</v>
      </c>
      <c r="E663" s="79"/>
      <c r="F663" s="79" t="s">
        <v>130</v>
      </c>
      <c r="G663" s="79"/>
      <c r="H663" s="23"/>
      <c r="I663" s="38" t="s">
        <v>132</v>
      </c>
      <c r="J663" s="23"/>
      <c r="K663" s="26"/>
      <c r="L663" s="79" t="s">
        <v>131</v>
      </c>
      <c r="M663" s="79"/>
      <c r="N663" s="79" t="s">
        <v>130</v>
      </c>
      <c r="O663" s="79"/>
      <c r="P663" s="52"/>
      <c r="Q663" s="23"/>
      <c r="R663" s="23"/>
      <c r="S663" s="23"/>
      <c r="T663" s="23"/>
      <c r="U663" s="23"/>
      <c r="V663" s="21"/>
      <c r="W663" s="21"/>
      <c r="X663" s="21"/>
      <c r="Y663" s="21"/>
    </row>
    <row r="664" spans="1:25" x14ac:dyDescent="0.2">
      <c r="A664" s="39"/>
      <c r="B664" s="23"/>
      <c r="C664" s="26"/>
      <c r="D664" s="79"/>
      <c r="E664" s="79"/>
      <c r="F664" s="79"/>
      <c r="G664" s="79"/>
      <c r="H664" s="23"/>
      <c r="I664" s="39"/>
      <c r="J664" s="23"/>
      <c r="K664" s="26"/>
      <c r="L664" s="79"/>
      <c r="M664" s="79"/>
      <c r="N664" s="79"/>
      <c r="O664" s="79"/>
      <c r="P664" s="52"/>
      <c r="Q664" s="23"/>
      <c r="R664" s="23"/>
      <c r="S664" s="23"/>
      <c r="T664" s="23"/>
      <c r="U664" s="23"/>
      <c r="V664" s="21"/>
      <c r="W664" s="21"/>
      <c r="X664" s="21"/>
      <c r="Y664" s="21"/>
    </row>
    <row r="665" spans="1:25" x14ac:dyDescent="0.2">
      <c r="A665" s="72" t="s">
        <v>129</v>
      </c>
      <c r="B665" s="73"/>
      <c r="C665" s="73" t="s">
        <v>119</v>
      </c>
      <c r="D665" s="78" t="str">
        <f>VLOOKUP(Q639,[95]Base_03!$A$5:$AS$24,28,0)</f>
        <v xml:space="preserve"> G 12</v>
      </c>
      <c r="E665" s="78"/>
      <c r="F665" s="77">
        <f>VLOOKUP(Q639,[95]Base_03!$A$5:$AS$24,30,0)</f>
        <v>55</v>
      </c>
      <c r="G665" s="77"/>
      <c r="H665" s="23" t="s">
        <v>124</v>
      </c>
      <c r="I665" s="72" t="s">
        <v>129</v>
      </c>
      <c r="J665" s="73"/>
      <c r="K665" s="73" t="s">
        <v>119</v>
      </c>
      <c r="L665" s="78" t="str">
        <f>VLOOKUP(Q639,[95]Base_04!$A$5:$AS$24,28,0)</f>
        <v xml:space="preserve"> G 12</v>
      </c>
      <c r="M665" s="78"/>
      <c r="N665" s="77">
        <f>VLOOKUP(Q639,[95]Base_04!$A$5:$AS$24,30,0)</f>
        <v>55</v>
      </c>
      <c r="O665" s="77"/>
      <c r="P665" s="37" t="s">
        <v>124</v>
      </c>
      <c r="Q665" s="23" t="s">
        <v>123</v>
      </c>
      <c r="R665" s="23"/>
      <c r="S665" s="23"/>
      <c r="T665" s="23"/>
      <c r="U665" s="23"/>
      <c r="V665" s="21"/>
      <c r="W665" s="21"/>
      <c r="X665" s="21"/>
      <c r="Y665" s="21"/>
    </row>
    <row r="666" spans="1:25" x14ac:dyDescent="0.2">
      <c r="A666" s="72" t="s">
        <v>128</v>
      </c>
      <c r="B666" s="73"/>
      <c r="C666" s="73" t="s">
        <v>119</v>
      </c>
      <c r="D666" s="78" t="str">
        <f>VLOOKUP(Q639,[95]Base_03!$A$5:$AS$24,31,0)</f>
        <v>H 12</v>
      </c>
      <c r="E666" s="78"/>
      <c r="F666" s="77">
        <f>VLOOKUP(Q639,[95]Base_03!$A$5:$AS$24,34,0)</f>
        <v>-5.76</v>
      </c>
      <c r="G666" s="77"/>
      <c r="H666" s="23" t="s">
        <v>124</v>
      </c>
      <c r="I666" s="72" t="s">
        <v>128</v>
      </c>
      <c r="J666" s="73"/>
      <c r="K666" s="73" t="s">
        <v>119</v>
      </c>
      <c r="L666" s="78" t="str">
        <f>VLOOKUP(Q639,[95]Base_04!$A$5:$AS$24,31,0)</f>
        <v>H 12</v>
      </c>
      <c r="M666" s="78"/>
      <c r="N666" s="77">
        <f>VLOOKUP(Q639,[95]Base_04!$A$5:$AS$24,34,0)</f>
        <v>-5.76</v>
      </c>
      <c r="O666" s="77"/>
      <c r="P666" s="37" t="s">
        <v>124</v>
      </c>
      <c r="Q666" s="23" t="s">
        <v>123</v>
      </c>
      <c r="R666" s="23"/>
      <c r="S666" s="23"/>
      <c r="T666" s="23"/>
      <c r="U666" s="23"/>
      <c r="V666" s="21"/>
      <c r="W666" s="21"/>
      <c r="X666" s="21"/>
      <c r="Y666" s="21"/>
    </row>
    <row r="667" spans="1:25" x14ac:dyDescent="0.2">
      <c r="A667" s="89" t="s">
        <v>127</v>
      </c>
      <c r="B667" s="90"/>
      <c r="C667" s="90" t="s">
        <v>119</v>
      </c>
      <c r="D667" s="91" t="str">
        <f>VLOOKUP(Q639,[95]Base_03!$A$5:$AS$24,35,0)</f>
        <v>Kayu</v>
      </c>
      <c r="E667" s="91"/>
      <c r="F667" s="92">
        <f>VLOOKUP(Q639,[95]Base_03!$A$5:$AS$24,36,0)</f>
        <v>5.76</v>
      </c>
      <c r="G667" s="92"/>
      <c r="H667" s="23" t="s">
        <v>124</v>
      </c>
      <c r="I667" s="89" t="s">
        <v>127</v>
      </c>
      <c r="J667" s="90"/>
      <c r="K667" s="90" t="s">
        <v>119</v>
      </c>
      <c r="L667" s="91" t="str">
        <f>VLOOKUP(Q639,[95]Base_04!$A$5:$AS$24,35,0)</f>
        <v>Kayu</v>
      </c>
      <c r="M667" s="91"/>
      <c r="N667" s="92">
        <f>VLOOKUP(Q639,[95]Base_04!$A$5:$AS$24,36,0)</f>
        <v>5.76</v>
      </c>
      <c r="O667" s="92"/>
      <c r="P667" s="37" t="s">
        <v>124</v>
      </c>
      <c r="Q667" s="23" t="s">
        <v>123</v>
      </c>
      <c r="R667" s="23"/>
      <c r="S667" s="23"/>
      <c r="T667" s="23"/>
      <c r="U667" s="23"/>
      <c r="V667" s="21"/>
      <c r="W667" s="21"/>
      <c r="X667" s="21"/>
      <c r="Y667" s="21"/>
    </row>
    <row r="668" spans="1:25" x14ac:dyDescent="0.2">
      <c r="A668" s="74" t="s">
        <v>126</v>
      </c>
      <c r="B668" s="75"/>
      <c r="C668" s="75"/>
      <c r="D668" s="91"/>
      <c r="E668" s="91"/>
      <c r="F668" s="92"/>
      <c r="G668" s="92"/>
      <c r="H668" s="23"/>
      <c r="I668" s="74" t="s">
        <v>126</v>
      </c>
      <c r="J668" s="75"/>
      <c r="K668" s="75"/>
      <c r="L668" s="91"/>
      <c r="M668" s="91"/>
      <c r="N668" s="92"/>
      <c r="O668" s="92"/>
      <c r="P668" s="37"/>
      <c r="Q668" s="23"/>
      <c r="R668" s="23"/>
      <c r="S668" s="23"/>
      <c r="T668" s="23"/>
      <c r="U668" s="23"/>
      <c r="V668" s="21"/>
      <c r="W668" s="21"/>
      <c r="X668" s="21"/>
      <c r="Y668" s="21"/>
    </row>
    <row r="669" spans="1:25" x14ac:dyDescent="0.2">
      <c r="A669" s="72" t="s">
        <v>125</v>
      </c>
      <c r="B669" s="73"/>
      <c r="C669" s="73" t="s">
        <v>119</v>
      </c>
      <c r="D669" s="78" t="str">
        <f>VLOOKUP(Q639,[95]Base_03!$A$5:$AS$24,39,0)</f>
        <v>R 12</v>
      </c>
      <c r="E669" s="78"/>
      <c r="F669" s="77">
        <f>VLOOKUP(Q639,[95]Base_03!$A$5:$AS$24,40,0)</f>
        <v>36</v>
      </c>
      <c r="G669" s="77"/>
      <c r="H669" s="23" t="s">
        <v>124</v>
      </c>
      <c r="I669" s="72" t="s">
        <v>125</v>
      </c>
      <c r="J669" s="73"/>
      <c r="K669" s="73" t="s">
        <v>119</v>
      </c>
      <c r="L669" s="78" t="str">
        <f>VLOOKUP(Q639,[95]Base_04!$A$5:$AS$24,39,0)</f>
        <v>R 12</v>
      </c>
      <c r="M669" s="78"/>
      <c r="N669" s="77">
        <f>VLOOKUP(Q639,[95]Base_04!$A$5:$AS$24,40,0)</f>
        <v>49</v>
      </c>
      <c r="O669" s="77"/>
      <c r="P669" s="37" t="s">
        <v>124</v>
      </c>
      <c r="Q669" s="23" t="s">
        <v>123</v>
      </c>
      <c r="R669" s="23"/>
      <c r="S669" s="23"/>
      <c r="T669" s="23"/>
      <c r="U669" s="23"/>
      <c r="V669" s="21"/>
      <c r="W669" s="21"/>
      <c r="X669" s="21"/>
      <c r="Y669" s="21"/>
    </row>
    <row r="670" spans="1:25" x14ac:dyDescent="0.2">
      <c r="A670" s="39"/>
      <c r="B670" s="23"/>
      <c r="C670" s="23"/>
      <c r="D670" s="23"/>
      <c r="E670" s="23"/>
      <c r="F670" s="23"/>
      <c r="G670" s="23"/>
      <c r="H670" s="23"/>
      <c r="I670" s="39"/>
      <c r="J670" s="45"/>
      <c r="K670" s="45"/>
      <c r="L670" s="45"/>
      <c r="M670" s="23"/>
      <c r="N670" s="30"/>
      <c r="O670" s="23"/>
      <c r="P670" s="37"/>
      <c r="Q670" s="23"/>
      <c r="R670" s="23"/>
      <c r="S670" s="23"/>
      <c r="T670" s="23"/>
      <c r="U670" s="23"/>
      <c r="V670" s="21"/>
      <c r="W670" s="21"/>
      <c r="X670" s="21"/>
      <c r="Y670" s="21"/>
    </row>
    <row r="671" spans="1:25" x14ac:dyDescent="0.2">
      <c r="A671" s="72" t="s">
        <v>122</v>
      </c>
      <c r="B671" s="73"/>
      <c r="C671" s="73" t="s">
        <v>112</v>
      </c>
      <c r="D671" s="76">
        <f>VLOOKUP(Q639,[95]Base_03!$A$5:$AS$24,42,0)</f>
        <v>6.666666666666667</v>
      </c>
      <c r="E671" s="76"/>
      <c r="F671" s="25" t="s">
        <v>118</v>
      </c>
      <c r="G671" s="23"/>
      <c r="H671" s="23"/>
      <c r="I671" s="72" t="s">
        <v>122</v>
      </c>
      <c r="J671" s="73"/>
      <c r="K671" s="73" t="s">
        <v>112</v>
      </c>
      <c r="L671" s="76">
        <f>VLOOKUP(Q639,[95]Base_04!$A$5:$AS$24,42,0)</f>
        <v>4.8979591836734695</v>
      </c>
      <c r="M671" s="76"/>
      <c r="N671" s="46" t="s">
        <v>118</v>
      </c>
      <c r="O671" s="23"/>
      <c r="P671" s="37"/>
      <c r="Q671" s="32" t="s">
        <v>121</v>
      </c>
      <c r="R671" s="23"/>
      <c r="S671" s="23"/>
      <c r="T671" s="23"/>
      <c r="U671" s="23"/>
      <c r="V671" s="21"/>
      <c r="W671" s="21"/>
      <c r="X671" s="21"/>
      <c r="Y671" s="21"/>
    </row>
    <row r="672" spans="1:25" x14ac:dyDescent="0.2">
      <c r="A672" s="72" t="s">
        <v>120</v>
      </c>
      <c r="B672" s="73"/>
      <c r="C672" s="73" t="s">
        <v>119</v>
      </c>
      <c r="D672" s="76">
        <f>VLOOKUP(Q639,[95]Base_03!$A$5:$AS$24,43,0)</f>
        <v>9.6666666666666661</v>
      </c>
      <c r="E672" s="76"/>
      <c r="F672" s="25" t="s">
        <v>118</v>
      </c>
      <c r="G672" s="23"/>
      <c r="H672" s="23"/>
      <c r="I672" s="72" t="s">
        <v>120</v>
      </c>
      <c r="J672" s="73"/>
      <c r="K672" s="73" t="s">
        <v>119</v>
      </c>
      <c r="L672" s="76">
        <f>VLOOKUP(Q639,[95]Base_04!$A$5:$AS$24,43,0)</f>
        <v>7.1020408163265314</v>
      </c>
      <c r="M672" s="76"/>
      <c r="N672" s="46" t="s">
        <v>118</v>
      </c>
      <c r="O672" s="23"/>
      <c r="P672" s="37"/>
      <c r="Q672" s="32" t="s">
        <v>117</v>
      </c>
      <c r="R672" s="23"/>
      <c r="S672" s="23"/>
      <c r="T672" s="23"/>
      <c r="U672" s="23"/>
      <c r="V672" s="21"/>
      <c r="W672" s="21"/>
      <c r="X672" s="21"/>
      <c r="Y672" s="21"/>
    </row>
    <row r="673" spans="1:25" x14ac:dyDescent="0.2">
      <c r="A673" s="72" t="s">
        <v>115</v>
      </c>
      <c r="B673" s="73"/>
      <c r="C673" s="73"/>
      <c r="D673" s="71" t="str">
        <f>VLOOKUP(Q639,[95]Base_03!$A$5:$AS$24,44,0)</f>
        <v>(Ada) Baik</v>
      </c>
      <c r="E673" s="71"/>
      <c r="F673" s="23"/>
      <c r="G673" s="23"/>
      <c r="H673" s="23"/>
      <c r="I673" s="72" t="s">
        <v>115</v>
      </c>
      <c r="J673" s="73"/>
      <c r="K673" s="73"/>
      <c r="L673" s="71" t="str">
        <f>VLOOKUP(Q639,[95]Base_04!$A$5:$AS$24,44,0)</f>
        <v>(Ada) Baik</v>
      </c>
      <c r="M673" s="71"/>
      <c r="N673" s="30"/>
      <c r="O673" s="23"/>
      <c r="P673" s="37"/>
      <c r="Q673" s="23"/>
      <c r="R673" s="23"/>
      <c r="S673" s="23"/>
      <c r="T673" s="23"/>
      <c r="U673" s="23"/>
      <c r="V673" s="21"/>
      <c r="W673" s="21"/>
      <c r="X673" s="21"/>
      <c r="Y673" s="21"/>
    </row>
    <row r="674" spans="1:25" x14ac:dyDescent="0.2">
      <c r="A674" s="74" t="s">
        <v>116</v>
      </c>
      <c r="B674" s="75"/>
      <c r="C674" s="26"/>
      <c r="D674" s="25"/>
      <c r="E674" s="25"/>
      <c r="F674" s="23"/>
      <c r="G674" s="23"/>
      <c r="H674" s="23"/>
      <c r="I674" s="74" t="s">
        <v>116</v>
      </c>
      <c r="J674" s="75"/>
      <c r="K674" s="26"/>
      <c r="L674" s="25"/>
      <c r="M674" s="25"/>
      <c r="N674" s="30"/>
      <c r="O674" s="23"/>
      <c r="P674" s="37"/>
      <c r="Q674" s="23"/>
      <c r="R674" s="23"/>
      <c r="S674" s="23"/>
      <c r="T674" s="23"/>
      <c r="U674" s="23"/>
      <c r="V674" s="21"/>
      <c r="W674" s="21"/>
      <c r="X674" s="21"/>
      <c r="Y674" s="21"/>
    </row>
    <row r="675" spans="1:25" x14ac:dyDescent="0.2">
      <c r="A675" s="72" t="s">
        <v>115</v>
      </c>
      <c r="B675" s="73"/>
      <c r="C675" s="73"/>
      <c r="D675" s="71" t="str">
        <f>VLOOKUP(Q639,[95]Base_03!$A$5:$AS$24,45,0)</f>
        <v>Air Pam (Baik)</v>
      </c>
      <c r="E675" s="71"/>
      <c r="F675" s="23"/>
      <c r="G675" s="23"/>
      <c r="H675" s="23"/>
      <c r="I675" s="72" t="s">
        <v>115</v>
      </c>
      <c r="J675" s="73"/>
      <c r="K675" s="73"/>
      <c r="L675" s="71" t="str">
        <f>VLOOKUP(Q639,[95]Base_04!$A$5:$AS$24,45,0)</f>
        <v>Air Pam (Baik)</v>
      </c>
      <c r="M675" s="71"/>
      <c r="N675" s="30"/>
      <c r="O675" s="23"/>
      <c r="P675" s="37"/>
      <c r="Q675" s="23"/>
      <c r="R675" s="23"/>
      <c r="S675" s="23"/>
      <c r="T675" s="23"/>
      <c r="U675" s="23"/>
      <c r="V675" s="21"/>
      <c r="W675" s="21"/>
      <c r="X675" s="21"/>
      <c r="Y675" s="21"/>
    </row>
    <row r="676" spans="1:25" x14ac:dyDescent="0.2">
      <c r="A676" s="74" t="s">
        <v>114</v>
      </c>
      <c r="B676" s="75"/>
      <c r="C676" s="26"/>
      <c r="D676" s="25"/>
      <c r="E676" s="25"/>
      <c r="F676" s="23"/>
      <c r="G676" s="23"/>
      <c r="H676" s="23"/>
      <c r="I676" s="74" t="s">
        <v>114</v>
      </c>
      <c r="J676" s="75"/>
      <c r="K676" s="26"/>
      <c r="L676" s="25"/>
      <c r="M676" s="25"/>
      <c r="N676" s="30"/>
      <c r="O676" s="23"/>
      <c r="P676" s="37"/>
      <c r="Q676" s="23"/>
      <c r="R676" s="23"/>
      <c r="S676" s="23"/>
      <c r="T676" s="23"/>
      <c r="U676" s="23"/>
      <c r="V676" s="21"/>
      <c r="W676" s="21"/>
      <c r="X676" s="21"/>
      <c r="Y676" s="21"/>
    </row>
    <row r="677" spans="1:25" x14ac:dyDescent="0.2">
      <c r="A677" s="36" t="s">
        <v>113</v>
      </c>
      <c r="B677" s="23"/>
      <c r="C677" s="26" t="s">
        <v>112</v>
      </c>
      <c r="D677" s="71">
        <f>VLOOKUP(Q639,[94]Base_02!$A$5:$S$24,18,0)</f>
        <v>0</v>
      </c>
      <c r="E677" s="71"/>
      <c r="F677" s="23" t="str">
        <f>IF(D677&gt;0,"LU","LS")</f>
        <v>LS</v>
      </c>
      <c r="G677" s="23"/>
      <c r="H677" s="23"/>
      <c r="I677" s="36" t="s">
        <v>113</v>
      </c>
      <c r="J677" s="26"/>
      <c r="K677" s="26" t="s">
        <v>112</v>
      </c>
      <c r="L677" s="71">
        <f>D677</f>
        <v>0</v>
      </c>
      <c r="M677" s="71"/>
      <c r="N677" s="23" t="str">
        <f>IF(L677&gt;0,"LU","LS")</f>
        <v>LS</v>
      </c>
      <c r="O677" s="23"/>
      <c r="P677" s="37"/>
      <c r="Q677" s="23"/>
      <c r="R677" s="23"/>
      <c r="S677" s="23"/>
      <c r="T677" s="23"/>
      <c r="U677" s="23"/>
      <c r="V677" s="21"/>
      <c r="W677" s="21"/>
      <c r="X677" s="21"/>
      <c r="Y677" s="21"/>
    </row>
    <row r="678" spans="1:25" x14ac:dyDescent="0.2">
      <c r="A678" s="42"/>
      <c r="B678" s="43"/>
      <c r="C678" s="44" t="s">
        <v>111</v>
      </c>
      <c r="D678" s="70">
        <f>VLOOKUP(Q639,[94]Base_02!$A$5:$S$24,19,0)</f>
        <v>0</v>
      </c>
      <c r="E678" s="70"/>
      <c r="F678" s="43" t="s">
        <v>110</v>
      </c>
      <c r="G678" s="43"/>
      <c r="H678" s="43"/>
      <c r="I678" s="42"/>
      <c r="J678" s="43"/>
      <c r="K678" s="43"/>
      <c r="L678" s="70">
        <f>D678</f>
        <v>0</v>
      </c>
      <c r="M678" s="70"/>
      <c r="N678" s="47" t="s">
        <v>110</v>
      </c>
      <c r="O678" s="44"/>
      <c r="P678" s="53"/>
      <c r="Q678" s="23"/>
      <c r="R678" s="23"/>
      <c r="S678" s="23"/>
      <c r="T678" s="23"/>
      <c r="U678" s="23"/>
      <c r="V678" s="21"/>
      <c r="W678" s="21"/>
      <c r="X678" s="21"/>
      <c r="Y678" s="21"/>
    </row>
    <row r="679" spans="1:25" x14ac:dyDescent="0.2">
      <c r="A679" s="23"/>
      <c r="B679" s="23"/>
      <c r="C679" s="26"/>
      <c r="D679" s="23"/>
      <c r="E679" s="23"/>
      <c r="F679" s="23"/>
      <c r="G679" s="23"/>
      <c r="H679" s="23"/>
      <c r="I679" s="23"/>
      <c r="J679" s="23"/>
      <c r="K679" s="25"/>
      <c r="L679" s="25"/>
      <c r="M679" s="30"/>
      <c r="N679" s="23"/>
      <c r="O679" s="23"/>
      <c r="P679" s="23"/>
      <c r="Q679" s="23"/>
      <c r="R679" s="23"/>
      <c r="S679" s="23"/>
      <c r="T679" s="23"/>
      <c r="U679" s="23"/>
      <c r="V679" s="23"/>
      <c r="W679" s="23"/>
      <c r="X679" s="23"/>
      <c r="Y679" s="23"/>
    </row>
    <row r="680" spans="1:25" x14ac:dyDescent="0.2">
      <c r="A680" s="23"/>
      <c r="B680" s="23"/>
      <c r="C680" s="23"/>
      <c r="D680" s="23"/>
      <c r="E680" s="23"/>
      <c r="F680" s="23"/>
      <c r="G680" s="23"/>
      <c r="H680" s="23"/>
      <c r="I680" s="23"/>
      <c r="J680" s="23"/>
      <c r="K680" s="23"/>
      <c r="L680" s="23"/>
      <c r="M680" s="30"/>
      <c r="N680" s="23"/>
      <c r="O680" s="23"/>
      <c r="P680" s="23"/>
      <c r="Q680" s="23"/>
      <c r="R680" s="23"/>
      <c r="S680" s="23"/>
      <c r="T680" s="23"/>
      <c r="U680" s="23"/>
      <c r="V680" s="23"/>
      <c r="W680" s="23"/>
      <c r="X680" s="23"/>
      <c r="Y680" s="23"/>
    </row>
    <row r="681" spans="1:25" x14ac:dyDescent="0.2">
      <c r="A681" s="23"/>
      <c r="B681" s="23"/>
      <c r="C681" s="23"/>
      <c r="D681" s="23"/>
      <c r="E681" s="23"/>
      <c r="F681" s="23"/>
      <c r="G681" s="23"/>
      <c r="H681" s="23"/>
      <c r="I681" s="23"/>
      <c r="J681" s="23"/>
      <c r="K681" s="23"/>
      <c r="L681" s="71" t="str">
        <f>[94]Base_01!$C$4&amp;", …..  …........................  2026"</f>
        <v>Sorong, …..  …........................  2026</v>
      </c>
      <c r="M681" s="71"/>
      <c r="N681" s="71"/>
      <c r="O681" s="71"/>
      <c r="P681" s="71"/>
      <c r="Q681" s="23"/>
      <c r="R681" s="23"/>
      <c r="S681" s="23"/>
      <c r="T681" s="23"/>
      <c r="U681" s="23"/>
      <c r="V681" s="23"/>
      <c r="W681" s="23"/>
      <c r="X681" s="23"/>
      <c r="Y681" s="23"/>
    </row>
    <row r="682" spans="1:25" x14ac:dyDescent="0.2">
      <c r="A682" s="71" t="s">
        <v>108</v>
      </c>
      <c r="B682" s="71"/>
      <c r="C682" s="71"/>
      <c r="D682" s="71"/>
      <c r="E682" s="71"/>
      <c r="F682" s="71"/>
      <c r="G682" s="23"/>
      <c r="H682" s="23"/>
      <c r="I682" s="23"/>
      <c r="J682" s="23"/>
      <c r="K682" s="23"/>
      <c r="L682" s="71" t="s">
        <v>152</v>
      </c>
      <c r="M682" s="71"/>
      <c r="N682" s="71"/>
      <c r="O682" s="71"/>
      <c r="P682" s="71"/>
      <c r="Q682" s="23"/>
      <c r="R682" s="23"/>
      <c r="S682" s="23"/>
      <c r="T682" s="23"/>
      <c r="U682" s="23"/>
      <c r="V682" s="23"/>
      <c r="W682" s="23"/>
      <c r="X682" s="23"/>
      <c r="Y682" s="23"/>
    </row>
    <row r="683" spans="1:25" x14ac:dyDescent="0.2">
      <c r="A683" s="71" t="s">
        <v>153</v>
      </c>
      <c r="B683" s="71"/>
      <c r="C683" s="71"/>
      <c r="D683" s="71"/>
      <c r="E683" s="71"/>
      <c r="F683" s="71"/>
      <c r="G683" s="23"/>
      <c r="H683" s="23"/>
      <c r="I683" s="23"/>
      <c r="J683" s="23"/>
      <c r="K683" s="23"/>
      <c r="L683" s="71" t="s">
        <v>107</v>
      </c>
      <c r="M683" s="71"/>
      <c r="N683" s="71"/>
      <c r="O683" s="71"/>
      <c r="P683" s="71"/>
      <c r="Q683" s="23"/>
      <c r="R683" s="23"/>
      <c r="S683" s="23"/>
      <c r="T683" s="23"/>
      <c r="U683" s="23"/>
      <c r="V683" s="23"/>
      <c r="W683" s="23"/>
      <c r="X683" s="23"/>
      <c r="Y683" s="23"/>
    </row>
    <row r="684" spans="1:25" x14ac:dyDescent="0.2">
      <c r="A684" s="23"/>
      <c r="B684" s="23"/>
      <c r="C684" s="23"/>
      <c r="D684" s="23"/>
      <c r="E684" s="23"/>
      <c r="F684" s="23"/>
      <c r="G684" s="23"/>
      <c r="H684" s="23"/>
      <c r="I684" s="23"/>
      <c r="J684" s="23"/>
      <c r="K684" s="23"/>
      <c r="L684" s="23"/>
      <c r="M684" s="30"/>
      <c r="N684" s="23"/>
      <c r="O684" s="23"/>
      <c r="P684" s="23"/>
      <c r="Q684" s="23"/>
      <c r="R684" s="23"/>
      <c r="S684" s="23"/>
      <c r="T684" s="23"/>
      <c r="U684" s="23"/>
      <c r="V684" s="23"/>
      <c r="W684" s="23"/>
      <c r="X684" s="23"/>
      <c r="Y684" s="23"/>
    </row>
    <row r="685" spans="1:25" x14ac:dyDescent="0.2">
      <c r="A685" s="23"/>
      <c r="B685" s="23"/>
      <c r="C685" s="23"/>
      <c r="D685" s="23"/>
      <c r="E685" s="23"/>
      <c r="F685" s="23"/>
      <c r="G685" s="23"/>
      <c r="H685" s="23"/>
      <c r="I685" s="23"/>
      <c r="J685" s="23"/>
      <c r="K685" s="23"/>
      <c r="L685" s="23"/>
      <c r="M685" s="30"/>
      <c r="N685" s="23"/>
      <c r="O685" s="23"/>
      <c r="P685" s="23"/>
      <c r="Q685" s="23"/>
      <c r="R685" s="23"/>
      <c r="S685" s="23"/>
      <c r="T685" s="23"/>
      <c r="U685" s="23"/>
      <c r="V685" s="23"/>
      <c r="W685" s="23"/>
      <c r="X685" s="23"/>
      <c r="Y685" s="23"/>
    </row>
    <row r="686" spans="1:25" x14ac:dyDescent="0.2">
      <c r="A686" s="23"/>
      <c r="B686" s="23"/>
      <c r="C686" s="23"/>
      <c r="D686" s="23"/>
      <c r="E686" s="23"/>
      <c r="F686" s="23"/>
      <c r="G686" s="23"/>
      <c r="H686" s="23"/>
      <c r="I686" s="23"/>
      <c r="J686" s="23"/>
      <c r="K686" s="23"/>
      <c r="L686" s="23"/>
      <c r="M686" s="30"/>
      <c r="N686" s="23"/>
      <c r="O686" s="23"/>
      <c r="P686" s="23"/>
      <c r="Q686" s="23"/>
      <c r="R686" s="23"/>
      <c r="S686" s="23"/>
      <c r="T686" s="23"/>
      <c r="U686" s="23"/>
      <c r="V686" s="23"/>
      <c r="W686" s="23"/>
      <c r="X686" s="23"/>
      <c r="Y686" s="23"/>
    </row>
    <row r="687" spans="1:25" x14ac:dyDescent="0.2">
      <c r="A687" s="23"/>
      <c r="B687" s="23"/>
      <c r="C687" s="23"/>
      <c r="D687" s="23"/>
      <c r="E687" s="23"/>
      <c r="F687" s="23"/>
      <c r="G687" s="23"/>
      <c r="H687" s="23"/>
      <c r="I687" s="23"/>
      <c r="J687" s="23"/>
      <c r="K687" s="23"/>
      <c r="L687" s="23"/>
      <c r="M687" s="30"/>
      <c r="N687" s="23"/>
      <c r="O687" s="23"/>
      <c r="P687" s="23"/>
      <c r="Q687" s="23"/>
      <c r="R687" s="23"/>
      <c r="S687" s="23"/>
      <c r="T687" s="23"/>
      <c r="U687" s="23"/>
      <c r="V687" s="23"/>
      <c r="W687" s="23"/>
      <c r="X687" s="23"/>
      <c r="Y687" s="23"/>
    </row>
    <row r="688" spans="1:25" x14ac:dyDescent="0.2">
      <c r="A688" s="87" t="str">
        <f>[94]Base_02!$C$28</f>
        <v>Nama PB 1</v>
      </c>
      <c r="B688" s="87"/>
      <c r="C688" s="87"/>
      <c r="D688" s="87"/>
      <c r="E688" s="87"/>
      <c r="F688" s="87"/>
      <c r="G688" s="23"/>
      <c r="H688" s="23"/>
      <c r="I688" s="23"/>
      <c r="J688" s="23"/>
      <c r="K688" s="23"/>
      <c r="L688" s="71" t="str">
        <f>E644</f>
        <v>Nama PB 12</v>
      </c>
      <c r="M688" s="71"/>
      <c r="N688" s="71"/>
      <c r="O688" s="71"/>
      <c r="P688" s="71"/>
      <c r="Q688" s="23"/>
      <c r="R688" s="23"/>
      <c r="S688" s="23"/>
      <c r="T688" s="23"/>
      <c r="U688" s="23"/>
      <c r="V688" s="23"/>
      <c r="W688" s="23"/>
      <c r="X688" s="23"/>
      <c r="Y688" s="23"/>
    </row>
    <row r="689" spans="1:25" x14ac:dyDescent="0.2">
      <c r="A689" s="23"/>
      <c r="B689" s="23"/>
      <c r="C689" s="23"/>
      <c r="D689" s="23"/>
      <c r="E689" s="23"/>
      <c r="F689" s="23"/>
      <c r="G689" s="23"/>
      <c r="H689" s="23"/>
      <c r="I689" s="23"/>
      <c r="J689" s="23"/>
      <c r="K689" s="23"/>
      <c r="L689" s="23"/>
      <c r="M689" s="30"/>
      <c r="N689" s="23"/>
      <c r="O689" s="23"/>
      <c r="P689" s="23"/>
      <c r="Q689" s="23"/>
      <c r="R689" s="23"/>
      <c r="S689" s="23"/>
      <c r="T689" s="23"/>
      <c r="U689" s="23"/>
      <c r="V689" s="23"/>
      <c r="W689" s="23"/>
      <c r="X689" s="23"/>
      <c r="Y689" s="23"/>
    </row>
    <row r="690" spans="1:25" x14ac:dyDescent="0.2">
      <c r="A690" s="87" t="s">
        <v>109</v>
      </c>
      <c r="B690" s="87"/>
      <c r="C690" s="87"/>
      <c r="D690" s="87"/>
      <c r="E690" s="87"/>
      <c r="F690" s="87"/>
      <c r="G690" s="23"/>
      <c r="H690" s="23"/>
      <c r="I690" s="29"/>
      <c r="J690" s="24"/>
      <c r="K690" s="24"/>
      <c r="L690" s="88" t="s">
        <v>92</v>
      </c>
      <c r="M690" s="88"/>
      <c r="N690" s="88"/>
      <c r="O690" s="88"/>
      <c r="P690" s="88"/>
      <c r="Q690" s="23"/>
      <c r="R690" s="23"/>
      <c r="S690" s="23"/>
      <c r="T690" s="23"/>
      <c r="U690" s="23"/>
      <c r="V690" s="23"/>
      <c r="W690" s="23"/>
      <c r="X690" s="23"/>
      <c r="Y690" s="23"/>
    </row>
    <row r="691" spans="1:25" x14ac:dyDescent="0.2">
      <c r="A691" s="68" t="s">
        <v>91</v>
      </c>
      <c r="B691" s="68"/>
      <c r="C691" s="68"/>
      <c r="D691" s="68"/>
      <c r="E691" s="68"/>
      <c r="F691" s="68"/>
      <c r="I691" s="28"/>
      <c r="J691" s="28"/>
      <c r="K691" s="28"/>
      <c r="L691" s="69" t="str">
        <f>[94]Base_01!$B$17&amp;" "&amp;[94]Base_01!$C$4</f>
        <v>Koordinator Kota Sorong</v>
      </c>
      <c r="M691" s="69"/>
      <c r="N691" s="69"/>
      <c r="O691" s="69"/>
      <c r="P691" s="69"/>
      <c r="Q691" s="23"/>
      <c r="R691" s="23"/>
      <c r="S691" s="23"/>
      <c r="T691" s="23"/>
      <c r="U691" s="23"/>
      <c r="V691" s="23"/>
      <c r="W691" s="23"/>
      <c r="X691" s="23"/>
      <c r="Y691" s="23"/>
    </row>
    <row r="692" spans="1:25" x14ac:dyDescent="0.2">
      <c r="M692" s="27"/>
      <c r="Q692" s="23"/>
      <c r="R692" s="23"/>
      <c r="S692" s="23"/>
      <c r="T692" s="23"/>
      <c r="U692" s="23"/>
      <c r="V692" s="23"/>
      <c r="W692" s="23"/>
      <c r="X692" s="23"/>
      <c r="Y692" s="23"/>
    </row>
    <row r="693" spans="1:25" x14ac:dyDescent="0.2">
      <c r="M693" s="27"/>
      <c r="Q693" s="23"/>
      <c r="R693" s="23"/>
      <c r="S693" s="23"/>
      <c r="T693" s="23"/>
      <c r="U693" s="23"/>
      <c r="V693" s="23"/>
      <c r="W693" s="23"/>
      <c r="X693" s="23"/>
      <c r="Y693" s="23"/>
    </row>
    <row r="694" spans="1:25" x14ac:dyDescent="0.2">
      <c r="M694" s="27"/>
      <c r="Q694" s="23"/>
      <c r="R694" s="23"/>
      <c r="S694" s="23"/>
      <c r="T694" s="23"/>
      <c r="U694" s="23"/>
      <c r="V694" s="23"/>
      <c r="W694" s="23"/>
      <c r="X694" s="23"/>
      <c r="Y694" s="23"/>
    </row>
    <row r="695" spans="1:25" x14ac:dyDescent="0.2">
      <c r="M695" s="27"/>
      <c r="Q695" s="23"/>
      <c r="R695" s="23"/>
      <c r="S695" s="23"/>
      <c r="T695" s="23"/>
      <c r="U695" s="23"/>
      <c r="V695" s="23"/>
      <c r="W695" s="23"/>
      <c r="X695" s="23"/>
      <c r="Y695" s="23"/>
    </row>
    <row r="696" spans="1:25" x14ac:dyDescent="0.2">
      <c r="A696" s="68" t="str">
        <f>[94]Base_01!$C$20</f>
        <v>…...............         …...............</v>
      </c>
      <c r="B696" s="68"/>
      <c r="C696" s="68"/>
      <c r="D696" s="68"/>
      <c r="E696" s="68"/>
      <c r="F696" s="68"/>
      <c r="L696" s="68" t="str">
        <f>[94]Base_01!$C$17</f>
        <v>AfrIandi Yudhistira, S.T.</v>
      </c>
      <c r="M696" s="68"/>
      <c r="N696" s="68"/>
      <c r="O696" s="68"/>
      <c r="P696" s="68"/>
      <c r="Q696" s="23"/>
      <c r="R696" s="23"/>
      <c r="S696" s="23"/>
      <c r="T696" s="23"/>
      <c r="U696" s="23"/>
      <c r="V696" s="23"/>
      <c r="W696" s="23"/>
      <c r="X696" s="23"/>
      <c r="Y696" s="23"/>
    </row>
    <row r="697" spans="1:25" x14ac:dyDescent="0.2">
      <c r="A697" s="86" t="s">
        <v>149</v>
      </c>
      <c r="B697" s="86"/>
      <c r="C697" s="86"/>
      <c r="D697" s="86"/>
      <c r="E697" s="86"/>
      <c r="F697" s="86"/>
      <c r="G697" s="86"/>
      <c r="H697" s="86"/>
      <c r="I697" s="86"/>
      <c r="J697" s="86"/>
      <c r="K697" s="86"/>
      <c r="L697" s="86"/>
      <c r="M697" s="86"/>
      <c r="N697" s="86"/>
      <c r="O697" s="86"/>
      <c r="P697" s="86"/>
      <c r="Q697" s="23">
        <f>Q639+1</f>
        <v>13</v>
      </c>
      <c r="R697" s="23"/>
      <c r="S697" s="23"/>
      <c r="T697" s="23"/>
      <c r="U697" s="23"/>
      <c r="V697" s="23"/>
      <c r="W697" s="23"/>
      <c r="X697" s="23"/>
      <c r="Y697" s="23"/>
    </row>
    <row r="698" spans="1:25" x14ac:dyDescent="0.2">
      <c r="A698" s="71" t="s">
        <v>148</v>
      </c>
      <c r="B698" s="71"/>
      <c r="C698" s="71"/>
      <c r="D698" s="71"/>
      <c r="E698" s="71"/>
      <c r="F698" s="71"/>
      <c r="G698" s="71"/>
      <c r="H698" s="71"/>
      <c r="I698" s="71"/>
      <c r="J698" s="71"/>
      <c r="K698" s="71"/>
      <c r="L698" s="71"/>
      <c r="M698" s="71"/>
      <c r="N698" s="71"/>
      <c r="O698" s="71"/>
      <c r="P698" s="71"/>
      <c r="Q698" s="23"/>
      <c r="R698" s="23"/>
      <c r="S698" s="23"/>
      <c r="T698" s="23"/>
      <c r="U698" s="23"/>
      <c r="V698" s="23"/>
      <c r="W698" s="23"/>
      <c r="X698" s="23"/>
      <c r="Y698" s="23"/>
    </row>
    <row r="699" spans="1:25" x14ac:dyDescent="0.2">
      <c r="A699" s="25"/>
      <c r="B699" s="25"/>
      <c r="C699" s="25"/>
      <c r="D699" s="25"/>
      <c r="E699" s="25"/>
      <c r="F699" s="25"/>
      <c r="G699" s="25"/>
      <c r="H699" s="25"/>
      <c r="I699" s="23"/>
      <c r="J699" s="24"/>
      <c r="K699" s="24"/>
      <c r="L699" s="24"/>
      <c r="M699" s="24"/>
      <c r="N699" s="24"/>
      <c r="O699" s="24"/>
      <c r="P699" s="24"/>
      <c r="Q699" s="23"/>
      <c r="R699" s="23"/>
      <c r="S699" s="23"/>
      <c r="T699" s="23"/>
      <c r="U699" s="23"/>
      <c r="V699" s="23"/>
      <c r="W699" s="23"/>
      <c r="X699" s="23"/>
      <c r="Y699" s="23"/>
    </row>
    <row r="700" spans="1:25" x14ac:dyDescent="0.2">
      <c r="A700" s="73" t="s">
        <v>147</v>
      </c>
      <c r="B700" s="73"/>
      <c r="C700" s="73"/>
      <c r="D700" s="73"/>
      <c r="E700" s="35" t="str">
        <f>VLOOKUP(Q697,[94]Base_02!$A$5:$AD$24,2,0)</f>
        <v>000013</v>
      </c>
      <c r="F700" s="23"/>
      <c r="G700" s="23"/>
      <c r="H700" s="24"/>
      <c r="I700" s="23"/>
      <c r="J700" s="24"/>
      <c r="K700" s="24"/>
      <c r="L700" s="24"/>
      <c r="M700" s="24"/>
      <c r="N700" s="24"/>
      <c r="O700" s="24"/>
      <c r="P700" s="24"/>
      <c r="Q700" s="23"/>
      <c r="R700" s="23"/>
      <c r="S700" s="23"/>
      <c r="T700" s="23"/>
      <c r="U700" s="23"/>
      <c r="V700" s="23"/>
      <c r="W700" s="23"/>
      <c r="X700" s="23"/>
      <c r="Y700" s="23"/>
    </row>
    <row r="701" spans="1:25" x14ac:dyDescent="0.2">
      <c r="A701" s="73" t="s">
        <v>68</v>
      </c>
      <c r="B701" s="73"/>
      <c r="C701" s="73"/>
      <c r="D701" s="73"/>
      <c r="E701" s="35">
        <f>VLOOKUP(Q697,[94]Base_02!$A$5:$AD$24,14,0)</f>
        <v>0</v>
      </c>
      <c r="F701" s="23"/>
      <c r="G701" s="23"/>
      <c r="H701" s="24"/>
      <c r="I701" s="23"/>
      <c r="J701" s="24"/>
      <c r="K701" s="24"/>
      <c r="L701" s="24"/>
      <c r="M701" s="24"/>
      <c r="N701" s="24"/>
      <c r="O701" s="24"/>
      <c r="P701" s="24"/>
      <c r="Q701" s="23"/>
      <c r="R701" s="23"/>
      <c r="S701" s="23"/>
      <c r="T701" s="23"/>
      <c r="U701" s="23"/>
      <c r="V701" s="23"/>
      <c r="W701" s="23"/>
      <c r="X701" s="23"/>
      <c r="Y701" s="23"/>
    </row>
    <row r="702" spans="1:25" x14ac:dyDescent="0.2">
      <c r="A702" s="73" t="s">
        <v>150</v>
      </c>
      <c r="B702" s="73"/>
      <c r="C702" s="73"/>
      <c r="D702" s="73"/>
      <c r="E702" s="35" t="str">
        <f>VLOOKUP(Q697,[94]Base_02!$A$5:$AD$24,3,0)</f>
        <v>Nama PB 13</v>
      </c>
      <c r="F702" s="23"/>
      <c r="G702" s="23"/>
      <c r="H702" s="24"/>
      <c r="I702" s="23"/>
      <c r="J702" s="24"/>
      <c r="K702" s="24"/>
      <c r="L702" s="24"/>
      <c r="M702" s="24"/>
      <c r="N702" s="24"/>
      <c r="O702" s="24"/>
      <c r="P702" s="24"/>
      <c r="Q702" s="23"/>
      <c r="R702" s="23"/>
      <c r="S702" s="23"/>
      <c r="T702" s="23"/>
      <c r="U702" s="23"/>
      <c r="V702" s="23"/>
      <c r="W702" s="23"/>
      <c r="X702" s="23"/>
      <c r="Y702" s="23"/>
    </row>
    <row r="703" spans="1:25" x14ac:dyDescent="0.2">
      <c r="A703" s="73" t="s">
        <v>18</v>
      </c>
      <c r="B703" s="73"/>
      <c r="C703" s="73"/>
      <c r="D703" s="73"/>
      <c r="E703" s="35" t="str">
        <f>VLOOKUP(Q697,[94]Base_02!$A$5:$Z$24,11,FALSE)&amp;", RT "&amp;VLOOKUP(Q697,[94]Base_02!$A$5:$Z$24,12,FALSE)&amp;", RW "&amp;VLOOKUP(Q697,[94]Base_02!$A$5:$Z$24,13,FALSE)</f>
        <v>Jalan Kanal Victory, RT 2, RW 1</v>
      </c>
      <c r="F703" s="23"/>
      <c r="G703" s="23"/>
      <c r="H703" s="35"/>
      <c r="I703" s="23"/>
      <c r="J703" s="24"/>
      <c r="K703" s="24"/>
      <c r="L703" s="24"/>
      <c r="M703" s="24"/>
      <c r="N703" s="24"/>
      <c r="O703" s="24"/>
      <c r="P703" s="24"/>
      <c r="Q703" s="23"/>
      <c r="R703" s="23"/>
      <c r="S703" s="23"/>
      <c r="T703" s="23"/>
      <c r="U703" s="23"/>
      <c r="V703" s="23"/>
      <c r="W703" s="23"/>
      <c r="X703" s="23"/>
      <c r="Y703" s="23"/>
    </row>
    <row r="704" spans="1:25" x14ac:dyDescent="0.2">
      <c r="A704" s="73" t="str">
        <f>[94]Base_01!$B$2</f>
        <v>Kelurahan</v>
      </c>
      <c r="B704" s="73"/>
      <c r="C704" s="73"/>
      <c r="D704" s="73"/>
      <c r="E704" s="35" t="str">
        <f>[94]Base_01!$C$2</f>
        <v>Klasabi</v>
      </c>
      <c r="F704" s="23"/>
      <c r="G704" s="23"/>
      <c r="H704" s="24"/>
      <c r="I704" s="23"/>
      <c r="J704" s="24"/>
      <c r="K704" s="24"/>
      <c r="L704" s="24"/>
      <c r="M704" s="24"/>
      <c r="N704" s="24"/>
      <c r="O704" s="24"/>
      <c r="P704" s="24"/>
      <c r="Q704" s="23" t="s">
        <v>146</v>
      </c>
      <c r="R704" s="23"/>
      <c r="S704" s="23"/>
      <c r="T704" s="23"/>
      <c r="U704" s="23"/>
      <c r="V704" s="23"/>
      <c r="W704" s="23"/>
      <c r="X704" s="23"/>
      <c r="Y704" s="23"/>
    </row>
    <row r="705" spans="1:25" x14ac:dyDescent="0.2">
      <c r="A705" s="73" t="s">
        <v>19</v>
      </c>
      <c r="B705" s="73"/>
      <c r="C705" s="73"/>
      <c r="D705" s="73"/>
      <c r="E705" s="35" t="str">
        <f>[94]Base_01!$C$3</f>
        <v>Sorong Manoi</v>
      </c>
      <c r="F705" s="23"/>
      <c r="G705" s="23"/>
      <c r="H705" s="24"/>
      <c r="I705" s="23"/>
      <c r="J705" s="24"/>
      <c r="K705" s="24"/>
      <c r="L705" s="24"/>
      <c r="M705" s="24"/>
      <c r="N705" s="24"/>
      <c r="O705" s="24"/>
      <c r="P705" s="24"/>
      <c r="Q705" s="23" t="s">
        <v>145</v>
      </c>
      <c r="R705" s="23"/>
      <c r="S705" s="23"/>
      <c r="T705" s="23"/>
      <c r="U705" s="23"/>
      <c r="V705" s="23"/>
      <c r="W705" s="23"/>
      <c r="X705" s="23"/>
      <c r="Y705" s="23"/>
    </row>
    <row r="706" spans="1:25" x14ac:dyDescent="0.2">
      <c r="A706" s="73" t="str">
        <f>[94]Base_01!$B$4</f>
        <v>Kota</v>
      </c>
      <c r="B706" s="73"/>
      <c r="C706" s="73"/>
      <c r="D706" s="73"/>
      <c r="E706" s="35" t="str">
        <f>[94]Base_01!$C$4</f>
        <v>Sorong</v>
      </c>
      <c r="F706" s="23"/>
      <c r="G706" s="23"/>
      <c r="H706" s="24"/>
      <c r="I706" s="23"/>
      <c r="J706" s="24"/>
      <c r="K706" s="24"/>
      <c r="L706" s="24"/>
      <c r="M706" s="24"/>
      <c r="N706" s="24"/>
      <c r="O706" s="24"/>
      <c r="P706" s="24"/>
      <c r="Q706" s="23" t="s">
        <v>144</v>
      </c>
      <c r="R706" s="23"/>
      <c r="S706" s="23"/>
      <c r="T706" s="23"/>
      <c r="U706" s="23"/>
      <c r="V706" s="23"/>
      <c r="W706" s="23"/>
      <c r="X706" s="23"/>
      <c r="Y706" s="23"/>
    </row>
    <row r="707" spans="1:25" x14ac:dyDescent="0.2">
      <c r="A707" s="73" t="str">
        <f>[94]Base_01!$B$5</f>
        <v>Provinsi</v>
      </c>
      <c r="B707" s="73"/>
      <c r="C707" s="73"/>
      <c r="D707" s="73"/>
      <c r="E707" s="23" t="str">
        <f>[94]Base_01!$C$5</f>
        <v>Papua Barat Daya</v>
      </c>
      <c r="F707" s="23"/>
      <c r="G707" s="24"/>
      <c r="H707" s="24"/>
      <c r="I707" s="23"/>
      <c r="J707" s="24"/>
      <c r="K707" s="24"/>
      <c r="L707" s="24"/>
      <c r="M707" s="24"/>
      <c r="N707" s="24"/>
      <c r="O707" s="24"/>
      <c r="P707" s="24"/>
      <c r="Q707" s="23" t="s">
        <v>143</v>
      </c>
      <c r="R707" s="23"/>
      <c r="S707" s="23"/>
      <c r="T707" s="23"/>
      <c r="U707" s="23"/>
      <c r="V707" s="23"/>
      <c r="W707" s="23"/>
      <c r="X707" s="23"/>
      <c r="Y707" s="23"/>
    </row>
    <row r="708" spans="1:25" x14ac:dyDescent="0.2">
      <c r="A708" s="23"/>
      <c r="B708" s="23"/>
      <c r="C708" s="23"/>
      <c r="D708" s="23"/>
      <c r="E708" s="23"/>
      <c r="F708" s="23"/>
      <c r="G708" s="23"/>
      <c r="H708" s="23"/>
      <c r="I708" s="24"/>
      <c r="J708" s="24"/>
      <c r="K708" s="24"/>
      <c r="L708" s="24"/>
      <c r="M708" s="24"/>
      <c r="N708" s="24"/>
      <c r="O708" s="24"/>
      <c r="P708" s="24"/>
      <c r="Q708" s="23"/>
      <c r="R708" s="23"/>
      <c r="S708" s="23"/>
      <c r="T708" s="23"/>
      <c r="U708" s="23"/>
      <c r="V708" s="23"/>
      <c r="W708" s="23"/>
      <c r="X708" s="23"/>
      <c r="Y708" s="23"/>
    </row>
    <row r="709" spans="1:25" x14ac:dyDescent="0.2">
      <c r="A709" s="33"/>
      <c r="B709" s="33"/>
      <c r="C709" s="33"/>
      <c r="D709" s="33"/>
      <c r="E709" s="33"/>
      <c r="F709" s="33"/>
      <c r="G709" s="33"/>
      <c r="H709" s="33"/>
      <c r="I709" s="33"/>
      <c r="J709" s="33"/>
      <c r="K709" s="33"/>
      <c r="L709" s="33"/>
      <c r="M709" s="34"/>
      <c r="N709" s="33"/>
      <c r="O709" s="33"/>
      <c r="P709" s="33"/>
      <c r="Q709" s="23"/>
      <c r="R709" s="23"/>
      <c r="S709" s="23"/>
      <c r="T709" s="23"/>
      <c r="U709" s="23"/>
      <c r="V709" s="23"/>
      <c r="W709" s="23"/>
      <c r="X709" s="23"/>
      <c r="Y709" s="23"/>
    </row>
    <row r="710" spans="1:25" x14ac:dyDescent="0.2">
      <c r="A710" s="80" t="s">
        <v>142</v>
      </c>
      <c r="B710" s="81"/>
      <c r="C710" s="81"/>
      <c r="D710" s="81"/>
      <c r="E710" s="81"/>
      <c r="F710" s="81"/>
      <c r="G710" s="81"/>
      <c r="H710" s="81"/>
      <c r="I710" s="80" t="s">
        <v>151</v>
      </c>
      <c r="J710" s="81"/>
      <c r="K710" s="81"/>
      <c r="L710" s="81"/>
      <c r="M710" s="81"/>
      <c r="N710" s="81"/>
      <c r="O710" s="81"/>
      <c r="P710" s="82"/>
      <c r="Q710" s="23"/>
      <c r="R710" s="23"/>
      <c r="S710" s="23"/>
      <c r="T710" s="23"/>
      <c r="U710" s="23"/>
      <c r="V710" s="21"/>
      <c r="W710" s="21"/>
      <c r="X710" s="21"/>
      <c r="Y710" s="21"/>
    </row>
    <row r="711" spans="1:25" x14ac:dyDescent="0.2">
      <c r="A711" s="48"/>
      <c r="B711" s="49"/>
      <c r="C711" s="49"/>
      <c r="D711" s="50"/>
      <c r="E711" s="50"/>
      <c r="F711" s="49"/>
      <c r="G711" s="49"/>
      <c r="H711" s="49"/>
      <c r="I711" s="48"/>
      <c r="J711" s="49"/>
      <c r="K711" s="49"/>
      <c r="L711" s="50"/>
      <c r="M711" s="50"/>
      <c r="N711" s="49"/>
      <c r="O711" s="49"/>
      <c r="P711" s="51"/>
      <c r="Q711" s="23"/>
      <c r="R711" s="23"/>
      <c r="S711" s="23"/>
      <c r="T711" s="23"/>
      <c r="U711" s="23"/>
      <c r="V711" s="21"/>
      <c r="W711" s="21"/>
      <c r="X711" s="21"/>
      <c r="Y711" s="21"/>
    </row>
    <row r="712" spans="1:25" ht="16" x14ac:dyDescent="0.2">
      <c r="A712" s="36" t="s">
        <v>141</v>
      </c>
      <c r="B712" s="23"/>
      <c r="C712" s="26" t="s">
        <v>112</v>
      </c>
      <c r="D712" s="83">
        <f>VLOOKUP(Q697,[95]Base_03!$A$5:$AS$24,5,0)</f>
        <v>36</v>
      </c>
      <c r="E712" s="84"/>
      <c r="F712" s="23" t="s">
        <v>140</v>
      </c>
      <c r="G712" s="23"/>
      <c r="H712" s="23"/>
      <c r="I712" s="36" t="s">
        <v>141</v>
      </c>
      <c r="J712" s="26"/>
      <c r="K712" s="26" t="s">
        <v>119</v>
      </c>
      <c r="L712" s="85">
        <f>VLOOKUP(Q697,[95]Base_04!$A$5:$AS$24,5,0)</f>
        <v>49</v>
      </c>
      <c r="M712" s="85"/>
      <c r="N712" s="30" t="s">
        <v>140</v>
      </c>
      <c r="O712" s="23"/>
      <c r="P712" s="37"/>
      <c r="Q712" s="23"/>
      <c r="R712" s="23"/>
      <c r="S712" s="23"/>
      <c r="T712" s="23"/>
      <c r="U712" s="23"/>
      <c r="V712" s="21"/>
      <c r="W712" s="21"/>
      <c r="X712" s="21"/>
      <c r="Y712" s="21"/>
    </row>
    <row r="713" spans="1:25" ht="15" customHeight="1" x14ac:dyDescent="0.2">
      <c r="A713" s="38" t="s">
        <v>139</v>
      </c>
      <c r="B713" s="23"/>
      <c r="C713" s="26"/>
      <c r="D713" s="79" t="s">
        <v>131</v>
      </c>
      <c r="E713" s="79"/>
      <c r="F713" s="79" t="s">
        <v>130</v>
      </c>
      <c r="G713" s="79"/>
      <c r="H713" s="23"/>
      <c r="I713" s="38" t="s">
        <v>139</v>
      </c>
      <c r="J713" s="23"/>
      <c r="K713" s="26"/>
      <c r="L713" s="79" t="s">
        <v>131</v>
      </c>
      <c r="M713" s="79"/>
      <c r="N713" s="79" t="s">
        <v>130</v>
      </c>
      <c r="O713" s="79"/>
      <c r="P713" s="52"/>
      <c r="Q713" s="23"/>
      <c r="R713" s="23"/>
      <c r="S713" s="23"/>
      <c r="T713" s="23"/>
      <c r="U713" s="23"/>
      <c r="V713" s="21"/>
      <c r="W713" s="21"/>
      <c r="X713" s="21"/>
      <c r="Y713" s="21"/>
    </row>
    <row r="714" spans="1:25" x14ac:dyDescent="0.2">
      <c r="A714" s="39"/>
      <c r="B714" s="23"/>
      <c r="C714" s="26"/>
      <c r="D714" s="79"/>
      <c r="E714" s="79"/>
      <c r="F714" s="79"/>
      <c r="G714" s="79"/>
      <c r="H714" s="23"/>
      <c r="I714" s="39"/>
      <c r="J714" s="23"/>
      <c r="K714" s="26"/>
      <c r="L714" s="79"/>
      <c r="M714" s="79"/>
      <c r="N714" s="79"/>
      <c r="O714" s="79"/>
      <c r="P714" s="52"/>
      <c r="Q714" s="23"/>
      <c r="R714" s="23"/>
      <c r="S714" s="23"/>
      <c r="T714" s="23"/>
      <c r="U714" s="23"/>
      <c r="V714" s="21"/>
      <c r="W714" s="21"/>
      <c r="X714" s="21"/>
      <c r="Y714" s="21"/>
    </row>
    <row r="715" spans="1:25" x14ac:dyDescent="0.2">
      <c r="A715" s="72" t="s">
        <v>138</v>
      </c>
      <c r="B715" s="73"/>
      <c r="C715" s="73" t="s">
        <v>112</v>
      </c>
      <c r="D715" s="78" t="str">
        <f>VLOOKUP(Q697,[95]Base_03!$A$5:$AS$24,6,0)</f>
        <v>BT 13</v>
      </c>
      <c r="E715" s="78"/>
      <c r="F715" s="77">
        <f>VLOOKUP(Q697,[95]Base_03!$A$5:$AS$24,12,0)</f>
        <v>0</v>
      </c>
      <c r="G715" s="77"/>
      <c r="H715" s="23" t="s">
        <v>134</v>
      </c>
      <c r="I715" s="72" t="s">
        <v>138</v>
      </c>
      <c r="J715" s="73"/>
      <c r="K715" s="73"/>
      <c r="L715" s="78" t="str">
        <f>VLOOKUP(Q697,[95]Base_04!$A$5:$AS$24,6,0)</f>
        <v>BT 13</v>
      </c>
      <c r="M715" s="78"/>
      <c r="N715" s="77">
        <f>VLOOKUP(Q697,[95]Base_04!$A$5:$AS$24,12,0)</f>
        <v>0</v>
      </c>
      <c r="O715" s="77"/>
      <c r="P715" s="37" t="s">
        <v>134</v>
      </c>
      <c r="Q715" s="23" t="s">
        <v>123</v>
      </c>
      <c r="R715" s="23"/>
      <c r="S715" s="23"/>
      <c r="T715" s="23"/>
      <c r="U715" s="23"/>
      <c r="V715" s="21"/>
      <c r="W715" s="21"/>
      <c r="X715" s="21"/>
      <c r="Y715" s="21"/>
    </row>
    <row r="716" spans="1:25" x14ac:dyDescent="0.2">
      <c r="A716" s="72" t="s">
        <v>137</v>
      </c>
      <c r="B716" s="73"/>
      <c r="C716" s="73" t="s">
        <v>112</v>
      </c>
      <c r="D716" s="78" t="str">
        <f>VLOOKUP(Q697,[95]Base_03!$A$5:$AS$24,13,0)</f>
        <v>S 13</v>
      </c>
      <c r="E716" s="78"/>
      <c r="F716" s="77">
        <f>VLOOKUP(Q697,[95]Base_03!$A$5:$AS$24,15,0)</f>
        <v>0</v>
      </c>
      <c r="G716" s="77"/>
      <c r="H716" s="23" t="s">
        <v>134</v>
      </c>
      <c r="I716" s="72" t="s">
        <v>137</v>
      </c>
      <c r="J716" s="73"/>
      <c r="K716" s="73"/>
      <c r="L716" s="78" t="str">
        <f>VLOOKUP(Q697,[95]Base_04!$A$5:$AS$24,13,0)</f>
        <v>S 13</v>
      </c>
      <c r="M716" s="78"/>
      <c r="N716" s="77">
        <f>VLOOKUP(Q697,[95]Base_04!$A$5:$AS$24,15,0)</f>
        <v>0</v>
      </c>
      <c r="O716" s="77"/>
      <c r="P716" s="37" t="s">
        <v>134</v>
      </c>
      <c r="Q716" s="23" t="s">
        <v>123</v>
      </c>
      <c r="R716" s="23"/>
      <c r="S716" s="23"/>
      <c r="T716" s="23"/>
      <c r="U716" s="23"/>
      <c r="V716" s="21"/>
      <c r="W716" s="21"/>
      <c r="X716" s="21"/>
      <c r="Y716" s="21"/>
    </row>
    <row r="717" spans="1:25" x14ac:dyDescent="0.2">
      <c r="A717" s="72" t="s">
        <v>136</v>
      </c>
      <c r="B717" s="73"/>
      <c r="C717" s="73" t="s">
        <v>112</v>
      </c>
      <c r="D717" s="78" t="str">
        <f>VLOOKUP(Q697,[95]Base_03!$A$5:$AS$24,16,0)</f>
        <v>B 13</v>
      </c>
      <c r="E717" s="78"/>
      <c r="F717" s="77">
        <f>VLOOKUP(Q697,[95]Base_03!$A$5:$AS$24,22,0)</f>
        <v>0</v>
      </c>
      <c r="G717" s="77"/>
      <c r="H717" s="23" t="s">
        <v>134</v>
      </c>
      <c r="I717" s="72" t="s">
        <v>136</v>
      </c>
      <c r="J717" s="73"/>
      <c r="K717" s="73"/>
      <c r="L717" s="78" t="str">
        <f>VLOOKUP(Q697,[95]Base_04!$A$5:$AS$24,16,0)</f>
        <v>B 13</v>
      </c>
      <c r="M717" s="78"/>
      <c r="N717" s="77">
        <f>VLOOKUP(Q697,[95]Base_04!$A$5:$AS$24,22,0)</f>
        <v>0</v>
      </c>
      <c r="O717" s="77"/>
      <c r="P717" s="37" t="s">
        <v>134</v>
      </c>
      <c r="Q717" s="23" t="s">
        <v>123</v>
      </c>
      <c r="R717" s="23"/>
      <c r="S717" s="23"/>
      <c r="T717" s="23"/>
      <c r="U717" s="23"/>
      <c r="V717" s="21"/>
      <c r="W717" s="21"/>
      <c r="X717" s="21"/>
      <c r="Y717" s="21"/>
    </row>
    <row r="718" spans="1:25" x14ac:dyDescent="0.2">
      <c r="A718" s="72" t="s">
        <v>135</v>
      </c>
      <c r="B718" s="73"/>
      <c r="C718" s="73" t="s">
        <v>112</v>
      </c>
      <c r="D718" s="78" t="str">
        <f>VLOOKUP(Q697,[95]Base_03!$A$5:$AS$24,23,0)</f>
        <v>K 13</v>
      </c>
      <c r="E718" s="78"/>
      <c r="F718" s="77">
        <f>VLOOKUP(Q697,[95]Base_03!$A$5:$AS$24,24,0)</f>
        <v>0</v>
      </c>
      <c r="G718" s="77"/>
      <c r="H718" s="23" t="s">
        <v>134</v>
      </c>
      <c r="I718" s="72" t="s">
        <v>135</v>
      </c>
      <c r="J718" s="73"/>
      <c r="K718" s="73"/>
      <c r="L718" s="78" t="str">
        <f>VLOOKUP(Q697,[95]Base_04!$A$5:$AS$24,23,0)</f>
        <v>K 13</v>
      </c>
      <c r="M718" s="78"/>
      <c r="N718" s="77">
        <f>VLOOKUP(Q697,[95]Base_04!$A$5:$AS$24,24,0)</f>
        <v>0</v>
      </c>
      <c r="O718" s="77"/>
      <c r="P718" s="37" t="s">
        <v>134</v>
      </c>
      <c r="Q718" s="23" t="s">
        <v>123</v>
      </c>
      <c r="R718" s="23"/>
      <c r="S718" s="23"/>
      <c r="T718" s="23"/>
      <c r="U718" s="23"/>
      <c r="V718" s="21"/>
      <c r="W718" s="21"/>
      <c r="X718" s="21"/>
      <c r="Y718" s="21"/>
    </row>
    <row r="719" spans="1:25" x14ac:dyDescent="0.2">
      <c r="A719" s="72" t="s">
        <v>133</v>
      </c>
      <c r="B719" s="73"/>
      <c r="C719" s="73" t="s">
        <v>112</v>
      </c>
      <c r="D719" s="78" t="str">
        <f>VLOOKUP(Q697,[95]Base_03!$A$5:$AS$24,25,0)</f>
        <v>K 13</v>
      </c>
      <c r="E719" s="78"/>
      <c r="F719" s="77">
        <f>VLOOKUP(Q697,[95]Base_03!$A$5:$AS$24,26,0)</f>
        <v>73.900834456272094</v>
      </c>
      <c r="G719" s="77"/>
      <c r="H719" s="23" t="s">
        <v>124</v>
      </c>
      <c r="I719" s="72" t="s">
        <v>133</v>
      </c>
      <c r="J719" s="73"/>
      <c r="K719" s="73"/>
      <c r="L719" s="78" t="str">
        <f>VLOOKUP(Q697,[95]Base_04!$A$5:$AS$24,25,0)</f>
        <v>K 13</v>
      </c>
      <c r="M719" s="78"/>
      <c r="N719" s="77">
        <f>VLOOKUP(Q697,[95]Base_04!$A$5:$AS$24,26,0)</f>
        <v>93.530743608719362</v>
      </c>
      <c r="O719" s="77"/>
      <c r="P719" s="37" t="s">
        <v>124</v>
      </c>
      <c r="Q719" s="23" t="s">
        <v>123</v>
      </c>
      <c r="R719" s="23"/>
      <c r="S719" s="23"/>
      <c r="T719" s="23"/>
      <c r="U719" s="23"/>
      <c r="V719" s="21"/>
      <c r="W719" s="21"/>
      <c r="X719" s="21"/>
      <c r="Y719" s="21"/>
    </row>
    <row r="720" spans="1:25" x14ac:dyDescent="0.2">
      <c r="A720" s="40"/>
      <c r="B720" s="31"/>
      <c r="C720" s="31"/>
      <c r="D720" s="41"/>
      <c r="E720" s="41"/>
      <c r="F720" s="30"/>
      <c r="G720" s="23"/>
      <c r="H720" s="23"/>
      <c r="I720" s="40"/>
      <c r="J720" s="31"/>
      <c r="K720" s="31"/>
      <c r="L720" s="41"/>
      <c r="M720" s="41"/>
      <c r="N720" s="30"/>
      <c r="O720" s="23"/>
      <c r="P720" s="37"/>
      <c r="Q720" s="23"/>
      <c r="R720" s="23"/>
      <c r="S720" s="23"/>
      <c r="T720" s="23"/>
      <c r="U720" s="23"/>
      <c r="V720" s="21"/>
      <c r="W720" s="21"/>
      <c r="X720" s="21"/>
      <c r="Y720" s="21"/>
    </row>
    <row r="721" spans="1:25" x14ac:dyDescent="0.2">
      <c r="A721" s="38" t="s">
        <v>132</v>
      </c>
      <c r="B721" s="23"/>
      <c r="C721" s="26"/>
      <c r="D721" s="79" t="s">
        <v>131</v>
      </c>
      <c r="E721" s="79"/>
      <c r="F721" s="79" t="s">
        <v>130</v>
      </c>
      <c r="G721" s="79"/>
      <c r="H721" s="23"/>
      <c r="I721" s="38" t="s">
        <v>132</v>
      </c>
      <c r="J721" s="23"/>
      <c r="K721" s="26"/>
      <c r="L721" s="79" t="s">
        <v>131</v>
      </c>
      <c r="M721" s="79"/>
      <c r="N721" s="79" t="s">
        <v>130</v>
      </c>
      <c r="O721" s="79"/>
      <c r="P721" s="52"/>
      <c r="Q721" s="23"/>
      <c r="R721" s="23"/>
      <c r="S721" s="23"/>
      <c r="T721" s="23"/>
      <c r="U721" s="23"/>
      <c r="V721" s="21"/>
      <c r="W721" s="21"/>
      <c r="X721" s="21"/>
      <c r="Y721" s="21"/>
    </row>
    <row r="722" spans="1:25" x14ac:dyDescent="0.2">
      <c r="A722" s="39"/>
      <c r="B722" s="23"/>
      <c r="C722" s="26"/>
      <c r="D722" s="79"/>
      <c r="E722" s="79"/>
      <c r="F722" s="79"/>
      <c r="G722" s="79"/>
      <c r="H722" s="23"/>
      <c r="I722" s="39"/>
      <c r="J722" s="23"/>
      <c r="K722" s="26"/>
      <c r="L722" s="79"/>
      <c r="M722" s="79"/>
      <c r="N722" s="79"/>
      <c r="O722" s="79"/>
      <c r="P722" s="52"/>
      <c r="Q722" s="23"/>
      <c r="R722" s="23"/>
      <c r="S722" s="23"/>
      <c r="T722" s="23"/>
      <c r="U722" s="23"/>
      <c r="V722" s="21"/>
      <c r="W722" s="21"/>
      <c r="X722" s="21"/>
      <c r="Y722" s="21"/>
    </row>
    <row r="723" spans="1:25" x14ac:dyDescent="0.2">
      <c r="A723" s="72" t="s">
        <v>129</v>
      </c>
      <c r="B723" s="73"/>
      <c r="C723" s="73" t="s">
        <v>119</v>
      </c>
      <c r="D723" s="78" t="str">
        <f>VLOOKUP(Q697,[95]Base_03!$A$5:$AS$24,28,0)</f>
        <v xml:space="preserve"> G 13</v>
      </c>
      <c r="E723" s="78"/>
      <c r="F723" s="77">
        <f>VLOOKUP(Q697,[95]Base_03!$A$5:$AS$24,30,0)</f>
        <v>55</v>
      </c>
      <c r="G723" s="77"/>
      <c r="H723" s="23" t="s">
        <v>124</v>
      </c>
      <c r="I723" s="72" t="s">
        <v>129</v>
      </c>
      <c r="J723" s="73"/>
      <c r="K723" s="73" t="s">
        <v>119</v>
      </c>
      <c r="L723" s="78" t="str">
        <f>VLOOKUP(Q697,[95]Base_04!$A$5:$AS$24,28,0)</f>
        <v xml:space="preserve"> G 13</v>
      </c>
      <c r="M723" s="78"/>
      <c r="N723" s="77">
        <f>VLOOKUP(Q697,[95]Base_04!$A$5:$AS$24,30,0)</f>
        <v>55</v>
      </c>
      <c r="O723" s="77"/>
      <c r="P723" s="37" t="s">
        <v>124</v>
      </c>
      <c r="Q723" s="23" t="s">
        <v>123</v>
      </c>
      <c r="R723" s="23"/>
      <c r="S723" s="23"/>
      <c r="T723" s="23"/>
      <c r="U723" s="23"/>
      <c r="V723" s="21"/>
      <c r="W723" s="21"/>
      <c r="X723" s="21"/>
      <c r="Y723" s="21"/>
    </row>
    <row r="724" spans="1:25" x14ac:dyDescent="0.2">
      <c r="A724" s="72" t="s">
        <v>128</v>
      </c>
      <c r="B724" s="73"/>
      <c r="C724" s="73" t="s">
        <v>119</v>
      </c>
      <c r="D724" s="78" t="str">
        <f>VLOOKUP(Q697,[95]Base_03!$A$5:$AS$24,31,0)</f>
        <v>H 13</v>
      </c>
      <c r="E724" s="78"/>
      <c r="F724" s="77">
        <f>VLOOKUP(Q697,[95]Base_03!$A$5:$AS$24,34,0)</f>
        <v>-5.76</v>
      </c>
      <c r="G724" s="77"/>
      <c r="H724" s="23" t="s">
        <v>124</v>
      </c>
      <c r="I724" s="72" t="s">
        <v>128</v>
      </c>
      <c r="J724" s="73"/>
      <c r="K724" s="73" t="s">
        <v>119</v>
      </c>
      <c r="L724" s="78" t="str">
        <f>VLOOKUP(Q697,[95]Base_04!$A$5:$AS$24,31,0)</f>
        <v>H 13</v>
      </c>
      <c r="M724" s="78"/>
      <c r="N724" s="77">
        <f>VLOOKUP(Q697,[95]Base_04!$A$5:$AS$24,34,0)</f>
        <v>-5.76</v>
      </c>
      <c r="O724" s="77"/>
      <c r="P724" s="37" t="s">
        <v>124</v>
      </c>
      <c r="Q724" s="23" t="s">
        <v>123</v>
      </c>
      <c r="R724" s="23"/>
      <c r="S724" s="23"/>
      <c r="T724" s="23"/>
      <c r="U724" s="23"/>
      <c r="V724" s="21"/>
      <c r="W724" s="21"/>
      <c r="X724" s="21"/>
      <c r="Y724" s="21"/>
    </row>
    <row r="725" spans="1:25" x14ac:dyDescent="0.2">
      <c r="A725" s="89" t="s">
        <v>127</v>
      </c>
      <c r="B725" s="90"/>
      <c r="C725" s="90" t="s">
        <v>119</v>
      </c>
      <c r="D725" s="91" t="str">
        <f>VLOOKUP(Q697,[95]Base_03!$A$5:$AS$24,35,0)</f>
        <v>Kayu</v>
      </c>
      <c r="E725" s="91"/>
      <c r="F725" s="92">
        <f>VLOOKUP(Q697,[95]Base_03!$A$5:$AS$24,36,0)</f>
        <v>5.76</v>
      </c>
      <c r="G725" s="92"/>
      <c r="H725" s="23" t="s">
        <v>124</v>
      </c>
      <c r="I725" s="89" t="s">
        <v>127</v>
      </c>
      <c r="J725" s="90"/>
      <c r="K725" s="90" t="s">
        <v>119</v>
      </c>
      <c r="L725" s="91" t="str">
        <f>VLOOKUP(Q697,[95]Base_04!$A$5:$AS$24,35,0)</f>
        <v>Kayu</v>
      </c>
      <c r="M725" s="91"/>
      <c r="N725" s="92">
        <f>VLOOKUP(Q697,[95]Base_04!$A$5:$AS$24,36,0)</f>
        <v>5.76</v>
      </c>
      <c r="O725" s="92"/>
      <c r="P725" s="37" t="s">
        <v>124</v>
      </c>
      <c r="Q725" s="23" t="s">
        <v>123</v>
      </c>
      <c r="R725" s="23"/>
      <c r="S725" s="23"/>
      <c r="T725" s="23"/>
      <c r="U725" s="23"/>
      <c r="V725" s="21"/>
      <c r="W725" s="21"/>
      <c r="X725" s="21"/>
      <c r="Y725" s="21"/>
    </row>
    <row r="726" spans="1:25" x14ac:dyDescent="0.2">
      <c r="A726" s="74" t="s">
        <v>126</v>
      </c>
      <c r="B726" s="75"/>
      <c r="C726" s="75"/>
      <c r="D726" s="91"/>
      <c r="E726" s="91"/>
      <c r="F726" s="92"/>
      <c r="G726" s="92"/>
      <c r="H726" s="23"/>
      <c r="I726" s="74" t="s">
        <v>126</v>
      </c>
      <c r="J726" s="75"/>
      <c r="K726" s="75"/>
      <c r="L726" s="91"/>
      <c r="M726" s="91"/>
      <c r="N726" s="92"/>
      <c r="O726" s="92"/>
      <c r="P726" s="37"/>
      <c r="Q726" s="23"/>
      <c r="R726" s="23"/>
      <c r="S726" s="23"/>
      <c r="T726" s="23"/>
      <c r="U726" s="23"/>
      <c r="V726" s="21"/>
      <c r="W726" s="21"/>
      <c r="X726" s="21"/>
      <c r="Y726" s="21"/>
    </row>
    <row r="727" spans="1:25" x14ac:dyDescent="0.2">
      <c r="A727" s="72" t="s">
        <v>125</v>
      </c>
      <c r="B727" s="73"/>
      <c r="C727" s="73" t="s">
        <v>119</v>
      </c>
      <c r="D727" s="78" t="str">
        <f>VLOOKUP(Q697,[95]Base_03!$A$5:$AS$24,39,0)</f>
        <v>R 13</v>
      </c>
      <c r="E727" s="78"/>
      <c r="F727" s="77">
        <f>VLOOKUP(Q697,[95]Base_03!$A$5:$AS$24,40,0)</f>
        <v>36</v>
      </c>
      <c r="G727" s="77"/>
      <c r="H727" s="23" t="s">
        <v>124</v>
      </c>
      <c r="I727" s="72" t="s">
        <v>125</v>
      </c>
      <c r="J727" s="73"/>
      <c r="K727" s="73" t="s">
        <v>119</v>
      </c>
      <c r="L727" s="78" t="str">
        <f>VLOOKUP(Q697,[95]Base_04!$A$5:$AS$24,39,0)</f>
        <v>R 13</v>
      </c>
      <c r="M727" s="78"/>
      <c r="N727" s="77">
        <f>VLOOKUP(Q697,[95]Base_04!$A$5:$AS$24,40,0)</f>
        <v>49</v>
      </c>
      <c r="O727" s="77"/>
      <c r="P727" s="37" t="s">
        <v>124</v>
      </c>
      <c r="Q727" s="23" t="s">
        <v>123</v>
      </c>
      <c r="R727" s="23"/>
      <c r="S727" s="23"/>
      <c r="T727" s="23"/>
      <c r="U727" s="23"/>
      <c r="V727" s="21"/>
      <c r="W727" s="21"/>
      <c r="X727" s="21"/>
      <c r="Y727" s="21"/>
    </row>
    <row r="728" spans="1:25" x14ac:dyDescent="0.2">
      <c r="A728" s="39"/>
      <c r="B728" s="23"/>
      <c r="C728" s="23"/>
      <c r="D728" s="23"/>
      <c r="E728" s="23"/>
      <c r="F728" s="23"/>
      <c r="G728" s="23"/>
      <c r="H728" s="23"/>
      <c r="I728" s="39"/>
      <c r="J728" s="45"/>
      <c r="K728" s="45"/>
      <c r="L728" s="45"/>
      <c r="M728" s="23"/>
      <c r="N728" s="30"/>
      <c r="O728" s="23"/>
      <c r="P728" s="37"/>
      <c r="Q728" s="23"/>
      <c r="R728" s="23"/>
      <c r="S728" s="23"/>
      <c r="T728" s="23"/>
      <c r="U728" s="23"/>
      <c r="V728" s="21"/>
      <c r="W728" s="21"/>
      <c r="X728" s="21"/>
      <c r="Y728" s="21"/>
    </row>
    <row r="729" spans="1:25" x14ac:dyDescent="0.2">
      <c r="A729" s="72" t="s">
        <v>122</v>
      </c>
      <c r="B729" s="73"/>
      <c r="C729" s="73" t="s">
        <v>112</v>
      </c>
      <c r="D729" s="76">
        <f>VLOOKUP(Q697,[95]Base_03!$A$5:$AS$24,42,0)</f>
        <v>6.666666666666667</v>
      </c>
      <c r="E729" s="76"/>
      <c r="F729" s="25" t="s">
        <v>118</v>
      </c>
      <c r="G729" s="23"/>
      <c r="H729" s="23"/>
      <c r="I729" s="72" t="s">
        <v>122</v>
      </c>
      <c r="J729" s="73"/>
      <c r="K729" s="73" t="s">
        <v>112</v>
      </c>
      <c r="L729" s="76">
        <f>VLOOKUP(Q697,[95]Base_04!$A$5:$AS$24,42,0)</f>
        <v>4.8979591836734695</v>
      </c>
      <c r="M729" s="76"/>
      <c r="N729" s="46" t="s">
        <v>118</v>
      </c>
      <c r="O729" s="23"/>
      <c r="P729" s="37"/>
      <c r="Q729" s="32" t="s">
        <v>121</v>
      </c>
      <c r="R729" s="23"/>
      <c r="S729" s="23"/>
      <c r="T729" s="23"/>
      <c r="U729" s="23"/>
      <c r="V729" s="21"/>
      <c r="W729" s="21"/>
      <c r="X729" s="21"/>
      <c r="Y729" s="21"/>
    </row>
    <row r="730" spans="1:25" x14ac:dyDescent="0.2">
      <c r="A730" s="72" t="s">
        <v>120</v>
      </c>
      <c r="B730" s="73"/>
      <c r="C730" s="73" t="s">
        <v>119</v>
      </c>
      <c r="D730" s="76">
        <f>VLOOKUP(Q697,[95]Base_03!$A$5:$AS$24,43,0)</f>
        <v>9.6666666666666661</v>
      </c>
      <c r="E730" s="76"/>
      <c r="F730" s="25" t="s">
        <v>118</v>
      </c>
      <c r="G730" s="23"/>
      <c r="H730" s="23"/>
      <c r="I730" s="72" t="s">
        <v>120</v>
      </c>
      <c r="J730" s="73"/>
      <c r="K730" s="73" t="s">
        <v>119</v>
      </c>
      <c r="L730" s="76">
        <f>VLOOKUP(Q697,[95]Base_04!$A$5:$AS$24,43,0)</f>
        <v>7.1020408163265314</v>
      </c>
      <c r="M730" s="76"/>
      <c r="N730" s="46" t="s">
        <v>118</v>
      </c>
      <c r="O730" s="23"/>
      <c r="P730" s="37"/>
      <c r="Q730" s="32" t="s">
        <v>117</v>
      </c>
      <c r="R730" s="23"/>
      <c r="S730" s="23"/>
      <c r="T730" s="23"/>
      <c r="U730" s="23"/>
      <c r="V730" s="21"/>
      <c r="W730" s="21"/>
      <c r="X730" s="21"/>
      <c r="Y730" s="21"/>
    </row>
    <row r="731" spans="1:25" x14ac:dyDescent="0.2">
      <c r="A731" s="72" t="s">
        <v>115</v>
      </c>
      <c r="B731" s="73"/>
      <c r="C731" s="73"/>
      <c r="D731" s="71" t="str">
        <f>VLOOKUP(Q697,[95]Base_03!$A$5:$AS$24,44,0)</f>
        <v>(Ada) Baik</v>
      </c>
      <c r="E731" s="71"/>
      <c r="F731" s="23"/>
      <c r="G731" s="23"/>
      <c r="H731" s="23"/>
      <c r="I731" s="72" t="s">
        <v>115</v>
      </c>
      <c r="J731" s="73"/>
      <c r="K731" s="73"/>
      <c r="L731" s="71" t="str">
        <f>VLOOKUP(Q697,[95]Base_04!$A$5:$AS$24,44,0)</f>
        <v>(Ada) Baik</v>
      </c>
      <c r="M731" s="71"/>
      <c r="N731" s="30"/>
      <c r="O731" s="23"/>
      <c r="P731" s="37"/>
      <c r="Q731" s="23"/>
      <c r="R731" s="23"/>
      <c r="S731" s="23"/>
      <c r="T731" s="23"/>
      <c r="U731" s="23"/>
      <c r="V731" s="21"/>
      <c r="W731" s="21"/>
      <c r="X731" s="21"/>
      <c r="Y731" s="21"/>
    </row>
    <row r="732" spans="1:25" x14ac:dyDescent="0.2">
      <c r="A732" s="74" t="s">
        <v>116</v>
      </c>
      <c r="B732" s="75"/>
      <c r="C732" s="26"/>
      <c r="D732" s="25"/>
      <c r="E732" s="25"/>
      <c r="F732" s="23"/>
      <c r="G732" s="23"/>
      <c r="H732" s="23"/>
      <c r="I732" s="74" t="s">
        <v>116</v>
      </c>
      <c r="J732" s="75"/>
      <c r="K732" s="26"/>
      <c r="L732" s="25"/>
      <c r="M732" s="25"/>
      <c r="N732" s="30"/>
      <c r="O732" s="23"/>
      <c r="P732" s="37"/>
      <c r="Q732" s="23"/>
      <c r="R732" s="23"/>
      <c r="S732" s="23"/>
      <c r="T732" s="23"/>
      <c r="U732" s="23"/>
      <c r="V732" s="21"/>
      <c r="W732" s="21"/>
      <c r="X732" s="21"/>
      <c r="Y732" s="21"/>
    </row>
    <row r="733" spans="1:25" x14ac:dyDescent="0.2">
      <c r="A733" s="72" t="s">
        <v>115</v>
      </c>
      <c r="B733" s="73"/>
      <c r="C733" s="73"/>
      <c r="D733" s="71" t="str">
        <f>VLOOKUP(Q697,[95]Base_03!$A$5:$AS$24,45,0)</f>
        <v>Air Pam (Baik)</v>
      </c>
      <c r="E733" s="71"/>
      <c r="F733" s="23"/>
      <c r="G733" s="23"/>
      <c r="H733" s="23"/>
      <c r="I733" s="72" t="s">
        <v>115</v>
      </c>
      <c r="J733" s="73"/>
      <c r="K733" s="73"/>
      <c r="L733" s="71" t="str">
        <f>VLOOKUP(Q697,[95]Base_04!$A$5:$AS$24,45,0)</f>
        <v>Air Pam (Baik)</v>
      </c>
      <c r="M733" s="71"/>
      <c r="N733" s="30"/>
      <c r="O733" s="23"/>
      <c r="P733" s="37"/>
      <c r="Q733" s="23"/>
      <c r="R733" s="23"/>
      <c r="S733" s="23"/>
      <c r="T733" s="23"/>
      <c r="U733" s="23"/>
      <c r="V733" s="21"/>
      <c r="W733" s="21"/>
      <c r="X733" s="21"/>
      <c r="Y733" s="21"/>
    </row>
    <row r="734" spans="1:25" x14ac:dyDescent="0.2">
      <c r="A734" s="74" t="s">
        <v>114</v>
      </c>
      <c r="B734" s="75"/>
      <c r="C734" s="26"/>
      <c r="D734" s="25"/>
      <c r="E734" s="25"/>
      <c r="F734" s="23"/>
      <c r="G734" s="23"/>
      <c r="H734" s="23"/>
      <c r="I734" s="74" t="s">
        <v>114</v>
      </c>
      <c r="J734" s="75"/>
      <c r="K734" s="26"/>
      <c r="L734" s="25"/>
      <c r="M734" s="25"/>
      <c r="N734" s="30"/>
      <c r="O734" s="23"/>
      <c r="P734" s="37"/>
      <c r="Q734" s="23"/>
      <c r="R734" s="23"/>
      <c r="S734" s="23"/>
      <c r="T734" s="23"/>
      <c r="U734" s="23"/>
      <c r="V734" s="21"/>
      <c r="W734" s="21"/>
      <c r="X734" s="21"/>
      <c r="Y734" s="21"/>
    </row>
    <row r="735" spans="1:25" x14ac:dyDescent="0.2">
      <c r="A735" s="36" t="s">
        <v>113</v>
      </c>
      <c r="B735" s="23"/>
      <c r="C735" s="26" t="s">
        <v>112</v>
      </c>
      <c r="D735" s="71">
        <f>VLOOKUP(Q697,[94]Base_02!$A$5:$S$24,18,0)</f>
        <v>0</v>
      </c>
      <c r="E735" s="71"/>
      <c r="F735" s="23" t="str">
        <f>IF(D735&gt;0,"LU","LS")</f>
        <v>LS</v>
      </c>
      <c r="G735" s="23"/>
      <c r="H735" s="23"/>
      <c r="I735" s="36" t="s">
        <v>113</v>
      </c>
      <c r="J735" s="26"/>
      <c r="K735" s="26" t="s">
        <v>112</v>
      </c>
      <c r="L735" s="71">
        <f>D735</f>
        <v>0</v>
      </c>
      <c r="M735" s="71"/>
      <c r="N735" s="23" t="str">
        <f>IF(L735&gt;0,"LU","LS")</f>
        <v>LS</v>
      </c>
      <c r="O735" s="23"/>
      <c r="P735" s="37"/>
      <c r="Q735" s="23"/>
      <c r="R735" s="23"/>
      <c r="S735" s="23"/>
      <c r="T735" s="23"/>
      <c r="U735" s="23"/>
      <c r="V735" s="21"/>
      <c r="W735" s="21"/>
      <c r="X735" s="21"/>
      <c r="Y735" s="21"/>
    </row>
    <row r="736" spans="1:25" x14ac:dyDescent="0.2">
      <c r="A736" s="42"/>
      <c r="B736" s="43"/>
      <c r="C736" s="44" t="s">
        <v>111</v>
      </c>
      <c r="D736" s="70">
        <f>VLOOKUP(Q697,[94]Base_02!$A$5:$S$24,19,0)</f>
        <v>0</v>
      </c>
      <c r="E736" s="70"/>
      <c r="F736" s="43" t="s">
        <v>110</v>
      </c>
      <c r="G736" s="43"/>
      <c r="H736" s="43"/>
      <c r="I736" s="42"/>
      <c r="J736" s="43"/>
      <c r="K736" s="43"/>
      <c r="L736" s="70">
        <f>D736</f>
        <v>0</v>
      </c>
      <c r="M736" s="70"/>
      <c r="N736" s="47" t="s">
        <v>110</v>
      </c>
      <c r="O736" s="44"/>
      <c r="P736" s="53"/>
      <c r="Q736" s="23"/>
      <c r="R736" s="23"/>
      <c r="S736" s="23"/>
      <c r="T736" s="23"/>
      <c r="U736" s="23"/>
      <c r="V736" s="21"/>
      <c r="W736" s="21"/>
      <c r="X736" s="21"/>
      <c r="Y736" s="21"/>
    </row>
    <row r="737" spans="1:25" x14ac:dyDescent="0.2">
      <c r="A737" s="23"/>
      <c r="B737" s="23"/>
      <c r="C737" s="26"/>
      <c r="D737" s="23"/>
      <c r="E737" s="23"/>
      <c r="F737" s="23"/>
      <c r="G737" s="23"/>
      <c r="H737" s="23"/>
      <c r="I737" s="23"/>
      <c r="J737" s="23"/>
      <c r="K737" s="25"/>
      <c r="L737" s="25"/>
      <c r="M737" s="30"/>
      <c r="N737" s="23"/>
      <c r="O737" s="23"/>
      <c r="P737" s="23"/>
      <c r="Q737" s="23"/>
      <c r="R737" s="23"/>
      <c r="S737" s="23"/>
      <c r="T737" s="23"/>
      <c r="U737" s="23"/>
      <c r="V737" s="23"/>
      <c r="W737" s="23"/>
      <c r="X737" s="23"/>
      <c r="Y737" s="23"/>
    </row>
    <row r="738" spans="1:25" x14ac:dyDescent="0.2">
      <c r="A738" s="23"/>
      <c r="B738" s="23"/>
      <c r="C738" s="23"/>
      <c r="D738" s="23"/>
      <c r="E738" s="23"/>
      <c r="F738" s="23"/>
      <c r="G738" s="23"/>
      <c r="H738" s="23"/>
      <c r="I738" s="23"/>
      <c r="J738" s="23"/>
      <c r="K738" s="23"/>
      <c r="L738" s="23"/>
      <c r="M738" s="30"/>
      <c r="N738" s="23"/>
      <c r="O738" s="23"/>
      <c r="P738" s="23"/>
      <c r="Q738" s="23"/>
      <c r="R738" s="23"/>
      <c r="S738" s="23"/>
      <c r="T738" s="23"/>
      <c r="U738" s="23"/>
      <c r="V738" s="23"/>
      <c r="W738" s="23"/>
      <c r="X738" s="23"/>
      <c r="Y738" s="23"/>
    </row>
    <row r="739" spans="1:25" x14ac:dyDescent="0.2">
      <c r="A739" s="23"/>
      <c r="B739" s="23"/>
      <c r="C739" s="23"/>
      <c r="D739" s="23"/>
      <c r="E739" s="23"/>
      <c r="F739" s="23"/>
      <c r="G739" s="23"/>
      <c r="H739" s="23"/>
      <c r="I739" s="23"/>
      <c r="J739" s="23"/>
      <c r="K739" s="23"/>
      <c r="L739" s="71" t="str">
        <f>[94]Base_01!$C$4&amp;", …..  …........................  2026"</f>
        <v>Sorong, …..  …........................  2026</v>
      </c>
      <c r="M739" s="71"/>
      <c r="N739" s="71"/>
      <c r="O739" s="71"/>
      <c r="P739" s="71"/>
      <c r="Q739" s="23"/>
      <c r="R739" s="23"/>
      <c r="S739" s="23"/>
      <c r="T739" s="23"/>
      <c r="U739" s="23"/>
      <c r="V739" s="23"/>
      <c r="W739" s="23"/>
      <c r="X739" s="23"/>
      <c r="Y739" s="23"/>
    </row>
    <row r="740" spans="1:25" x14ac:dyDescent="0.2">
      <c r="A740" s="71" t="s">
        <v>108</v>
      </c>
      <c r="B740" s="71"/>
      <c r="C740" s="71"/>
      <c r="D740" s="71"/>
      <c r="E740" s="71"/>
      <c r="F740" s="71"/>
      <c r="G740" s="23"/>
      <c r="H740" s="23"/>
      <c r="I740" s="23"/>
      <c r="J740" s="23"/>
      <c r="K740" s="23"/>
      <c r="L740" s="71" t="s">
        <v>152</v>
      </c>
      <c r="M740" s="71"/>
      <c r="N740" s="71"/>
      <c r="O740" s="71"/>
      <c r="P740" s="71"/>
      <c r="Q740" s="23"/>
      <c r="R740" s="23"/>
      <c r="S740" s="23"/>
      <c r="T740" s="23"/>
      <c r="U740" s="23"/>
      <c r="V740" s="23"/>
      <c r="W740" s="23"/>
      <c r="X740" s="23"/>
      <c r="Y740" s="23"/>
    </row>
    <row r="741" spans="1:25" x14ac:dyDescent="0.2">
      <c r="A741" s="71" t="s">
        <v>153</v>
      </c>
      <c r="B741" s="71"/>
      <c r="C741" s="71"/>
      <c r="D741" s="71"/>
      <c r="E741" s="71"/>
      <c r="F741" s="71"/>
      <c r="G741" s="23"/>
      <c r="H741" s="23"/>
      <c r="I741" s="23"/>
      <c r="J741" s="23"/>
      <c r="K741" s="23"/>
      <c r="L741" s="71" t="s">
        <v>107</v>
      </c>
      <c r="M741" s="71"/>
      <c r="N741" s="71"/>
      <c r="O741" s="71"/>
      <c r="P741" s="71"/>
      <c r="Q741" s="23"/>
      <c r="R741" s="23"/>
      <c r="S741" s="23"/>
      <c r="T741" s="23"/>
      <c r="U741" s="23"/>
      <c r="V741" s="23"/>
      <c r="W741" s="23"/>
      <c r="X741" s="23"/>
      <c r="Y741" s="23"/>
    </row>
    <row r="742" spans="1:25" x14ac:dyDescent="0.2">
      <c r="A742" s="23"/>
      <c r="B742" s="23"/>
      <c r="C742" s="23"/>
      <c r="D742" s="23"/>
      <c r="E742" s="23"/>
      <c r="F742" s="23"/>
      <c r="G742" s="23"/>
      <c r="H742" s="23"/>
      <c r="I742" s="23"/>
      <c r="J742" s="23"/>
      <c r="K742" s="23"/>
      <c r="L742" s="23"/>
      <c r="M742" s="30"/>
      <c r="N742" s="23"/>
      <c r="O742" s="23"/>
      <c r="P742" s="23"/>
      <c r="Q742" s="23"/>
      <c r="R742" s="23"/>
      <c r="S742" s="23"/>
      <c r="T742" s="23"/>
      <c r="U742" s="23"/>
      <c r="V742" s="23"/>
      <c r="W742" s="23"/>
      <c r="X742" s="23"/>
      <c r="Y742" s="23"/>
    </row>
    <row r="743" spans="1:25" x14ac:dyDescent="0.2">
      <c r="A743" s="23"/>
      <c r="B743" s="23"/>
      <c r="C743" s="23"/>
      <c r="D743" s="23"/>
      <c r="E743" s="23"/>
      <c r="F743" s="23"/>
      <c r="G743" s="23"/>
      <c r="H743" s="23"/>
      <c r="I743" s="23"/>
      <c r="J743" s="23"/>
      <c r="K743" s="23"/>
      <c r="L743" s="23"/>
      <c r="M743" s="30"/>
      <c r="N743" s="23"/>
      <c r="O743" s="23"/>
      <c r="P743" s="23"/>
      <c r="Q743" s="23"/>
      <c r="R743" s="23"/>
      <c r="S743" s="23"/>
      <c r="T743" s="23"/>
      <c r="U743" s="23"/>
      <c r="V743" s="23"/>
      <c r="W743" s="23"/>
      <c r="X743" s="23"/>
      <c r="Y743" s="23"/>
    </row>
    <row r="744" spans="1:25" x14ac:dyDescent="0.2">
      <c r="A744" s="23"/>
      <c r="B744" s="23"/>
      <c r="C744" s="23"/>
      <c r="D744" s="23"/>
      <c r="E744" s="23"/>
      <c r="F744" s="23"/>
      <c r="G744" s="23"/>
      <c r="H744" s="23"/>
      <c r="I744" s="23"/>
      <c r="J744" s="23"/>
      <c r="K744" s="23"/>
      <c r="L744" s="23"/>
      <c r="M744" s="30"/>
      <c r="N744" s="23"/>
      <c r="O744" s="23"/>
      <c r="P744" s="23"/>
      <c r="Q744" s="23"/>
      <c r="R744" s="23"/>
      <c r="S744" s="23"/>
      <c r="T744" s="23"/>
      <c r="U744" s="23"/>
      <c r="V744" s="23"/>
      <c r="W744" s="23"/>
      <c r="X744" s="23"/>
      <c r="Y744" s="23"/>
    </row>
    <row r="745" spans="1:25" x14ac:dyDescent="0.2">
      <c r="A745" s="23"/>
      <c r="B745" s="23"/>
      <c r="C745" s="23"/>
      <c r="D745" s="23"/>
      <c r="E745" s="23"/>
      <c r="F745" s="23"/>
      <c r="G745" s="23"/>
      <c r="H745" s="23"/>
      <c r="I745" s="23"/>
      <c r="J745" s="23"/>
      <c r="K745" s="23"/>
      <c r="L745" s="23"/>
      <c r="M745" s="30"/>
      <c r="N745" s="23"/>
      <c r="O745" s="23"/>
      <c r="P745" s="23"/>
      <c r="Q745" s="23"/>
      <c r="R745" s="23"/>
      <c r="S745" s="23"/>
      <c r="T745" s="23"/>
      <c r="U745" s="23"/>
      <c r="V745" s="23"/>
      <c r="W745" s="23"/>
      <c r="X745" s="23"/>
      <c r="Y745" s="23"/>
    </row>
    <row r="746" spans="1:25" x14ac:dyDescent="0.2">
      <c r="A746" s="87" t="str">
        <f>[94]Base_02!$C$28</f>
        <v>Nama PB 1</v>
      </c>
      <c r="B746" s="87"/>
      <c r="C746" s="87"/>
      <c r="D746" s="87"/>
      <c r="E746" s="87"/>
      <c r="F746" s="87"/>
      <c r="G746" s="23"/>
      <c r="H746" s="23"/>
      <c r="I746" s="23"/>
      <c r="J746" s="23"/>
      <c r="K746" s="23"/>
      <c r="L746" s="71" t="str">
        <f>E702</f>
        <v>Nama PB 13</v>
      </c>
      <c r="M746" s="71"/>
      <c r="N746" s="71"/>
      <c r="O746" s="71"/>
      <c r="P746" s="71"/>
      <c r="Q746" s="23"/>
      <c r="R746" s="23"/>
      <c r="S746" s="23"/>
      <c r="T746" s="23"/>
      <c r="U746" s="23"/>
      <c r="V746" s="23"/>
      <c r="W746" s="23"/>
      <c r="X746" s="23"/>
      <c r="Y746" s="23"/>
    </row>
    <row r="747" spans="1:25" x14ac:dyDescent="0.2">
      <c r="A747" s="23"/>
      <c r="B747" s="23"/>
      <c r="C747" s="23"/>
      <c r="D747" s="23"/>
      <c r="E747" s="23"/>
      <c r="F747" s="23"/>
      <c r="G747" s="23"/>
      <c r="H747" s="23"/>
      <c r="I747" s="23"/>
      <c r="J747" s="23"/>
      <c r="K747" s="23"/>
      <c r="L747" s="23"/>
      <c r="M747" s="30"/>
      <c r="N747" s="23"/>
      <c r="O747" s="23"/>
      <c r="P747" s="23"/>
      <c r="Q747" s="23"/>
      <c r="R747" s="23"/>
      <c r="S747" s="23"/>
      <c r="T747" s="23"/>
      <c r="U747" s="23"/>
      <c r="V747" s="23"/>
      <c r="W747" s="23"/>
      <c r="X747" s="23"/>
      <c r="Y747" s="23"/>
    </row>
    <row r="748" spans="1:25" x14ac:dyDescent="0.2">
      <c r="A748" s="87" t="s">
        <v>109</v>
      </c>
      <c r="B748" s="87"/>
      <c r="C748" s="87"/>
      <c r="D748" s="87"/>
      <c r="E748" s="87"/>
      <c r="F748" s="87"/>
      <c r="G748" s="23"/>
      <c r="H748" s="23"/>
      <c r="I748" s="29"/>
      <c r="J748" s="24"/>
      <c r="K748" s="24"/>
      <c r="L748" s="88" t="s">
        <v>92</v>
      </c>
      <c r="M748" s="88"/>
      <c r="N748" s="88"/>
      <c r="O748" s="88"/>
      <c r="P748" s="88"/>
      <c r="Q748" s="23"/>
      <c r="R748" s="23"/>
      <c r="S748" s="23"/>
      <c r="T748" s="23"/>
      <c r="U748" s="23"/>
      <c r="V748" s="23"/>
      <c r="W748" s="23"/>
      <c r="X748" s="23"/>
      <c r="Y748" s="23"/>
    </row>
    <row r="749" spans="1:25" x14ac:dyDescent="0.2">
      <c r="A749" s="68" t="s">
        <v>91</v>
      </c>
      <c r="B749" s="68"/>
      <c r="C749" s="68"/>
      <c r="D749" s="68"/>
      <c r="E749" s="68"/>
      <c r="F749" s="68"/>
      <c r="I749" s="28"/>
      <c r="J749" s="28"/>
      <c r="K749" s="28"/>
      <c r="L749" s="69" t="str">
        <f>[94]Base_01!$B$17&amp;" "&amp;[94]Base_01!$C$4</f>
        <v>Koordinator Kota Sorong</v>
      </c>
      <c r="M749" s="69"/>
      <c r="N749" s="69"/>
      <c r="O749" s="69"/>
      <c r="P749" s="69"/>
      <c r="Q749" s="23"/>
      <c r="R749" s="23"/>
      <c r="S749" s="23"/>
      <c r="T749" s="23"/>
      <c r="U749" s="23"/>
      <c r="V749" s="23"/>
      <c r="W749" s="23"/>
      <c r="X749" s="23"/>
      <c r="Y749" s="23"/>
    </row>
    <row r="750" spans="1:25" x14ac:dyDescent="0.2">
      <c r="M750" s="27"/>
      <c r="Q750" s="23"/>
      <c r="R750" s="23"/>
      <c r="S750" s="23"/>
      <c r="T750" s="23"/>
      <c r="U750" s="23"/>
      <c r="V750" s="23"/>
      <c r="W750" s="23"/>
      <c r="X750" s="23"/>
      <c r="Y750" s="23"/>
    </row>
    <row r="751" spans="1:25" x14ac:dyDescent="0.2">
      <c r="M751" s="27"/>
      <c r="Q751" s="23"/>
      <c r="R751" s="23"/>
      <c r="S751" s="23"/>
      <c r="T751" s="23"/>
      <c r="U751" s="23"/>
      <c r="V751" s="23"/>
      <c r="W751" s="23"/>
      <c r="X751" s="23"/>
      <c r="Y751" s="23"/>
    </row>
    <row r="752" spans="1:25" x14ac:dyDescent="0.2">
      <c r="M752" s="27"/>
      <c r="Q752" s="23"/>
      <c r="R752" s="23"/>
      <c r="S752" s="23"/>
      <c r="T752" s="23"/>
      <c r="U752" s="23"/>
      <c r="V752" s="23"/>
      <c r="W752" s="23"/>
      <c r="X752" s="23"/>
      <c r="Y752" s="23"/>
    </row>
    <row r="753" spans="1:25" x14ac:dyDescent="0.2">
      <c r="M753" s="27"/>
      <c r="Q753" s="23"/>
      <c r="R753" s="23"/>
      <c r="S753" s="23"/>
      <c r="T753" s="23"/>
      <c r="U753" s="23"/>
      <c r="V753" s="23"/>
      <c r="W753" s="23"/>
      <c r="X753" s="23"/>
      <c r="Y753" s="23"/>
    </row>
    <row r="754" spans="1:25" x14ac:dyDescent="0.2">
      <c r="A754" s="68" t="str">
        <f>[94]Base_01!$C$20</f>
        <v>…...............         …...............</v>
      </c>
      <c r="B754" s="68"/>
      <c r="C754" s="68"/>
      <c r="D754" s="68"/>
      <c r="E754" s="68"/>
      <c r="F754" s="68"/>
      <c r="L754" s="68" t="str">
        <f>[94]Base_01!$C$17</f>
        <v>AfrIandi Yudhistira, S.T.</v>
      </c>
      <c r="M754" s="68"/>
      <c r="N754" s="68"/>
      <c r="O754" s="68"/>
      <c r="P754" s="68"/>
      <c r="Q754" s="23"/>
      <c r="R754" s="23"/>
      <c r="S754" s="23"/>
      <c r="T754" s="23"/>
      <c r="U754" s="23"/>
      <c r="V754" s="23"/>
      <c r="W754" s="23"/>
      <c r="X754" s="23"/>
      <c r="Y754" s="23"/>
    </row>
    <row r="755" spans="1:25" x14ac:dyDescent="0.2">
      <c r="A755" s="86" t="s">
        <v>149</v>
      </c>
      <c r="B755" s="86"/>
      <c r="C755" s="86"/>
      <c r="D755" s="86"/>
      <c r="E755" s="86"/>
      <c r="F755" s="86"/>
      <c r="G755" s="86"/>
      <c r="H755" s="86"/>
      <c r="I755" s="86"/>
      <c r="J755" s="86"/>
      <c r="K755" s="86"/>
      <c r="L755" s="86"/>
      <c r="M755" s="86"/>
      <c r="N755" s="86"/>
      <c r="O755" s="86"/>
      <c r="P755" s="86"/>
      <c r="Q755" s="23">
        <f>Q697+1</f>
        <v>14</v>
      </c>
      <c r="R755" s="23"/>
      <c r="S755" s="23"/>
      <c r="T755" s="23"/>
      <c r="U755" s="23"/>
      <c r="V755" s="23"/>
      <c r="W755" s="23"/>
      <c r="X755" s="23"/>
      <c r="Y755" s="23"/>
    </row>
    <row r="756" spans="1:25" x14ac:dyDescent="0.2">
      <c r="A756" s="71" t="s">
        <v>148</v>
      </c>
      <c r="B756" s="71"/>
      <c r="C756" s="71"/>
      <c r="D756" s="71"/>
      <c r="E756" s="71"/>
      <c r="F756" s="71"/>
      <c r="G756" s="71"/>
      <c r="H756" s="71"/>
      <c r="I756" s="71"/>
      <c r="J756" s="71"/>
      <c r="K756" s="71"/>
      <c r="L756" s="71"/>
      <c r="M756" s="71"/>
      <c r="N756" s="71"/>
      <c r="O756" s="71"/>
      <c r="P756" s="71"/>
      <c r="Q756" s="23"/>
      <c r="R756" s="23"/>
      <c r="S756" s="23"/>
      <c r="T756" s="23"/>
      <c r="U756" s="23"/>
      <c r="V756" s="23"/>
      <c r="W756" s="23"/>
      <c r="X756" s="23"/>
      <c r="Y756" s="23"/>
    </row>
    <row r="757" spans="1:25" x14ac:dyDescent="0.2">
      <c r="A757" s="25"/>
      <c r="B757" s="25"/>
      <c r="C757" s="25"/>
      <c r="D757" s="25"/>
      <c r="E757" s="25"/>
      <c r="F757" s="25"/>
      <c r="G757" s="25"/>
      <c r="H757" s="25"/>
      <c r="I757" s="23"/>
      <c r="J757" s="24"/>
      <c r="K757" s="24"/>
      <c r="L757" s="24"/>
      <c r="M757" s="24"/>
      <c r="N757" s="24"/>
      <c r="O757" s="24"/>
      <c r="P757" s="24"/>
      <c r="Q757" s="23"/>
      <c r="R757" s="23"/>
      <c r="S757" s="23"/>
      <c r="T757" s="23"/>
      <c r="U757" s="23"/>
      <c r="V757" s="23"/>
      <c r="W757" s="23"/>
      <c r="X757" s="23"/>
      <c r="Y757" s="23"/>
    </row>
    <row r="758" spans="1:25" x14ac:dyDescent="0.2">
      <c r="A758" s="73" t="s">
        <v>147</v>
      </c>
      <c r="B758" s="73"/>
      <c r="C758" s="73"/>
      <c r="D758" s="73"/>
      <c r="E758" s="35" t="str">
        <f>VLOOKUP(Q755,[94]Base_02!$A$5:$AD$24,2,0)</f>
        <v>000014</v>
      </c>
      <c r="F758" s="23"/>
      <c r="G758" s="23"/>
      <c r="H758" s="24"/>
      <c r="I758" s="23"/>
      <c r="J758" s="24"/>
      <c r="K758" s="24"/>
      <c r="L758" s="24"/>
      <c r="M758" s="24"/>
      <c r="N758" s="24"/>
      <c r="O758" s="24"/>
      <c r="P758" s="24"/>
      <c r="Q758" s="23"/>
      <c r="R758" s="23"/>
      <c r="S758" s="23"/>
      <c r="T758" s="23"/>
      <c r="U758" s="23"/>
      <c r="V758" s="23"/>
      <c r="W758" s="23"/>
      <c r="X758" s="23"/>
      <c r="Y758" s="23"/>
    </row>
    <row r="759" spans="1:25" x14ac:dyDescent="0.2">
      <c r="A759" s="73" t="s">
        <v>68</v>
      </c>
      <c r="B759" s="73"/>
      <c r="C759" s="73"/>
      <c r="D759" s="73"/>
      <c r="E759" s="35">
        <f>VLOOKUP(Q755,[94]Base_02!$A$5:$AD$24,14,0)</f>
        <v>0</v>
      </c>
      <c r="F759" s="23"/>
      <c r="G759" s="23"/>
      <c r="H759" s="24"/>
      <c r="I759" s="23"/>
      <c r="J759" s="24"/>
      <c r="K759" s="24"/>
      <c r="L759" s="24"/>
      <c r="M759" s="24"/>
      <c r="N759" s="24"/>
      <c r="O759" s="24"/>
      <c r="P759" s="24"/>
      <c r="Q759" s="23"/>
      <c r="R759" s="23"/>
      <c r="S759" s="23"/>
      <c r="T759" s="23"/>
      <c r="U759" s="23"/>
      <c r="V759" s="23"/>
      <c r="W759" s="23"/>
      <c r="X759" s="23"/>
      <c r="Y759" s="23"/>
    </row>
    <row r="760" spans="1:25" x14ac:dyDescent="0.2">
      <c r="A760" s="73" t="s">
        <v>150</v>
      </c>
      <c r="B760" s="73"/>
      <c r="C760" s="73"/>
      <c r="D760" s="73"/>
      <c r="E760" s="35" t="str">
        <f>VLOOKUP(Q755,[94]Base_02!$A$5:$AD$24,3,0)</f>
        <v>Nama PB 14</v>
      </c>
      <c r="F760" s="23"/>
      <c r="G760" s="23"/>
      <c r="H760" s="24"/>
      <c r="I760" s="23"/>
      <c r="J760" s="24"/>
      <c r="K760" s="24"/>
      <c r="L760" s="24"/>
      <c r="M760" s="24"/>
      <c r="N760" s="24"/>
      <c r="O760" s="24"/>
      <c r="P760" s="24"/>
      <c r="Q760" s="23"/>
      <c r="R760" s="23"/>
      <c r="S760" s="23"/>
      <c r="T760" s="23"/>
      <c r="U760" s="23"/>
      <c r="V760" s="23"/>
      <c r="W760" s="23"/>
      <c r="X760" s="23"/>
      <c r="Y760" s="23"/>
    </row>
    <row r="761" spans="1:25" x14ac:dyDescent="0.2">
      <c r="A761" s="73" t="s">
        <v>18</v>
      </c>
      <c r="B761" s="73"/>
      <c r="C761" s="73"/>
      <c r="D761" s="73"/>
      <c r="E761" s="35" t="str">
        <f>VLOOKUP(Q755,[94]Base_02!$A$5:$Z$24,11,FALSE)&amp;", RT "&amp;VLOOKUP(Q755,[94]Base_02!$A$5:$Z$24,12,FALSE)&amp;", RW "&amp;VLOOKUP(Q755,[94]Base_02!$A$5:$Z$24,13,FALSE)</f>
        <v>Jalan Kanal Victory, RT 2, RW 1</v>
      </c>
      <c r="F761" s="23"/>
      <c r="G761" s="23"/>
      <c r="H761" s="35"/>
      <c r="I761" s="23"/>
      <c r="J761" s="24"/>
      <c r="K761" s="24"/>
      <c r="L761" s="24"/>
      <c r="M761" s="24"/>
      <c r="N761" s="24"/>
      <c r="O761" s="24"/>
      <c r="P761" s="24"/>
      <c r="Q761" s="23"/>
      <c r="R761" s="23"/>
      <c r="S761" s="23"/>
      <c r="T761" s="23"/>
      <c r="U761" s="23"/>
      <c r="V761" s="23"/>
      <c r="W761" s="23"/>
      <c r="X761" s="23"/>
      <c r="Y761" s="23"/>
    </row>
    <row r="762" spans="1:25" x14ac:dyDescent="0.2">
      <c r="A762" s="73" t="str">
        <f>[94]Base_01!$B$2</f>
        <v>Kelurahan</v>
      </c>
      <c r="B762" s="73"/>
      <c r="C762" s="73"/>
      <c r="D762" s="73"/>
      <c r="E762" s="35" t="str">
        <f>[94]Base_01!$C$2</f>
        <v>Klasabi</v>
      </c>
      <c r="F762" s="23"/>
      <c r="G762" s="23"/>
      <c r="H762" s="24"/>
      <c r="I762" s="23"/>
      <c r="J762" s="24"/>
      <c r="K762" s="24"/>
      <c r="L762" s="24"/>
      <c r="M762" s="24"/>
      <c r="N762" s="24"/>
      <c r="O762" s="24"/>
      <c r="P762" s="24"/>
      <c r="Q762" s="23" t="s">
        <v>146</v>
      </c>
      <c r="R762" s="23"/>
      <c r="S762" s="23"/>
      <c r="T762" s="23"/>
      <c r="U762" s="23"/>
      <c r="V762" s="23"/>
      <c r="W762" s="23"/>
      <c r="X762" s="23"/>
      <c r="Y762" s="23"/>
    </row>
    <row r="763" spans="1:25" x14ac:dyDescent="0.2">
      <c r="A763" s="73" t="s">
        <v>19</v>
      </c>
      <c r="B763" s="73"/>
      <c r="C763" s="73"/>
      <c r="D763" s="73"/>
      <c r="E763" s="35" t="str">
        <f>[94]Base_01!$C$3</f>
        <v>Sorong Manoi</v>
      </c>
      <c r="F763" s="23"/>
      <c r="G763" s="23"/>
      <c r="H763" s="24"/>
      <c r="I763" s="23"/>
      <c r="J763" s="24"/>
      <c r="K763" s="24"/>
      <c r="L763" s="24"/>
      <c r="M763" s="24"/>
      <c r="N763" s="24"/>
      <c r="O763" s="24"/>
      <c r="P763" s="24"/>
      <c r="Q763" s="23" t="s">
        <v>145</v>
      </c>
      <c r="R763" s="23"/>
      <c r="S763" s="23"/>
      <c r="T763" s="23"/>
      <c r="U763" s="23"/>
      <c r="V763" s="23"/>
      <c r="W763" s="23"/>
      <c r="X763" s="23"/>
      <c r="Y763" s="23"/>
    </row>
    <row r="764" spans="1:25" x14ac:dyDescent="0.2">
      <c r="A764" s="73" t="str">
        <f>[94]Base_01!$B$4</f>
        <v>Kota</v>
      </c>
      <c r="B764" s="73"/>
      <c r="C764" s="73"/>
      <c r="D764" s="73"/>
      <c r="E764" s="35" t="str">
        <f>[94]Base_01!$C$4</f>
        <v>Sorong</v>
      </c>
      <c r="F764" s="23"/>
      <c r="G764" s="23"/>
      <c r="H764" s="24"/>
      <c r="I764" s="23"/>
      <c r="J764" s="24"/>
      <c r="K764" s="24"/>
      <c r="L764" s="24"/>
      <c r="M764" s="24"/>
      <c r="N764" s="24"/>
      <c r="O764" s="24"/>
      <c r="P764" s="24"/>
      <c r="Q764" s="23" t="s">
        <v>144</v>
      </c>
      <c r="R764" s="23"/>
      <c r="S764" s="23"/>
      <c r="T764" s="23"/>
      <c r="U764" s="23"/>
      <c r="V764" s="23"/>
      <c r="W764" s="23"/>
      <c r="X764" s="23"/>
      <c r="Y764" s="23"/>
    </row>
    <row r="765" spans="1:25" x14ac:dyDescent="0.2">
      <c r="A765" s="73" t="str">
        <f>[94]Base_01!$B$5</f>
        <v>Provinsi</v>
      </c>
      <c r="B765" s="73"/>
      <c r="C765" s="73"/>
      <c r="D765" s="73"/>
      <c r="E765" s="23" t="str">
        <f>[94]Base_01!$C$5</f>
        <v>Papua Barat Daya</v>
      </c>
      <c r="F765" s="23"/>
      <c r="G765" s="24"/>
      <c r="H765" s="24"/>
      <c r="I765" s="23"/>
      <c r="J765" s="24"/>
      <c r="K765" s="24"/>
      <c r="L765" s="24"/>
      <c r="M765" s="24"/>
      <c r="N765" s="24"/>
      <c r="O765" s="24"/>
      <c r="P765" s="24"/>
      <c r="Q765" s="23" t="s">
        <v>143</v>
      </c>
      <c r="R765" s="23"/>
      <c r="S765" s="23"/>
      <c r="T765" s="23"/>
      <c r="U765" s="23"/>
      <c r="V765" s="23"/>
      <c r="W765" s="23"/>
      <c r="X765" s="23"/>
      <c r="Y765" s="23"/>
    </row>
    <row r="766" spans="1:25" x14ac:dyDescent="0.2">
      <c r="A766" s="23"/>
      <c r="B766" s="23"/>
      <c r="C766" s="23"/>
      <c r="D766" s="23"/>
      <c r="E766" s="23"/>
      <c r="F766" s="23"/>
      <c r="G766" s="23"/>
      <c r="H766" s="23"/>
      <c r="I766" s="24"/>
      <c r="J766" s="24"/>
      <c r="K766" s="24"/>
      <c r="L766" s="24"/>
      <c r="M766" s="24"/>
      <c r="N766" s="24"/>
      <c r="O766" s="24"/>
      <c r="P766" s="24"/>
      <c r="Q766" s="23"/>
      <c r="R766" s="23"/>
      <c r="S766" s="23"/>
      <c r="T766" s="23"/>
      <c r="U766" s="23"/>
      <c r="V766" s="23"/>
      <c r="W766" s="23"/>
      <c r="X766" s="23"/>
      <c r="Y766" s="23"/>
    </row>
    <row r="767" spans="1:25" x14ac:dyDescent="0.2">
      <c r="A767" s="33"/>
      <c r="B767" s="33"/>
      <c r="C767" s="33"/>
      <c r="D767" s="33"/>
      <c r="E767" s="33"/>
      <c r="F767" s="33"/>
      <c r="G767" s="33"/>
      <c r="H767" s="33"/>
      <c r="I767" s="33"/>
      <c r="J767" s="33"/>
      <c r="K767" s="33"/>
      <c r="L767" s="33"/>
      <c r="M767" s="34"/>
      <c r="N767" s="33"/>
      <c r="O767" s="33"/>
      <c r="P767" s="33"/>
      <c r="Q767" s="23"/>
      <c r="R767" s="23"/>
      <c r="S767" s="23"/>
      <c r="T767" s="23"/>
      <c r="U767" s="23"/>
      <c r="V767" s="23"/>
      <c r="W767" s="23"/>
      <c r="X767" s="23"/>
      <c r="Y767" s="23"/>
    </row>
    <row r="768" spans="1:25" x14ac:dyDescent="0.2">
      <c r="A768" s="80" t="s">
        <v>142</v>
      </c>
      <c r="B768" s="81"/>
      <c r="C768" s="81"/>
      <c r="D768" s="81"/>
      <c r="E768" s="81"/>
      <c r="F768" s="81"/>
      <c r="G768" s="81"/>
      <c r="H768" s="81"/>
      <c r="I768" s="80" t="s">
        <v>151</v>
      </c>
      <c r="J768" s="81"/>
      <c r="K768" s="81"/>
      <c r="L768" s="81"/>
      <c r="M768" s="81"/>
      <c r="N768" s="81"/>
      <c r="O768" s="81"/>
      <c r="P768" s="82"/>
      <c r="Q768" s="23"/>
      <c r="R768" s="23"/>
      <c r="S768" s="23"/>
      <c r="T768" s="23"/>
      <c r="U768" s="23"/>
      <c r="V768" s="21"/>
      <c r="W768" s="21"/>
      <c r="X768" s="21"/>
      <c r="Y768" s="21"/>
    </row>
    <row r="769" spans="1:25" x14ac:dyDescent="0.2">
      <c r="A769" s="48"/>
      <c r="B769" s="49"/>
      <c r="C769" s="49"/>
      <c r="D769" s="50"/>
      <c r="E769" s="50"/>
      <c r="F769" s="49"/>
      <c r="G769" s="49"/>
      <c r="H769" s="49"/>
      <c r="I769" s="48"/>
      <c r="J769" s="49"/>
      <c r="K769" s="49"/>
      <c r="L769" s="50"/>
      <c r="M769" s="50"/>
      <c r="N769" s="49"/>
      <c r="O769" s="49"/>
      <c r="P769" s="51"/>
      <c r="Q769" s="23"/>
      <c r="R769" s="23"/>
      <c r="S769" s="23"/>
      <c r="T769" s="23"/>
      <c r="U769" s="23"/>
      <c r="V769" s="21"/>
      <c r="W769" s="21"/>
      <c r="X769" s="21"/>
      <c r="Y769" s="21"/>
    </row>
    <row r="770" spans="1:25" ht="16" x14ac:dyDescent="0.2">
      <c r="A770" s="36" t="s">
        <v>141</v>
      </c>
      <c r="B770" s="23"/>
      <c r="C770" s="26" t="s">
        <v>112</v>
      </c>
      <c r="D770" s="83">
        <f>VLOOKUP(Q755,[95]Base_03!$A$5:$AS$24,5,0)</f>
        <v>36</v>
      </c>
      <c r="E770" s="84"/>
      <c r="F770" s="23" t="s">
        <v>140</v>
      </c>
      <c r="G770" s="23"/>
      <c r="H770" s="23"/>
      <c r="I770" s="36" t="s">
        <v>141</v>
      </c>
      <c r="J770" s="26"/>
      <c r="K770" s="26" t="s">
        <v>119</v>
      </c>
      <c r="L770" s="85">
        <f>VLOOKUP(Q755,[95]Base_04!$A$5:$AS$24,5,0)</f>
        <v>49</v>
      </c>
      <c r="M770" s="85"/>
      <c r="N770" s="30" t="s">
        <v>140</v>
      </c>
      <c r="O770" s="23"/>
      <c r="P770" s="37"/>
      <c r="Q770" s="23"/>
      <c r="R770" s="23"/>
      <c r="S770" s="23"/>
      <c r="T770" s="23"/>
      <c r="U770" s="23"/>
      <c r="V770" s="21"/>
      <c r="W770" s="21"/>
      <c r="X770" s="21"/>
      <c r="Y770" s="21"/>
    </row>
    <row r="771" spans="1:25" ht="15" customHeight="1" x14ac:dyDescent="0.2">
      <c r="A771" s="38" t="s">
        <v>139</v>
      </c>
      <c r="B771" s="23"/>
      <c r="C771" s="26"/>
      <c r="D771" s="79" t="s">
        <v>131</v>
      </c>
      <c r="E771" s="79"/>
      <c r="F771" s="79" t="s">
        <v>130</v>
      </c>
      <c r="G771" s="79"/>
      <c r="H771" s="23"/>
      <c r="I771" s="38" t="s">
        <v>139</v>
      </c>
      <c r="J771" s="23"/>
      <c r="K771" s="26"/>
      <c r="L771" s="79" t="s">
        <v>131</v>
      </c>
      <c r="M771" s="79"/>
      <c r="N771" s="79" t="s">
        <v>130</v>
      </c>
      <c r="O771" s="79"/>
      <c r="P771" s="52"/>
      <c r="Q771" s="23"/>
      <c r="R771" s="23"/>
      <c r="S771" s="23"/>
      <c r="T771" s="23"/>
      <c r="U771" s="23"/>
      <c r="V771" s="21"/>
      <c r="W771" s="21"/>
      <c r="X771" s="21"/>
      <c r="Y771" s="21"/>
    </row>
    <row r="772" spans="1:25" x14ac:dyDescent="0.2">
      <c r="A772" s="39"/>
      <c r="B772" s="23"/>
      <c r="C772" s="26"/>
      <c r="D772" s="79"/>
      <c r="E772" s="79"/>
      <c r="F772" s="79"/>
      <c r="G772" s="79"/>
      <c r="H772" s="23"/>
      <c r="I772" s="39"/>
      <c r="J772" s="23"/>
      <c r="K772" s="26"/>
      <c r="L772" s="79"/>
      <c r="M772" s="79"/>
      <c r="N772" s="79"/>
      <c r="O772" s="79"/>
      <c r="P772" s="52"/>
      <c r="Q772" s="23"/>
      <c r="R772" s="23"/>
      <c r="S772" s="23"/>
      <c r="T772" s="23"/>
      <c r="U772" s="23"/>
      <c r="V772" s="21"/>
      <c r="W772" s="21"/>
      <c r="X772" s="21"/>
      <c r="Y772" s="21"/>
    </row>
    <row r="773" spans="1:25" x14ac:dyDescent="0.2">
      <c r="A773" s="72" t="s">
        <v>138</v>
      </c>
      <c r="B773" s="73"/>
      <c r="C773" s="73" t="s">
        <v>112</v>
      </c>
      <c r="D773" s="78" t="str">
        <f>VLOOKUP(Q755,[95]Base_03!$A$5:$AS$24,6,0)</f>
        <v>BT 14</v>
      </c>
      <c r="E773" s="78"/>
      <c r="F773" s="77">
        <f>VLOOKUP(Q755,[95]Base_03!$A$5:$AS$24,12,0)</f>
        <v>0</v>
      </c>
      <c r="G773" s="77"/>
      <c r="H773" s="23" t="s">
        <v>134</v>
      </c>
      <c r="I773" s="72" t="s">
        <v>138</v>
      </c>
      <c r="J773" s="73"/>
      <c r="K773" s="73"/>
      <c r="L773" s="78" t="str">
        <f>VLOOKUP(Q755,[95]Base_04!$A$5:$AS$24,6,0)</f>
        <v>BT 14</v>
      </c>
      <c r="M773" s="78"/>
      <c r="N773" s="77">
        <f>VLOOKUP(Q755,[95]Base_04!$A$5:$AS$24,12,0)</f>
        <v>0</v>
      </c>
      <c r="O773" s="77"/>
      <c r="P773" s="37" t="s">
        <v>134</v>
      </c>
      <c r="Q773" s="23" t="s">
        <v>123</v>
      </c>
      <c r="R773" s="23"/>
      <c r="S773" s="23"/>
      <c r="T773" s="23"/>
      <c r="U773" s="23"/>
      <c r="V773" s="21"/>
      <c r="W773" s="21"/>
      <c r="X773" s="21"/>
      <c r="Y773" s="21"/>
    </row>
    <row r="774" spans="1:25" x14ac:dyDescent="0.2">
      <c r="A774" s="72" t="s">
        <v>137</v>
      </c>
      <c r="B774" s="73"/>
      <c r="C774" s="73" t="s">
        <v>112</v>
      </c>
      <c r="D774" s="78" t="str">
        <f>VLOOKUP(Q755,[95]Base_03!$A$5:$AS$24,13,0)</f>
        <v>S 14</v>
      </c>
      <c r="E774" s="78"/>
      <c r="F774" s="77">
        <f>VLOOKUP(Q755,[95]Base_03!$A$5:$AS$24,15,0)</f>
        <v>0</v>
      </c>
      <c r="G774" s="77"/>
      <c r="H774" s="23" t="s">
        <v>134</v>
      </c>
      <c r="I774" s="72" t="s">
        <v>137</v>
      </c>
      <c r="J774" s="73"/>
      <c r="K774" s="73"/>
      <c r="L774" s="78" t="str">
        <f>VLOOKUP(Q755,[95]Base_04!$A$5:$AS$24,13,0)</f>
        <v>S 14</v>
      </c>
      <c r="M774" s="78"/>
      <c r="N774" s="77">
        <f>VLOOKUP(Q755,[95]Base_04!$A$5:$AS$24,15,0)</f>
        <v>0</v>
      </c>
      <c r="O774" s="77"/>
      <c r="P774" s="37" t="s">
        <v>134</v>
      </c>
      <c r="Q774" s="23" t="s">
        <v>123</v>
      </c>
      <c r="R774" s="23"/>
      <c r="S774" s="23"/>
      <c r="T774" s="23"/>
      <c r="U774" s="23"/>
      <c r="V774" s="21"/>
      <c r="W774" s="21"/>
      <c r="X774" s="21"/>
      <c r="Y774" s="21"/>
    </row>
    <row r="775" spans="1:25" x14ac:dyDescent="0.2">
      <c r="A775" s="72" t="s">
        <v>136</v>
      </c>
      <c r="B775" s="73"/>
      <c r="C775" s="73" t="s">
        <v>112</v>
      </c>
      <c r="D775" s="78" t="str">
        <f>VLOOKUP(Q755,[95]Base_03!$A$5:$AS$24,16,0)</f>
        <v>B 14</v>
      </c>
      <c r="E775" s="78"/>
      <c r="F775" s="77">
        <f>VLOOKUP(Q755,[95]Base_03!$A$5:$AS$24,22,0)</f>
        <v>0</v>
      </c>
      <c r="G775" s="77"/>
      <c r="H775" s="23" t="s">
        <v>134</v>
      </c>
      <c r="I775" s="72" t="s">
        <v>136</v>
      </c>
      <c r="J775" s="73"/>
      <c r="K775" s="73"/>
      <c r="L775" s="78" t="str">
        <f>VLOOKUP(Q755,[95]Base_04!$A$5:$AS$24,16,0)</f>
        <v>B 14</v>
      </c>
      <c r="M775" s="78"/>
      <c r="N775" s="77">
        <f>VLOOKUP(Q755,[95]Base_04!$A$5:$AS$24,22,0)</f>
        <v>0</v>
      </c>
      <c r="O775" s="77"/>
      <c r="P775" s="37" t="s">
        <v>134</v>
      </c>
      <c r="Q775" s="23" t="s">
        <v>123</v>
      </c>
      <c r="R775" s="23"/>
      <c r="S775" s="23"/>
      <c r="T775" s="23"/>
      <c r="U775" s="23"/>
      <c r="V775" s="21"/>
      <c r="W775" s="21"/>
      <c r="X775" s="21"/>
      <c r="Y775" s="21"/>
    </row>
    <row r="776" spans="1:25" x14ac:dyDescent="0.2">
      <c r="A776" s="72" t="s">
        <v>135</v>
      </c>
      <c r="B776" s="73"/>
      <c r="C776" s="73" t="s">
        <v>112</v>
      </c>
      <c r="D776" s="78" t="str">
        <f>VLOOKUP(Q755,[95]Base_03!$A$5:$AS$24,23,0)</f>
        <v>K 14</v>
      </c>
      <c r="E776" s="78"/>
      <c r="F776" s="77">
        <f>VLOOKUP(Q755,[95]Base_03!$A$5:$AS$24,24,0)</f>
        <v>0</v>
      </c>
      <c r="G776" s="77"/>
      <c r="H776" s="23" t="s">
        <v>134</v>
      </c>
      <c r="I776" s="72" t="s">
        <v>135</v>
      </c>
      <c r="J776" s="73"/>
      <c r="K776" s="73"/>
      <c r="L776" s="78" t="str">
        <f>VLOOKUP(Q755,[95]Base_04!$A$5:$AS$24,23,0)</f>
        <v>K 14</v>
      </c>
      <c r="M776" s="78"/>
      <c r="N776" s="77">
        <f>VLOOKUP(Q755,[95]Base_04!$A$5:$AS$24,24,0)</f>
        <v>0</v>
      </c>
      <c r="O776" s="77"/>
      <c r="P776" s="37" t="s">
        <v>134</v>
      </c>
      <c r="Q776" s="23" t="s">
        <v>123</v>
      </c>
      <c r="R776" s="23"/>
      <c r="S776" s="23"/>
      <c r="T776" s="23"/>
      <c r="U776" s="23"/>
      <c r="V776" s="21"/>
      <c r="W776" s="21"/>
      <c r="X776" s="21"/>
      <c r="Y776" s="21"/>
    </row>
    <row r="777" spans="1:25" x14ac:dyDescent="0.2">
      <c r="A777" s="72" t="s">
        <v>133</v>
      </c>
      <c r="B777" s="73"/>
      <c r="C777" s="73" t="s">
        <v>112</v>
      </c>
      <c r="D777" s="78" t="str">
        <f>VLOOKUP(Q755,[95]Base_03!$A$5:$AS$24,25,0)</f>
        <v>K 14</v>
      </c>
      <c r="E777" s="78"/>
      <c r="F777" s="77">
        <f>VLOOKUP(Q755,[95]Base_03!$A$5:$AS$24,26,0)</f>
        <v>73.900834456272094</v>
      </c>
      <c r="G777" s="77"/>
      <c r="H777" s="23" t="s">
        <v>124</v>
      </c>
      <c r="I777" s="72" t="s">
        <v>133</v>
      </c>
      <c r="J777" s="73"/>
      <c r="K777" s="73"/>
      <c r="L777" s="78" t="str">
        <f>VLOOKUP(Q755,[95]Base_04!$A$5:$AS$24,25,0)</f>
        <v>K 14</v>
      </c>
      <c r="M777" s="78"/>
      <c r="N777" s="77">
        <f>VLOOKUP(Q755,[95]Base_04!$A$5:$AS$24,26,0)</f>
        <v>93.530743608719362</v>
      </c>
      <c r="O777" s="77"/>
      <c r="P777" s="37" t="s">
        <v>124</v>
      </c>
      <c r="Q777" s="23" t="s">
        <v>123</v>
      </c>
      <c r="R777" s="23"/>
      <c r="S777" s="23"/>
      <c r="T777" s="23"/>
      <c r="U777" s="23"/>
      <c r="V777" s="21"/>
      <c r="W777" s="21"/>
      <c r="X777" s="21"/>
      <c r="Y777" s="21"/>
    </row>
    <row r="778" spans="1:25" x14ac:dyDescent="0.2">
      <c r="A778" s="40"/>
      <c r="B778" s="31"/>
      <c r="C778" s="31"/>
      <c r="D778" s="41"/>
      <c r="E778" s="41"/>
      <c r="F778" s="30"/>
      <c r="G778" s="23"/>
      <c r="H778" s="23"/>
      <c r="I778" s="40"/>
      <c r="J778" s="31"/>
      <c r="K778" s="31"/>
      <c r="L778" s="41"/>
      <c r="M778" s="41"/>
      <c r="N778" s="30"/>
      <c r="O778" s="23"/>
      <c r="P778" s="37"/>
      <c r="Q778" s="23"/>
      <c r="R778" s="23"/>
      <c r="S778" s="23"/>
      <c r="T778" s="23"/>
      <c r="U778" s="23"/>
      <c r="V778" s="21"/>
      <c r="W778" s="21"/>
      <c r="X778" s="21"/>
      <c r="Y778" s="21"/>
    </row>
    <row r="779" spans="1:25" x14ac:dyDescent="0.2">
      <c r="A779" s="38" t="s">
        <v>132</v>
      </c>
      <c r="B779" s="23"/>
      <c r="C779" s="26"/>
      <c r="D779" s="79" t="s">
        <v>131</v>
      </c>
      <c r="E779" s="79"/>
      <c r="F779" s="79" t="s">
        <v>130</v>
      </c>
      <c r="G779" s="79"/>
      <c r="H779" s="23"/>
      <c r="I779" s="38" t="s">
        <v>132</v>
      </c>
      <c r="J779" s="23"/>
      <c r="K779" s="26"/>
      <c r="L779" s="79" t="s">
        <v>131</v>
      </c>
      <c r="M779" s="79"/>
      <c r="N779" s="79" t="s">
        <v>130</v>
      </c>
      <c r="O779" s="79"/>
      <c r="P779" s="52"/>
      <c r="Q779" s="23"/>
      <c r="R779" s="23"/>
      <c r="S779" s="23"/>
      <c r="T779" s="23"/>
      <c r="U779" s="23"/>
      <c r="V779" s="21"/>
      <c r="W779" s="21"/>
      <c r="X779" s="21"/>
      <c r="Y779" s="21"/>
    </row>
    <row r="780" spans="1:25" x14ac:dyDescent="0.2">
      <c r="A780" s="39"/>
      <c r="B780" s="23"/>
      <c r="C780" s="26"/>
      <c r="D780" s="79"/>
      <c r="E780" s="79"/>
      <c r="F780" s="79"/>
      <c r="G780" s="79"/>
      <c r="H780" s="23"/>
      <c r="I780" s="39"/>
      <c r="J780" s="23"/>
      <c r="K780" s="26"/>
      <c r="L780" s="79"/>
      <c r="M780" s="79"/>
      <c r="N780" s="79"/>
      <c r="O780" s="79"/>
      <c r="P780" s="52"/>
      <c r="Q780" s="23"/>
      <c r="R780" s="23"/>
      <c r="S780" s="23"/>
      <c r="T780" s="23"/>
      <c r="U780" s="23"/>
      <c r="V780" s="21"/>
      <c r="W780" s="21"/>
      <c r="X780" s="21"/>
      <c r="Y780" s="21"/>
    </row>
    <row r="781" spans="1:25" x14ac:dyDescent="0.2">
      <c r="A781" s="72" t="s">
        <v>129</v>
      </c>
      <c r="B781" s="73"/>
      <c r="C781" s="73" t="s">
        <v>119</v>
      </c>
      <c r="D781" s="78" t="str">
        <f>VLOOKUP(Q755,[95]Base_03!$A$5:$AS$24,28,0)</f>
        <v xml:space="preserve"> G 14</v>
      </c>
      <c r="E781" s="78"/>
      <c r="F781" s="77">
        <f>VLOOKUP(Q755,[95]Base_03!$A$5:$AS$24,30,0)</f>
        <v>55</v>
      </c>
      <c r="G781" s="77"/>
      <c r="H781" s="23" t="s">
        <v>124</v>
      </c>
      <c r="I781" s="72" t="s">
        <v>129</v>
      </c>
      <c r="J781" s="73"/>
      <c r="K781" s="73" t="s">
        <v>119</v>
      </c>
      <c r="L781" s="78" t="str">
        <f>VLOOKUP(Q755,[95]Base_04!$A$5:$AS$24,28,0)</f>
        <v xml:space="preserve"> G 14</v>
      </c>
      <c r="M781" s="78"/>
      <c r="N781" s="77">
        <f>VLOOKUP(Q755,[95]Base_04!$A$5:$AS$24,30,0)</f>
        <v>55</v>
      </c>
      <c r="O781" s="77"/>
      <c r="P781" s="37" t="s">
        <v>124</v>
      </c>
      <c r="Q781" s="23" t="s">
        <v>123</v>
      </c>
      <c r="R781" s="23"/>
      <c r="S781" s="23"/>
      <c r="T781" s="23"/>
      <c r="U781" s="23"/>
      <c r="V781" s="21"/>
      <c r="W781" s="21"/>
      <c r="X781" s="21"/>
      <c r="Y781" s="21"/>
    </row>
    <row r="782" spans="1:25" x14ac:dyDescent="0.2">
      <c r="A782" s="72" t="s">
        <v>128</v>
      </c>
      <c r="B782" s="73"/>
      <c r="C782" s="73" t="s">
        <v>119</v>
      </c>
      <c r="D782" s="78" t="str">
        <f>VLOOKUP(Q755,[95]Base_03!$A$5:$AS$24,31,0)</f>
        <v>H 14</v>
      </c>
      <c r="E782" s="78"/>
      <c r="F782" s="77">
        <f>VLOOKUP(Q755,[95]Base_03!$A$5:$AS$24,34,0)</f>
        <v>-5.76</v>
      </c>
      <c r="G782" s="77"/>
      <c r="H782" s="23" t="s">
        <v>124</v>
      </c>
      <c r="I782" s="72" t="s">
        <v>128</v>
      </c>
      <c r="J782" s="73"/>
      <c r="K782" s="73" t="s">
        <v>119</v>
      </c>
      <c r="L782" s="78" t="str">
        <f>VLOOKUP(Q755,[95]Base_04!$A$5:$AS$24,31,0)</f>
        <v>H 14</v>
      </c>
      <c r="M782" s="78"/>
      <c r="N782" s="77">
        <f>VLOOKUP(Q755,[95]Base_04!$A$5:$AS$24,34,0)</f>
        <v>-5.76</v>
      </c>
      <c r="O782" s="77"/>
      <c r="P782" s="37" t="s">
        <v>124</v>
      </c>
      <c r="Q782" s="23" t="s">
        <v>123</v>
      </c>
      <c r="R782" s="23"/>
      <c r="S782" s="23"/>
      <c r="T782" s="23"/>
      <c r="U782" s="23"/>
      <c r="V782" s="21"/>
      <c r="W782" s="21"/>
      <c r="X782" s="21"/>
      <c r="Y782" s="21"/>
    </row>
    <row r="783" spans="1:25" x14ac:dyDescent="0.2">
      <c r="A783" s="89" t="s">
        <v>127</v>
      </c>
      <c r="B783" s="90"/>
      <c r="C783" s="90" t="s">
        <v>119</v>
      </c>
      <c r="D783" s="91" t="str">
        <f>VLOOKUP(Q755,[95]Base_03!$A$5:$AS$24,35,0)</f>
        <v>Kayu</v>
      </c>
      <c r="E783" s="91"/>
      <c r="F783" s="92">
        <f>VLOOKUP(Q755,[95]Base_03!$A$5:$AS$24,36,0)</f>
        <v>5.76</v>
      </c>
      <c r="G783" s="92"/>
      <c r="H783" s="23" t="s">
        <v>124</v>
      </c>
      <c r="I783" s="89" t="s">
        <v>127</v>
      </c>
      <c r="J783" s="90"/>
      <c r="K783" s="90" t="s">
        <v>119</v>
      </c>
      <c r="L783" s="91" t="str">
        <f>VLOOKUP(Q755,[95]Base_04!$A$5:$AS$24,35,0)</f>
        <v>Kayu</v>
      </c>
      <c r="M783" s="91"/>
      <c r="N783" s="92">
        <f>VLOOKUP(Q755,[95]Base_04!$A$5:$AS$24,36,0)</f>
        <v>5.76</v>
      </c>
      <c r="O783" s="92"/>
      <c r="P783" s="37" t="s">
        <v>124</v>
      </c>
      <c r="Q783" s="23" t="s">
        <v>123</v>
      </c>
      <c r="R783" s="23"/>
      <c r="S783" s="23"/>
      <c r="T783" s="23"/>
      <c r="U783" s="23"/>
      <c r="V783" s="21"/>
      <c r="W783" s="21"/>
      <c r="X783" s="21"/>
      <c r="Y783" s="21"/>
    </row>
    <row r="784" spans="1:25" x14ac:dyDescent="0.2">
      <c r="A784" s="74" t="s">
        <v>126</v>
      </c>
      <c r="B784" s="75"/>
      <c r="C784" s="75"/>
      <c r="D784" s="91"/>
      <c r="E784" s="91"/>
      <c r="F784" s="92"/>
      <c r="G784" s="92"/>
      <c r="H784" s="23"/>
      <c r="I784" s="74" t="s">
        <v>126</v>
      </c>
      <c r="J784" s="75"/>
      <c r="K784" s="75"/>
      <c r="L784" s="91"/>
      <c r="M784" s="91"/>
      <c r="N784" s="92"/>
      <c r="O784" s="92"/>
      <c r="P784" s="37"/>
      <c r="Q784" s="23"/>
      <c r="R784" s="23"/>
      <c r="S784" s="23"/>
      <c r="T784" s="23"/>
      <c r="U784" s="23"/>
      <c r="V784" s="21"/>
      <c r="W784" s="21"/>
      <c r="X784" s="21"/>
      <c r="Y784" s="21"/>
    </row>
    <row r="785" spans="1:25" x14ac:dyDescent="0.2">
      <c r="A785" s="72" t="s">
        <v>125</v>
      </c>
      <c r="B785" s="73"/>
      <c r="C785" s="73" t="s">
        <v>119</v>
      </c>
      <c r="D785" s="78" t="str">
        <f>VLOOKUP(Q755,[95]Base_03!$A$5:$AS$24,39,0)</f>
        <v>R 14</v>
      </c>
      <c r="E785" s="78"/>
      <c r="F785" s="77">
        <f>VLOOKUP(Q755,[95]Base_03!$A$5:$AS$24,40,0)</f>
        <v>36</v>
      </c>
      <c r="G785" s="77"/>
      <c r="H785" s="23" t="s">
        <v>124</v>
      </c>
      <c r="I785" s="72" t="s">
        <v>125</v>
      </c>
      <c r="J785" s="73"/>
      <c r="K785" s="73" t="s">
        <v>119</v>
      </c>
      <c r="L785" s="78" t="str">
        <f>VLOOKUP(Q755,[95]Base_04!$A$5:$AS$24,39,0)</f>
        <v>R 14</v>
      </c>
      <c r="M785" s="78"/>
      <c r="N785" s="77">
        <f>VLOOKUP(Q755,[95]Base_04!$A$5:$AS$24,40,0)</f>
        <v>49</v>
      </c>
      <c r="O785" s="77"/>
      <c r="P785" s="37" t="s">
        <v>124</v>
      </c>
      <c r="Q785" s="23" t="s">
        <v>123</v>
      </c>
      <c r="R785" s="23"/>
      <c r="S785" s="23"/>
      <c r="T785" s="23"/>
      <c r="U785" s="23"/>
      <c r="V785" s="21"/>
      <c r="W785" s="21"/>
      <c r="X785" s="21"/>
      <c r="Y785" s="21"/>
    </row>
    <row r="786" spans="1:25" x14ac:dyDescent="0.2">
      <c r="A786" s="39"/>
      <c r="B786" s="23"/>
      <c r="C786" s="23"/>
      <c r="D786" s="23"/>
      <c r="E786" s="23"/>
      <c r="F786" s="23"/>
      <c r="G786" s="23"/>
      <c r="H786" s="23"/>
      <c r="I786" s="39"/>
      <c r="J786" s="45"/>
      <c r="K786" s="45"/>
      <c r="L786" s="45"/>
      <c r="M786" s="23"/>
      <c r="N786" s="30"/>
      <c r="O786" s="23"/>
      <c r="P786" s="37"/>
      <c r="Q786" s="23"/>
      <c r="R786" s="23"/>
      <c r="S786" s="23"/>
      <c r="T786" s="23"/>
      <c r="U786" s="23"/>
      <c r="V786" s="21"/>
      <c r="W786" s="21"/>
      <c r="X786" s="21"/>
      <c r="Y786" s="21"/>
    </row>
    <row r="787" spans="1:25" x14ac:dyDescent="0.2">
      <c r="A787" s="72" t="s">
        <v>122</v>
      </c>
      <c r="B787" s="73"/>
      <c r="C787" s="73" t="s">
        <v>112</v>
      </c>
      <c r="D787" s="76">
        <f>VLOOKUP(Q755,[95]Base_03!$A$5:$AS$24,42,0)</f>
        <v>6.666666666666667</v>
      </c>
      <c r="E787" s="76"/>
      <c r="F787" s="25" t="s">
        <v>118</v>
      </c>
      <c r="G787" s="23"/>
      <c r="H787" s="23"/>
      <c r="I787" s="72" t="s">
        <v>122</v>
      </c>
      <c r="J787" s="73"/>
      <c r="K787" s="73" t="s">
        <v>112</v>
      </c>
      <c r="L787" s="76">
        <f>VLOOKUP(Q755,[95]Base_04!$A$5:$AS$24,42,0)</f>
        <v>4.8979591836734695</v>
      </c>
      <c r="M787" s="76"/>
      <c r="N787" s="46" t="s">
        <v>118</v>
      </c>
      <c r="O787" s="23"/>
      <c r="P787" s="37"/>
      <c r="Q787" s="32" t="s">
        <v>121</v>
      </c>
      <c r="R787" s="23"/>
      <c r="S787" s="23"/>
      <c r="T787" s="23"/>
      <c r="U787" s="23"/>
      <c r="V787" s="21"/>
      <c r="W787" s="21"/>
      <c r="X787" s="21"/>
      <c r="Y787" s="21"/>
    </row>
    <row r="788" spans="1:25" x14ac:dyDescent="0.2">
      <c r="A788" s="72" t="s">
        <v>120</v>
      </c>
      <c r="B788" s="73"/>
      <c r="C788" s="73" t="s">
        <v>119</v>
      </c>
      <c r="D788" s="76">
        <f>VLOOKUP(Q755,[95]Base_03!$A$5:$AS$24,43,0)</f>
        <v>9.6666666666666661</v>
      </c>
      <c r="E788" s="76"/>
      <c r="F788" s="25" t="s">
        <v>118</v>
      </c>
      <c r="G788" s="23"/>
      <c r="H788" s="23"/>
      <c r="I788" s="72" t="s">
        <v>120</v>
      </c>
      <c r="J788" s="73"/>
      <c r="K788" s="73" t="s">
        <v>119</v>
      </c>
      <c r="L788" s="76">
        <f>VLOOKUP(Q755,[95]Base_04!$A$5:$AS$24,43,0)</f>
        <v>7.1020408163265314</v>
      </c>
      <c r="M788" s="76"/>
      <c r="N788" s="46" t="s">
        <v>118</v>
      </c>
      <c r="O788" s="23"/>
      <c r="P788" s="37"/>
      <c r="Q788" s="32" t="s">
        <v>117</v>
      </c>
      <c r="R788" s="23"/>
      <c r="S788" s="23"/>
      <c r="T788" s="23"/>
      <c r="U788" s="23"/>
      <c r="V788" s="21"/>
      <c r="W788" s="21"/>
      <c r="X788" s="21"/>
      <c r="Y788" s="21"/>
    </row>
    <row r="789" spans="1:25" x14ac:dyDescent="0.2">
      <c r="A789" s="72" t="s">
        <v>115</v>
      </c>
      <c r="B789" s="73"/>
      <c r="C789" s="73"/>
      <c r="D789" s="71" t="str">
        <f>VLOOKUP(Q755,[95]Base_03!$A$5:$AS$24,44,0)</f>
        <v>(Ada) Baik</v>
      </c>
      <c r="E789" s="71"/>
      <c r="F789" s="23"/>
      <c r="G789" s="23"/>
      <c r="H789" s="23"/>
      <c r="I789" s="72" t="s">
        <v>115</v>
      </c>
      <c r="J789" s="73"/>
      <c r="K789" s="73"/>
      <c r="L789" s="71" t="str">
        <f>VLOOKUP(Q755,[95]Base_04!$A$5:$AS$24,44,0)</f>
        <v>(Ada) Baik</v>
      </c>
      <c r="M789" s="71"/>
      <c r="N789" s="30"/>
      <c r="O789" s="23"/>
      <c r="P789" s="37"/>
      <c r="Q789" s="23"/>
      <c r="R789" s="23"/>
      <c r="S789" s="23"/>
      <c r="T789" s="23"/>
      <c r="U789" s="23"/>
      <c r="V789" s="21"/>
      <c r="W789" s="21"/>
      <c r="X789" s="21"/>
      <c r="Y789" s="21"/>
    </row>
    <row r="790" spans="1:25" x14ac:dyDescent="0.2">
      <c r="A790" s="74" t="s">
        <v>116</v>
      </c>
      <c r="B790" s="75"/>
      <c r="C790" s="26"/>
      <c r="D790" s="25"/>
      <c r="E790" s="25"/>
      <c r="F790" s="23"/>
      <c r="G790" s="23"/>
      <c r="H790" s="23"/>
      <c r="I790" s="74" t="s">
        <v>116</v>
      </c>
      <c r="J790" s="75"/>
      <c r="K790" s="26"/>
      <c r="L790" s="25"/>
      <c r="M790" s="25"/>
      <c r="N790" s="30"/>
      <c r="O790" s="23"/>
      <c r="P790" s="37"/>
      <c r="Q790" s="23"/>
      <c r="R790" s="23"/>
      <c r="S790" s="23"/>
      <c r="T790" s="23"/>
      <c r="U790" s="23"/>
      <c r="V790" s="21"/>
      <c r="W790" s="21"/>
      <c r="X790" s="21"/>
      <c r="Y790" s="21"/>
    </row>
    <row r="791" spans="1:25" x14ac:dyDescent="0.2">
      <c r="A791" s="72" t="s">
        <v>115</v>
      </c>
      <c r="B791" s="73"/>
      <c r="C791" s="73"/>
      <c r="D791" s="71" t="str">
        <f>VLOOKUP(Q755,[95]Base_03!$A$5:$AS$24,45,0)</f>
        <v>Air Pam (Baik)</v>
      </c>
      <c r="E791" s="71"/>
      <c r="F791" s="23"/>
      <c r="G791" s="23"/>
      <c r="H791" s="23"/>
      <c r="I791" s="72" t="s">
        <v>115</v>
      </c>
      <c r="J791" s="73"/>
      <c r="K791" s="73"/>
      <c r="L791" s="71" t="str">
        <f>VLOOKUP(Q755,[95]Base_04!$A$5:$AS$24,45,0)</f>
        <v>Air Pam (Baik)</v>
      </c>
      <c r="M791" s="71"/>
      <c r="N791" s="30"/>
      <c r="O791" s="23"/>
      <c r="P791" s="37"/>
      <c r="Q791" s="23"/>
      <c r="R791" s="23"/>
      <c r="S791" s="23"/>
      <c r="T791" s="23"/>
      <c r="U791" s="23"/>
      <c r="V791" s="21"/>
      <c r="W791" s="21"/>
      <c r="X791" s="21"/>
      <c r="Y791" s="21"/>
    </row>
    <row r="792" spans="1:25" x14ac:dyDescent="0.2">
      <c r="A792" s="74" t="s">
        <v>114</v>
      </c>
      <c r="B792" s="75"/>
      <c r="C792" s="26"/>
      <c r="D792" s="25"/>
      <c r="E792" s="25"/>
      <c r="F792" s="23"/>
      <c r="G792" s="23"/>
      <c r="H792" s="23"/>
      <c r="I792" s="74" t="s">
        <v>114</v>
      </c>
      <c r="J792" s="75"/>
      <c r="K792" s="26"/>
      <c r="L792" s="25"/>
      <c r="M792" s="25"/>
      <c r="N792" s="30"/>
      <c r="O792" s="23"/>
      <c r="P792" s="37"/>
      <c r="Q792" s="23"/>
      <c r="R792" s="23"/>
      <c r="S792" s="23"/>
      <c r="T792" s="23"/>
      <c r="U792" s="23"/>
      <c r="V792" s="21"/>
      <c r="W792" s="21"/>
      <c r="X792" s="21"/>
      <c r="Y792" s="21"/>
    </row>
    <row r="793" spans="1:25" x14ac:dyDescent="0.2">
      <c r="A793" s="36" t="s">
        <v>113</v>
      </c>
      <c r="B793" s="23"/>
      <c r="C793" s="26" t="s">
        <v>112</v>
      </c>
      <c r="D793" s="71">
        <f>VLOOKUP(Q755,[94]Base_02!$A$5:$S$24,18,0)</f>
        <v>0</v>
      </c>
      <c r="E793" s="71"/>
      <c r="F793" s="23" t="str">
        <f>IF(D793&gt;0,"LU","LS")</f>
        <v>LS</v>
      </c>
      <c r="G793" s="23"/>
      <c r="H793" s="23"/>
      <c r="I793" s="36" t="s">
        <v>113</v>
      </c>
      <c r="J793" s="26"/>
      <c r="K793" s="26" t="s">
        <v>112</v>
      </c>
      <c r="L793" s="71">
        <f>D793</f>
        <v>0</v>
      </c>
      <c r="M793" s="71"/>
      <c r="N793" s="23" t="str">
        <f>IF(L793&gt;0,"LU","LS")</f>
        <v>LS</v>
      </c>
      <c r="O793" s="23"/>
      <c r="P793" s="37"/>
      <c r="Q793" s="23"/>
      <c r="R793" s="23"/>
      <c r="S793" s="23"/>
      <c r="T793" s="23"/>
      <c r="U793" s="23"/>
      <c r="V793" s="21"/>
      <c r="W793" s="21"/>
      <c r="X793" s="21"/>
      <c r="Y793" s="21"/>
    </row>
    <row r="794" spans="1:25" x14ac:dyDescent="0.2">
      <c r="A794" s="42"/>
      <c r="B794" s="43"/>
      <c r="C794" s="44" t="s">
        <v>111</v>
      </c>
      <c r="D794" s="70">
        <f>VLOOKUP(Q755,[94]Base_02!$A$5:$S$24,19,0)</f>
        <v>0</v>
      </c>
      <c r="E794" s="70"/>
      <c r="F794" s="43" t="s">
        <v>110</v>
      </c>
      <c r="G794" s="43"/>
      <c r="H794" s="43"/>
      <c r="I794" s="42"/>
      <c r="J794" s="43"/>
      <c r="K794" s="43"/>
      <c r="L794" s="70">
        <f>D794</f>
        <v>0</v>
      </c>
      <c r="M794" s="70"/>
      <c r="N794" s="47" t="s">
        <v>110</v>
      </c>
      <c r="O794" s="44"/>
      <c r="P794" s="53"/>
      <c r="Q794" s="23"/>
      <c r="R794" s="23"/>
      <c r="S794" s="23"/>
      <c r="T794" s="23"/>
      <c r="U794" s="23"/>
      <c r="V794" s="21"/>
      <c r="W794" s="21"/>
      <c r="X794" s="21"/>
      <c r="Y794" s="21"/>
    </row>
    <row r="795" spans="1:25" x14ac:dyDescent="0.2">
      <c r="A795" s="23"/>
      <c r="B795" s="23"/>
      <c r="C795" s="26"/>
      <c r="D795" s="23"/>
      <c r="E795" s="23"/>
      <c r="F795" s="23"/>
      <c r="G795" s="23"/>
      <c r="H795" s="23"/>
      <c r="I795" s="23"/>
      <c r="J795" s="23"/>
      <c r="K795" s="25"/>
      <c r="L795" s="25"/>
      <c r="M795" s="30"/>
      <c r="N795" s="23"/>
      <c r="O795" s="23"/>
      <c r="P795" s="23"/>
      <c r="Q795" s="23"/>
      <c r="R795" s="23"/>
      <c r="S795" s="23"/>
      <c r="T795" s="23"/>
      <c r="U795" s="23"/>
      <c r="V795" s="23"/>
      <c r="W795" s="23"/>
      <c r="X795" s="23"/>
      <c r="Y795" s="23"/>
    </row>
    <row r="796" spans="1:25" x14ac:dyDescent="0.2">
      <c r="A796" s="23"/>
      <c r="B796" s="23"/>
      <c r="C796" s="23"/>
      <c r="D796" s="23"/>
      <c r="E796" s="23"/>
      <c r="F796" s="23"/>
      <c r="G796" s="23"/>
      <c r="H796" s="23"/>
      <c r="I796" s="23"/>
      <c r="J796" s="23"/>
      <c r="K796" s="23"/>
      <c r="L796" s="23"/>
      <c r="M796" s="30"/>
      <c r="N796" s="23"/>
      <c r="O796" s="23"/>
      <c r="P796" s="23"/>
      <c r="Q796" s="23"/>
      <c r="R796" s="23"/>
      <c r="S796" s="23"/>
      <c r="T796" s="23"/>
      <c r="U796" s="23"/>
      <c r="V796" s="23"/>
      <c r="W796" s="23"/>
      <c r="X796" s="23"/>
      <c r="Y796" s="23"/>
    </row>
    <row r="797" spans="1:25" x14ac:dyDescent="0.2">
      <c r="A797" s="23"/>
      <c r="B797" s="23"/>
      <c r="C797" s="23"/>
      <c r="D797" s="23"/>
      <c r="E797" s="23"/>
      <c r="F797" s="23"/>
      <c r="G797" s="23"/>
      <c r="H797" s="23"/>
      <c r="I797" s="23"/>
      <c r="J797" s="23"/>
      <c r="K797" s="23"/>
      <c r="L797" s="71" t="str">
        <f>[94]Base_01!$C$4&amp;", …..  …........................  2026"</f>
        <v>Sorong, …..  …........................  2026</v>
      </c>
      <c r="M797" s="71"/>
      <c r="N797" s="71"/>
      <c r="O797" s="71"/>
      <c r="P797" s="71"/>
      <c r="Q797" s="23"/>
      <c r="R797" s="23"/>
      <c r="S797" s="23"/>
      <c r="T797" s="23"/>
      <c r="U797" s="23"/>
      <c r="V797" s="23"/>
      <c r="W797" s="23"/>
      <c r="X797" s="23"/>
      <c r="Y797" s="23"/>
    </row>
    <row r="798" spans="1:25" x14ac:dyDescent="0.2">
      <c r="A798" s="71" t="s">
        <v>108</v>
      </c>
      <c r="B798" s="71"/>
      <c r="C798" s="71"/>
      <c r="D798" s="71"/>
      <c r="E798" s="71"/>
      <c r="F798" s="71"/>
      <c r="G798" s="23"/>
      <c r="H798" s="23"/>
      <c r="I798" s="23"/>
      <c r="J798" s="23"/>
      <c r="K798" s="23"/>
      <c r="L798" s="71" t="s">
        <v>152</v>
      </c>
      <c r="M798" s="71"/>
      <c r="N798" s="71"/>
      <c r="O798" s="71"/>
      <c r="P798" s="71"/>
      <c r="Q798" s="23"/>
      <c r="R798" s="23"/>
      <c r="S798" s="23"/>
      <c r="T798" s="23"/>
      <c r="U798" s="23"/>
      <c r="V798" s="23"/>
      <c r="W798" s="23"/>
      <c r="X798" s="23"/>
      <c r="Y798" s="23"/>
    </row>
    <row r="799" spans="1:25" x14ac:dyDescent="0.2">
      <c r="A799" s="71" t="s">
        <v>153</v>
      </c>
      <c r="B799" s="71"/>
      <c r="C799" s="71"/>
      <c r="D799" s="71"/>
      <c r="E799" s="71"/>
      <c r="F799" s="71"/>
      <c r="G799" s="23"/>
      <c r="H799" s="23"/>
      <c r="I799" s="23"/>
      <c r="J799" s="23"/>
      <c r="K799" s="23"/>
      <c r="L799" s="71" t="s">
        <v>107</v>
      </c>
      <c r="M799" s="71"/>
      <c r="N799" s="71"/>
      <c r="O799" s="71"/>
      <c r="P799" s="71"/>
      <c r="Q799" s="23"/>
      <c r="R799" s="23"/>
      <c r="S799" s="23"/>
      <c r="T799" s="23"/>
      <c r="U799" s="23"/>
      <c r="V799" s="23"/>
      <c r="W799" s="23"/>
      <c r="X799" s="23"/>
      <c r="Y799" s="23"/>
    </row>
    <row r="800" spans="1:25" x14ac:dyDescent="0.2">
      <c r="A800" s="23"/>
      <c r="B800" s="23"/>
      <c r="C800" s="23"/>
      <c r="D800" s="23"/>
      <c r="E800" s="23"/>
      <c r="F800" s="23"/>
      <c r="G800" s="23"/>
      <c r="H800" s="23"/>
      <c r="I800" s="23"/>
      <c r="J800" s="23"/>
      <c r="K800" s="23"/>
      <c r="L800" s="23"/>
      <c r="M800" s="30"/>
      <c r="N800" s="23"/>
      <c r="O800" s="23"/>
      <c r="P800" s="23"/>
      <c r="Q800" s="23"/>
      <c r="R800" s="23"/>
      <c r="S800" s="23"/>
      <c r="T800" s="23"/>
      <c r="U800" s="23"/>
      <c r="V800" s="23"/>
      <c r="W800" s="23"/>
      <c r="X800" s="23"/>
      <c r="Y800" s="23"/>
    </row>
    <row r="801" spans="1:25" x14ac:dyDescent="0.2">
      <c r="A801" s="23"/>
      <c r="B801" s="23"/>
      <c r="C801" s="23"/>
      <c r="D801" s="23"/>
      <c r="E801" s="23"/>
      <c r="F801" s="23"/>
      <c r="G801" s="23"/>
      <c r="H801" s="23"/>
      <c r="I801" s="23"/>
      <c r="J801" s="23"/>
      <c r="K801" s="23"/>
      <c r="L801" s="23"/>
      <c r="M801" s="30"/>
      <c r="N801" s="23"/>
      <c r="O801" s="23"/>
      <c r="P801" s="23"/>
      <c r="Q801" s="23"/>
      <c r="R801" s="23"/>
      <c r="S801" s="23"/>
      <c r="T801" s="23"/>
      <c r="U801" s="23"/>
      <c r="V801" s="23"/>
      <c r="W801" s="23"/>
      <c r="X801" s="23"/>
      <c r="Y801" s="23"/>
    </row>
    <row r="802" spans="1:25" x14ac:dyDescent="0.2">
      <c r="A802" s="23"/>
      <c r="B802" s="23"/>
      <c r="C802" s="23"/>
      <c r="D802" s="23"/>
      <c r="E802" s="23"/>
      <c r="F802" s="23"/>
      <c r="G802" s="23"/>
      <c r="H802" s="23"/>
      <c r="I802" s="23"/>
      <c r="J802" s="23"/>
      <c r="K802" s="23"/>
      <c r="L802" s="23"/>
      <c r="M802" s="30"/>
      <c r="N802" s="23"/>
      <c r="O802" s="23"/>
      <c r="P802" s="23"/>
      <c r="Q802" s="23"/>
      <c r="R802" s="23"/>
      <c r="S802" s="23"/>
      <c r="T802" s="23"/>
      <c r="U802" s="23"/>
      <c r="V802" s="23"/>
      <c r="W802" s="23"/>
      <c r="X802" s="23"/>
      <c r="Y802" s="23"/>
    </row>
    <row r="803" spans="1:25" x14ac:dyDescent="0.2">
      <c r="A803" s="23"/>
      <c r="B803" s="23"/>
      <c r="C803" s="23"/>
      <c r="D803" s="23"/>
      <c r="E803" s="23"/>
      <c r="F803" s="23"/>
      <c r="G803" s="23"/>
      <c r="H803" s="23"/>
      <c r="I803" s="23"/>
      <c r="J803" s="23"/>
      <c r="K803" s="23"/>
      <c r="L803" s="23"/>
      <c r="M803" s="30"/>
      <c r="N803" s="23"/>
      <c r="O803" s="23"/>
      <c r="P803" s="23"/>
      <c r="Q803" s="23"/>
      <c r="R803" s="23"/>
      <c r="S803" s="23"/>
      <c r="T803" s="23"/>
      <c r="U803" s="23"/>
      <c r="V803" s="23"/>
      <c r="W803" s="23"/>
      <c r="X803" s="23"/>
      <c r="Y803" s="23"/>
    </row>
    <row r="804" spans="1:25" x14ac:dyDescent="0.2">
      <c r="A804" s="87" t="str">
        <f>[94]Base_02!$C$28</f>
        <v>Nama PB 1</v>
      </c>
      <c r="B804" s="87"/>
      <c r="C804" s="87"/>
      <c r="D804" s="87"/>
      <c r="E804" s="87"/>
      <c r="F804" s="87"/>
      <c r="G804" s="23"/>
      <c r="H804" s="23"/>
      <c r="I804" s="23"/>
      <c r="J804" s="23"/>
      <c r="K804" s="23"/>
      <c r="L804" s="71" t="str">
        <f>E760</f>
        <v>Nama PB 14</v>
      </c>
      <c r="M804" s="71"/>
      <c r="N804" s="71"/>
      <c r="O804" s="71"/>
      <c r="P804" s="71"/>
      <c r="Q804" s="23"/>
      <c r="R804" s="23"/>
      <c r="S804" s="23"/>
      <c r="T804" s="23"/>
      <c r="U804" s="23"/>
      <c r="V804" s="23"/>
      <c r="W804" s="23"/>
      <c r="X804" s="23"/>
      <c r="Y804" s="23"/>
    </row>
    <row r="805" spans="1:25" x14ac:dyDescent="0.2">
      <c r="A805" s="23"/>
      <c r="B805" s="23"/>
      <c r="C805" s="23"/>
      <c r="D805" s="23"/>
      <c r="E805" s="23"/>
      <c r="F805" s="23"/>
      <c r="G805" s="23"/>
      <c r="H805" s="23"/>
      <c r="I805" s="23"/>
      <c r="J805" s="23"/>
      <c r="K805" s="23"/>
      <c r="L805" s="23"/>
      <c r="M805" s="30"/>
      <c r="N805" s="23"/>
      <c r="O805" s="23"/>
      <c r="P805" s="23"/>
      <c r="Q805" s="23"/>
      <c r="R805" s="23"/>
      <c r="S805" s="23"/>
      <c r="T805" s="23"/>
      <c r="U805" s="23"/>
      <c r="V805" s="23"/>
      <c r="W805" s="23"/>
      <c r="X805" s="23"/>
      <c r="Y805" s="23"/>
    </row>
    <row r="806" spans="1:25" x14ac:dyDescent="0.2">
      <c r="A806" s="87" t="s">
        <v>109</v>
      </c>
      <c r="B806" s="87"/>
      <c r="C806" s="87"/>
      <c r="D806" s="87"/>
      <c r="E806" s="87"/>
      <c r="F806" s="87"/>
      <c r="G806" s="23"/>
      <c r="H806" s="23"/>
      <c r="I806" s="29"/>
      <c r="J806" s="24"/>
      <c r="K806" s="24"/>
      <c r="L806" s="88" t="s">
        <v>92</v>
      </c>
      <c r="M806" s="88"/>
      <c r="N806" s="88"/>
      <c r="O806" s="88"/>
      <c r="P806" s="88"/>
      <c r="Q806" s="23"/>
      <c r="R806" s="23"/>
      <c r="S806" s="23"/>
      <c r="T806" s="23"/>
      <c r="U806" s="23"/>
      <c r="V806" s="23"/>
      <c r="W806" s="23"/>
      <c r="X806" s="23"/>
      <c r="Y806" s="23"/>
    </row>
    <row r="807" spans="1:25" x14ac:dyDescent="0.2">
      <c r="A807" s="68" t="s">
        <v>91</v>
      </c>
      <c r="B807" s="68"/>
      <c r="C807" s="68"/>
      <c r="D807" s="68"/>
      <c r="E807" s="68"/>
      <c r="F807" s="68"/>
      <c r="I807" s="28"/>
      <c r="J807" s="28"/>
      <c r="K807" s="28"/>
      <c r="L807" s="69" t="str">
        <f>[94]Base_01!$B$17&amp;" "&amp;[94]Base_01!$C$4</f>
        <v>Koordinator Kota Sorong</v>
      </c>
      <c r="M807" s="69"/>
      <c r="N807" s="69"/>
      <c r="O807" s="69"/>
      <c r="P807" s="69"/>
      <c r="Q807" s="23"/>
      <c r="R807" s="23"/>
      <c r="S807" s="23"/>
      <c r="T807" s="23"/>
      <c r="U807" s="23"/>
      <c r="V807" s="23"/>
      <c r="W807" s="23"/>
      <c r="X807" s="23"/>
      <c r="Y807" s="23"/>
    </row>
    <row r="808" spans="1:25" x14ac:dyDescent="0.2">
      <c r="M808" s="27"/>
      <c r="Q808" s="23"/>
      <c r="R808" s="23"/>
      <c r="S808" s="23"/>
      <c r="T808" s="23"/>
      <c r="U808" s="23"/>
      <c r="V808" s="23"/>
      <c r="W808" s="23"/>
      <c r="X808" s="23"/>
      <c r="Y808" s="23"/>
    </row>
    <row r="809" spans="1:25" x14ac:dyDescent="0.2">
      <c r="M809" s="27"/>
      <c r="Q809" s="23"/>
      <c r="R809" s="23"/>
      <c r="S809" s="23"/>
      <c r="T809" s="23"/>
      <c r="U809" s="23"/>
      <c r="V809" s="23"/>
      <c r="W809" s="23"/>
      <c r="X809" s="23"/>
      <c r="Y809" s="23"/>
    </row>
    <row r="810" spans="1:25" x14ac:dyDescent="0.2">
      <c r="M810" s="27"/>
      <c r="Q810" s="23"/>
      <c r="R810" s="23"/>
      <c r="S810" s="23"/>
      <c r="T810" s="23"/>
      <c r="U810" s="23"/>
      <c r="V810" s="23"/>
      <c r="W810" s="23"/>
      <c r="X810" s="23"/>
      <c r="Y810" s="23"/>
    </row>
    <row r="811" spans="1:25" x14ac:dyDescent="0.2">
      <c r="M811" s="27"/>
      <c r="Q811" s="23"/>
      <c r="R811" s="23"/>
      <c r="S811" s="23"/>
      <c r="T811" s="23"/>
      <c r="U811" s="23"/>
      <c r="V811" s="23"/>
      <c r="W811" s="23"/>
      <c r="X811" s="23"/>
      <c r="Y811" s="23"/>
    </row>
    <row r="812" spans="1:25" x14ac:dyDescent="0.2">
      <c r="A812" s="68" t="str">
        <f>[94]Base_01!$C$20</f>
        <v>…...............         …...............</v>
      </c>
      <c r="B812" s="68"/>
      <c r="C812" s="68"/>
      <c r="D812" s="68"/>
      <c r="E812" s="68"/>
      <c r="F812" s="68"/>
      <c r="L812" s="68" t="str">
        <f>[94]Base_01!$C$17</f>
        <v>AfrIandi Yudhistira, S.T.</v>
      </c>
      <c r="M812" s="68"/>
      <c r="N812" s="68"/>
      <c r="O812" s="68"/>
      <c r="P812" s="68"/>
      <c r="Q812" s="23"/>
      <c r="R812" s="23"/>
      <c r="S812" s="23"/>
      <c r="T812" s="23"/>
      <c r="U812" s="23"/>
      <c r="V812" s="23"/>
      <c r="W812" s="23"/>
      <c r="X812" s="23"/>
      <c r="Y812" s="23"/>
    </row>
    <row r="813" spans="1:25" x14ac:dyDescent="0.2">
      <c r="A813" s="86" t="s">
        <v>149</v>
      </c>
      <c r="B813" s="86"/>
      <c r="C813" s="86"/>
      <c r="D813" s="86"/>
      <c r="E813" s="86"/>
      <c r="F813" s="86"/>
      <c r="G813" s="86"/>
      <c r="H813" s="86"/>
      <c r="I813" s="86"/>
      <c r="J813" s="86"/>
      <c r="K813" s="86"/>
      <c r="L813" s="86"/>
      <c r="M813" s="86"/>
      <c r="N813" s="86"/>
      <c r="O813" s="86"/>
      <c r="P813" s="86"/>
      <c r="Q813" s="23">
        <f>Q755+1</f>
        <v>15</v>
      </c>
      <c r="R813" s="23"/>
      <c r="S813" s="23"/>
      <c r="T813" s="23"/>
      <c r="U813" s="23"/>
      <c r="V813" s="23"/>
      <c r="W813" s="23"/>
      <c r="X813" s="23"/>
      <c r="Y813" s="23"/>
    </row>
    <row r="814" spans="1:25" x14ac:dyDescent="0.2">
      <c r="A814" s="71" t="s">
        <v>148</v>
      </c>
      <c r="B814" s="71"/>
      <c r="C814" s="71"/>
      <c r="D814" s="71"/>
      <c r="E814" s="71"/>
      <c r="F814" s="71"/>
      <c r="G814" s="71"/>
      <c r="H814" s="71"/>
      <c r="I814" s="71"/>
      <c r="J814" s="71"/>
      <c r="K814" s="71"/>
      <c r="L814" s="71"/>
      <c r="M814" s="71"/>
      <c r="N814" s="71"/>
      <c r="O814" s="71"/>
      <c r="P814" s="71"/>
      <c r="Q814" s="23"/>
      <c r="R814" s="23"/>
      <c r="S814" s="23"/>
      <c r="T814" s="23"/>
      <c r="U814" s="23"/>
      <c r="V814" s="23"/>
      <c r="W814" s="23"/>
      <c r="X814" s="23"/>
      <c r="Y814" s="23"/>
    </row>
    <row r="815" spans="1:25" x14ac:dyDescent="0.2">
      <c r="A815" s="25"/>
      <c r="B815" s="25"/>
      <c r="C815" s="25"/>
      <c r="D815" s="25"/>
      <c r="E815" s="25"/>
      <c r="F815" s="25"/>
      <c r="G815" s="25"/>
      <c r="H815" s="25"/>
      <c r="I815" s="23"/>
      <c r="J815" s="24"/>
      <c r="K815" s="24"/>
      <c r="L815" s="24"/>
      <c r="M815" s="24"/>
      <c r="N815" s="24"/>
      <c r="O815" s="24"/>
      <c r="P815" s="24"/>
      <c r="Q815" s="23"/>
      <c r="R815" s="23"/>
      <c r="S815" s="23"/>
      <c r="T815" s="23"/>
      <c r="U815" s="23"/>
      <c r="V815" s="23"/>
      <c r="W815" s="23"/>
      <c r="X815" s="23"/>
      <c r="Y815" s="23"/>
    </row>
    <row r="816" spans="1:25" x14ac:dyDescent="0.2">
      <c r="A816" s="73" t="s">
        <v>147</v>
      </c>
      <c r="B816" s="73"/>
      <c r="C816" s="73"/>
      <c r="D816" s="73"/>
      <c r="E816" s="35" t="str">
        <f>VLOOKUP(Q813,[94]Base_02!$A$5:$AD$24,2,0)</f>
        <v>000015</v>
      </c>
      <c r="F816" s="23"/>
      <c r="G816" s="23"/>
      <c r="H816" s="24"/>
      <c r="I816" s="23"/>
      <c r="J816" s="24"/>
      <c r="K816" s="24"/>
      <c r="L816" s="24"/>
      <c r="M816" s="24"/>
      <c r="N816" s="24"/>
      <c r="O816" s="24"/>
      <c r="P816" s="24"/>
      <c r="Q816" s="23"/>
      <c r="R816" s="23"/>
      <c r="S816" s="23"/>
      <c r="T816" s="23"/>
      <c r="U816" s="23"/>
      <c r="V816" s="23"/>
      <c r="W816" s="23"/>
      <c r="X816" s="23"/>
      <c r="Y816" s="23"/>
    </row>
    <row r="817" spans="1:25" x14ac:dyDescent="0.2">
      <c r="A817" s="73" t="s">
        <v>68</v>
      </c>
      <c r="B817" s="73"/>
      <c r="C817" s="73"/>
      <c r="D817" s="73"/>
      <c r="E817" s="35">
        <f>VLOOKUP(Q813,[94]Base_02!$A$5:$AD$24,14,0)</f>
        <v>0</v>
      </c>
      <c r="F817" s="23"/>
      <c r="G817" s="23"/>
      <c r="H817" s="24"/>
      <c r="I817" s="23"/>
      <c r="J817" s="24"/>
      <c r="K817" s="24"/>
      <c r="L817" s="24"/>
      <c r="M817" s="24"/>
      <c r="N817" s="24"/>
      <c r="O817" s="24"/>
      <c r="P817" s="24"/>
      <c r="Q817" s="23"/>
      <c r="R817" s="23"/>
      <c r="S817" s="23"/>
      <c r="T817" s="23"/>
      <c r="U817" s="23"/>
      <c r="V817" s="23"/>
      <c r="W817" s="23"/>
      <c r="X817" s="23"/>
      <c r="Y817" s="23"/>
    </row>
    <row r="818" spans="1:25" x14ac:dyDescent="0.2">
      <c r="A818" s="73" t="s">
        <v>150</v>
      </c>
      <c r="B818" s="73"/>
      <c r="C818" s="73"/>
      <c r="D818" s="73"/>
      <c r="E818" s="35" t="str">
        <f>VLOOKUP(Q813,[94]Base_02!$A$5:$AD$24,3,0)</f>
        <v>Nama PB 15</v>
      </c>
      <c r="F818" s="23"/>
      <c r="G818" s="23"/>
      <c r="H818" s="24"/>
      <c r="I818" s="23"/>
      <c r="J818" s="24"/>
      <c r="K818" s="24"/>
      <c r="L818" s="24"/>
      <c r="M818" s="24"/>
      <c r="N818" s="24"/>
      <c r="O818" s="24"/>
      <c r="P818" s="24"/>
      <c r="Q818" s="23"/>
      <c r="R818" s="23"/>
      <c r="S818" s="23"/>
      <c r="T818" s="23"/>
      <c r="U818" s="23"/>
      <c r="V818" s="23"/>
      <c r="W818" s="23"/>
      <c r="X818" s="23"/>
      <c r="Y818" s="23"/>
    </row>
    <row r="819" spans="1:25" x14ac:dyDescent="0.2">
      <c r="A819" s="73" t="s">
        <v>18</v>
      </c>
      <c r="B819" s="73"/>
      <c r="C819" s="73"/>
      <c r="D819" s="73"/>
      <c r="E819" s="35" t="str">
        <f>VLOOKUP(Q813,[94]Base_02!$A$5:$Z$24,11,FALSE)&amp;", RT "&amp;VLOOKUP(Q813,[94]Base_02!$A$5:$Z$24,12,FALSE)&amp;", RW "&amp;VLOOKUP(Q813,[94]Base_02!$A$5:$Z$24,13,FALSE)</f>
        <v>Jalan Kanal Victory, RT 2, RW 1</v>
      </c>
      <c r="F819" s="23"/>
      <c r="G819" s="23"/>
      <c r="H819" s="35"/>
      <c r="I819" s="23"/>
      <c r="J819" s="24"/>
      <c r="K819" s="24"/>
      <c r="L819" s="24"/>
      <c r="M819" s="24"/>
      <c r="N819" s="24"/>
      <c r="O819" s="24"/>
      <c r="P819" s="24"/>
      <c r="Q819" s="23"/>
      <c r="R819" s="23"/>
      <c r="S819" s="23"/>
      <c r="T819" s="23"/>
      <c r="U819" s="23"/>
      <c r="V819" s="23"/>
      <c r="W819" s="23"/>
      <c r="X819" s="23"/>
      <c r="Y819" s="23"/>
    </row>
    <row r="820" spans="1:25" x14ac:dyDescent="0.2">
      <c r="A820" s="73" t="str">
        <f>[94]Base_01!$B$2</f>
        <v>Kelurahan</v>
      </c>
      <c r="B820" s="73"/>
      <c r="C820" s="73"/>
      <c r="D820" s="73"/>
      <c r="E820" s="35" t="str">
        <f>[94]Base_01!$C$2</f>
        <v>Klasabi</v>
      </c>
      <c r="F820" s="23"/>
      <c r="G820" s="23"/>
      <c r="H820" s="24"/>
      <c r="I820" s="23"/>
      <c r="J820" s="24"/>
      <c r="K820" s="24"/>
      <c r="L820" s="24"/>
      <c r="M820" s="24"/>
      <c r="N820" s="24"/>
      <c r="O820" s="24"/>
      <c r="P820" s="24"/>
      <c r="Q820" s="23" t="s">
        <v>146</v>
      </c>
      <c r="R820" s="23"/>
      <c r="S820" s="23"/>
      <c r="T820" s="23"/>
      <c r="U820" s="23"/>
      <c r="V820" s="23"/>
      <c r="W820" s="23"/>
      <c r="X820" s="23"/>
      <c r="Y820" s="23"/>
    </row>
    <row r="821" spans="1:25" x14ac:dyDescent="0.2">
      <c r="A821" s="73" t="s">
        <v>19</v>
      </c>
      <c r="B821" s="73"/>
      <c r="C821" s="73"/>
      <c r="D821" s="73"/>
      <c r="E821" s="35" t="str">
        <f>[94]Base_01!$C$3</f>
        <v>Sorong Manoi</v>
      </c>
      <c r="F821" s="23"/>
      <c r="G821" s="23"/>
      <c r="H821" s="24"/>
      <c r="I821" s="23"/>
      <c r="J821" s="24"/>
      <c r="K821" s="24"/>
      <c r="L821" s="24"/>
      <c r="M821" s="24"/>
      <c r="N821" s="24"/>
      <c r="O821" s="24"/>
      <c r="P821" s="24"/>
      <c r="Q821" s="23" t="s">
        <v>145</v>
      </c>
      <c r="R821" s="23"/>
      <c r="S821" s="23"/>
      <c r="T821" s="23"/>
      <c r="U821" s="23"/>
      <c r="V821" s="23"/>
      <c r="W821" s="23"/>
      <c r="X821" s="23"/>
      <c r="Y821" s="23"/>
    </row>
    <row r="822" spans="1:25" x14ac:dyDescent="0.2">
      <c r="A822" s="73" t="str">
        <f>[94]Base_01!$B$4</f>
        <v>Kota</v>
      </c>
      <c r="B822" s="73"/>
      <c r="C822" s="73"/>
      <c r="D822" s="73"/>
      <c r="E822" s="35" t="str">
        <f>[94]Base_01!$C$4</f>
        <v>Sorong</v>
      </c>
      <c r="F822" s="23"/>
      <c r="G822" s="23"/>
      <c r="H822" s="24"/>
      <c r="I822" s="23"/>
      <c r="J822" s="24"/>
      <c r="K822" s="24"/>
      <c r="L822" s="24"/>
      <c r="M822" s="24"/>
      <c r="N822" s="24"/>
      <c r="O822" s="24"/>
      <c r="P822" s="24"/>
      <c r="Q822" s="23" t="s">
        <v>144</v>
      </c>
      <c r="R822" s="23"/>
      <c r="S822" s="23"/>
      <c r="T822" s="23"/>
      <c r="U822" s="23"/>
      <c r="V822" s="23"/>
      <c r="W822" s="23"/>
      <c r="X822" s="23"/>
      <c r="Y822" s="23"/>
    </row>
    <row r="823" spans="1:25" x14ac:dyDescent="0.2">
      <c r="A823" s="73" t="str">
        <f>[94]Base_01!$B$5</f>
        <v>Provinsi</v>
      </c>
      <c r="B823" s="73"/>
      <c r="C823" s="73"/>
      <c r="D823" s="73"/>
      <c r="E823" s="23" t="str">
        <f>[94]Base_01!$C$5</f>
        <v>Papua Barat Daya</v>
      </c>
      <c r="F823" s="23"/>
      <c r="G823" s="24"/>
      <c r="H823" s="24"/>
      <c r="I823" s="23"/>
      <c r="J823" s="24"/>
      <c r="K823" s="24"/>
      <c r="L823" s="24"/>
      <c r="M823" s="24"/>
      <c r="N823" s="24"/>
      <c r="O823" s="24"/>
      <c r="P823" s="24"/>
      <c r="Q823" s="23" t="s">
        <v>143</v>
      </c>
      <c r="R823" s="23"/>
      <c r="S823" s="23"/>
      <c r="T823" s="23"/>
      <c r="U823" s="23"/>
      <c r="V823" s="23"/>
      <c r="W823" s="23"/>
      <c r="X823" s="23"/>
      <c r="Y823" s="23"/>
    </row>
    <row r="824" spans="1:25" x14ac:dyDescent="0.2">
      <c r="A824" s="23"/>
      <c r="B824" s="23"/>
      <c r="C824" s="23"/>
      <c r="D824" s="23"/>
      <c r="E824" s="23"/>
      <c r="F824" s="23"/>
      <c r="G824" s="23"/>
      <c r="H824" s="23"/>
      <c r="I824" s="24"/>
      <c r="J824" s="24"/>
      <c r="K824" s="24"/>
      <c r="L824" s="24"/>
      <c r="M824" s="24"/>
      <c r="N824" s="24"/>
      <c r="O824" s="24"/>
      <c r="P824" s="24"/>
      <c r="Q824" s="23"/>
      <c r="R824" s="23"/>
      <c r="S824" s="23"/>
      <c r="T824" s="23"/>
      <c r="U824" s="23"/>
      <c r="V824" s="23"/>
      <c r="W824" s="23"/>
      <c r="X824" s="23"/>
      <c r="Y824" s="23"/>
    </row>
    <row r="825" spans="1:25" x14ac:dyDescent="0.2">
      <c r="A825" s="33"/>
      <c r="B825" s="33"/>
      <c r="C825" s="33"/>
      <c r="D825" s="33"/>
      <c r="E825" s="33"/>
      <c r="F825" s="33"/>
      <c r="G825" s="33"/>
      <c r="H825" s="33"/>
      <c r="I825" s="33"/>
      <c r="J825" s="33"/>
      <c r="K825" s="33"/>
      <c r="L825" s="33"/>
      <c r="M825" s="34"/>
      <c r="N825" s="33"/>
      <c r="O825" s="33"/>
      <c r="P825" s="33"/>
      <c r="Q825" s="23"/>
      <c r="R825" s="23"/>
      <c r="S825" s="23"/>
      <c r="T825" s="23"/>
      <c r="U825" s="23"/>
      <c r="V825" s="23"/>
      <c r="W825" s="23"/>
      <c r="X825" s="23"/>
      <c r="Y825" s="23"/>
    </row>
    <row r="826" spans="1:25" x14ac:dyDescent="0.2">
      <c r="A826" s="80" t="s">
        <v>142</v>
      </c>
      <c r="B826" s="81"/>
      <c r="C826" s="81"/>
      <c r="D826" s="81"/>
      <c r="E826" s="81"/>
      <c r="F826" s="81"/>
      <c r="G826" s="81"/>
      <c r="H826" s="81"/>
      <c r="I826" s="80" t="s">
        <v>151</v>
      </c>
      <c r="J826" s="81"/>
      <c r="K826" s="81"/>
      <c r="L826" s="81"/>
      <c r="M826" s="81"/>
      <c r="N826" s="81"/>
      <c r="O826" s="81"/>
      <c r="P826" s="82"/>
      <c r="Q826" s="23"/>
      <c r="R826" s="23"/>
      <c r="S826" s="23"/>
      <c r="T826" s="23"/>
      <c r="U826" s="23"/>
      <c r="V826" s="21"/>
      <c r="W826" s="21"/>
      <c r="X826" s="21"/>
      <c r="Y826" s="21"/>
    </row>
    <row r="827" spans="1:25" x14ac:dyDescent="0.2">
      <c r="A827" s="48"/>
      <c r="B827" s="49"/>
      <c r="C827" s="49"/>
      <c r="D827" s="50"/>
      <c r="E827" s="50"/>
      <c r="F827" s="49"/>
      <c r="G827" s="49"/>
      <c r="H827" s="49"/>
      <c r="I827" s="48"/>
      <c r="J827" s="49"/>
      <c r="K827" s="49"/>
      <c r="L827" s="50"/>
      <c r="M827" s="50"/>
      <c r="N827" s="49"/>
      <c r="O827" s="49"/>
      <c r="P827" s="51"/>
      <c r="Q827" s="23"/>
      <c r="R827" s="23"/>
      <c r="S827" s="23"/>
      <c r="T827" s="23"/>
      <c r="U827" s="23"/>
      <c r="V827" s="21"/>
      <c r="W827" s="21"/>
      <c r="X827" s="21"/>
      <c r="Y827" s="21"/>
    </row>
    <row r="828" spans="1:25" ht="16" x14ac:dyDescent="0.2">
      <c r="A828" s="36" t="s">
        <v>141</v>
      </c>
      <c r="B828" s="23"/>
      <c r="C828" s="26" t="s">
        <v>112</v>
      </c>
      <c r="D828" s="83">
        <f>VLOOKUP(Q813,[95]Base_03!$A$5:$AS$24,5,0)</f>
        <v>36</v>
      </c>
      <c r="E828" s="84"/>
      <c r="F828" s="23" t="s">
        <v>140</v>
      </c>
      <c r="G828" s="23"/>
      <c r="H828" s="23"/>
      <c r="I828" s="36" t="s">
        <v>141</v>
      </c>
      <c r="J828" s="26"/>
      <c r="K828" s="26" t="s">
        <v>119</v>
      </c>
      <c r="L828" s="85">
        <f>VLOOKUP(Q813,[95]Base_04!$A$5:$AS$24,5,0)</f>
        <v>49</v>
      </c>
      <c r="M828" s="85"/>
      <c r="N828" s="30" t="s">
        <v>140</v>
      </c>
      <c r="O828" s="23"/>
      <c r="P828" s="37"/>
      <c r="Q828" s="23"/>
      <c r="R828" s="23"/>
      <c r="S828" s="23"/>
      <c r="T828" s="23"/>
      <c r="U828" s="23"/>
      <c r="V828" s="21"/>
      <c r="W828" s="21"/>
      <c r="X828" s="21"/>
      <c r="Y828" s="21"/>
    </row>
    <row r="829" spans="1:25" ht="15" customHeight="1" x14ac:dyDescent="0.2">
      <c r="A829" s="38" t="s">
        <v>139</v>
      </c>
      <c r="B829" s="23"/>
      <c r="C829" s="26"/>
      <c r="D829" s="79" t="s">
        <v>131</v>
      </c>
      <c r="E829" s="79"/>
      <c r="F829" s="79" t="s">
        <v>130</v>
      </c>
      <c r="G829" s="79"/>
      <c r="H829" s="23"/>
      <c r="I829" s="38" t="s">
        <v>139</v>
      </c>
      <c r="J829" s="23"/>
      <c r="K829" s="26"/>
      <c r="L829" s="79" t="s">
        <v>131</v>
      </c>
      <c r="M829" s="79"/>
      <c r="N829" s="79" t="s">
        <v>130</v>
      </c>
      <c r="O829" s="79"/>
      <c r="P829" s="52"/>
      <c r="Q829" s="23"/>
      <c r="R829" s="23"/>
      <c r="S829" s="23"/>
      <c r="T829" s="23"/>
      <c r="U829" s="23"/>
      <c r="V829" s="21"/>
      <c r="W829" s="21"/>
      <c r="X829" s="21"/>
      <c r="Y829" s="21"/>
    </row>
    <row r="830" spans="1:25" x14ac:dyDescent="0.2">
      <c r="A830" s="39"/>
      <c r="B830" s="23"/>
      <c r="C830" s="26"/>
      <c r="D830" s="79"/>
      <c r="E830" s="79"/>
      <c r="F830" s="79"/>
      <c r="G830" s="79"/>
      <c r="H830" s="23"/>
      <c r="I830" s="39"/>
      <c r="J830" s="23"/>
      <c r="K830" s="26"/>
      <c r="L830" s="79"/>
      <c r="M830" s="79"/>
      <c r="N830" s="79"/>
      <c r="O830" s="79"/>
      <c r="P830" s="52"/>
      <c r="Q830" s="23"/>
      <c r="R830" s="23"/>
      <c r="S830" s="23"/>
      <c r="T830" s="23"/>
      <c r="U830" s="23"/>
      <c r="V830" s="21"/>
      <c r="W830" s="21"/>
      <c r="X830" s="21"/>
      <c r="Y830" s="21"/>
    </row>
    <row r="831" spans="1:25" x14ac:dyDescent="0.2">
      <c r="A831" s="72" t="s">
        <v>138</v>
      </c>
      <c r="B831" s="73"/>
      <c r="C831" s="73" t="s">
        <v>112</v>
      </c>
      <c r="D831" s="78" t="str">
        <f>VLOOKUP(Q813,[95]Base_03!$A$5:$AS$24,6,0)</f>
        <v>BT 15</v>
      </c>
      <c r="E831" s="78"/>
      <c r="F831" s="77">
        <f>VLOOKUP(Q813,[95]Base_03!$A$5:$AS$24,12,0)</f>
        <v>0</v>
      </c>
      <c r="G831" s="77"/>
      <c r="H831" s="23" t="s">
        <v>134</v>
      </c>
      <c r="I831" s="72" t="s">
        <v>138</v>
      </c>
      <c r="J831" s="73"/>
      <c r="K831" s="73"/>
      <c r="L831" s="78" t="str">
        <f>VLOOKUP(Q813,[95]Base_04!$A$5:$AS$24,6,0)</f>
        <v>BT 15</v>
      </c>
      <c r="M831" s="78"/>
      <c r="N831" s="77">
        <f>VLOOKUP(Q813,[95]Base_04!$A$5:$AS$24,12,0)</f>
        <v>0</v>
      </c>
      <c r="O831" s="77"/>
      <c r="P831" s="37" t="s">
        <v>134</v>
      </c>
      <c r="Q831" s="23" t="s">
        <v>123</v>
      </c>
      <c r="R831" s="23"/>
      <c r="S831" s="23"/>
      <c r="T831" s="23"/>
      <c r="U831" s="23"/>
      <c r="V831" s="21"/>
      <c r="W831" s="21"/>
      <c r="X831" s="21"/>
      <c r="Y831" s="21"/>
    </row>
    <row r="832" spans="1:25" x14ac:dyDescent="0.2">
      <c r="A832" s="72" t="s">
        <v>137</v>
      </c>
      <c r="B832" s="73"/>
      <c r="C832" s="73" t="s">
        <v>112</v>
      </c>
      <c r="D832" s="78" t="str">
        <f>VLOOKUP(Q813,[95]Base_03!$A$5:$AS$24,13,0)</f>
        <v>S 15</v>
      </c>
      <c r="E832" s="78"/>
      <c r="F832" s="77">
        <f>VLOOKUP(Q813,[95]Base_03!$A$5:$AS$24,15,0)</f>
        <v>0</v>
      </c>
      <c r="G832" s="77"/>
      <c r="H832" s="23" t="s">
        <v>134</v>
      </c>
      <c r="I832" s="72" t="s">
        <v>137</v>
      </c>
      <c r="J832" s="73"/>
      <c r="K832" s="73"/>
      <c r="L832" s="78" t="str">
        <f>VLOOKUP(Q813,[95]Base_04!$A$5:$AS$24,13,0)</f>
        <v>S 15</v>
      </c>
      <c r="M832" s="78"/>
      <c r="N832" s="77">
        <f>VLOOKUP(Q813,[95]Base_04!$A$5:$AS$24,15,0)</f>
        <v>0</v>
      </c>
      <c r="O832" s="77"/>
      <c r="P832" s="37" t="s">
        <v>134</v>
      </c>
      <c r="Q832" s="23" t="s">
        <v>123</v>
      </c>
      <c r="R832" s="23"/>
      <c r="S832" s="23"/>
      <c r="T832" s="23"/>
      <c r="U832" s="23"/>
      <c r="V832" s="21"/>
      <c r="W832" s="21"/>
      <c r="X832" s="21"/>
      <c r="Y832" s="21"/>
    </row>
    <row r="833" spans="1:25" x14ac:dyDescent="0.2">
      <c r="A833" s="72" t="s">
        <v>136</v>
      </c>
      <c r="B833" s="73"/>
      <c r="C833" s="73" t="s">
        <v>112</v>
      </c>
      <c r="D833" s="78" t="str">
        <f>VLOOKUP(Q813,[95]Base_03!$A$5:$AS$24,16,0)</f>
        <v>B 15</v>
      </c>
      <c r="E833" s="78"/>
      <c r="F833" s="77">
        <f>VLOOKUP(Q813,[95]Base_03!$A$5:$AS$24,22,0)</f>
        <v>0</v>
      </c>
      <c r="G833" s="77"/>
      <c r="H833" s="23" t="s">
        <v>134</v>
      </c>
      <c r="I833" s="72" t="s">
        <v>136</v>
      </c>
      <c r="J833" s="73"/>
      <c r="K833" s="73"/>
      <c r="L833" s="78" t="str">
        <f>VLOOKUP(Q813,[95]Base_04!$A$5:$AS$24,16,0)</f>
        <v>B 15</v>
      </c>
      <c r="M833" s="78"/>
      <c r="N833" s="77">
        <f>VLOOKUP(Q813,[95]Base_04!$A$5:$AS$24,22,0)</f>
        <v>0</v>
      </c>
      <c r="O833" s="77"/>
      <c r="P833" s="37" t="s">
        <v>134</v>
      </c>
      <c r="Q833" s="23" t="s">
        <v>123</v>
      </c>
      <c r="R833" s="23"/>
      <c r="S833" s="23"/>
      <c r="T833" s="23"/>
      <c r="U833" s="23"/>
      <c r="V833" s="21"/>
      <c r="W833" s="21"/>
      <c r="X833" s="21"/>
      <c r="Y833" s="21"/>
    </row>
    <row r="834" spans="1:25" x14ac:dyDescent="0.2">
      <c r="A834" s="72" t="s">
        <v>135</v>
      </c>
      <c r="B834" s="73"/>
      <c r="C834" s="73" t="s">
        <v>112</v>
      </c>
      <c r="D834" s="78" t="str">
        <f>VLOOKUP(Q813,[95]Base_03!$A$5:$AS$24,23,0)</f>
        <v>K 15</v>
      </c>
      <c r="E834" s="78"/>
      <c r="F834" s="77">
        <f>VLOOKUP(Q813,[95]Base_03!$A$5:$AS$24,24,0)</f>
        <v>0</v>
      </c>
      <c r="G834" s="77"/>
      <c r="H834" s="23" t="s">
        <v>134</v>
      </c>
      <c r="I834" s="72" t="s">
        <v>135</v>
      </c>
      <c r="J834" s="73"/>
      <c r="K834" s="73"/>
      <c r="L834" s="78" t="str">
        <f>VLOOKUP(Q813,[95]Base_04!$A$5:$AS$24,23,0)</f>
        <v>K 15</v>
      </c>
      <c r="M834" s="78"/>
      <c r="N834" s="77">
        <f>VLOOKUP(Q813,[95]Base_04!$A$5:$AS$24,24,0)</f>
        <v>0</v>
      </c>
      <c r="O834" s="77"/>
      <c r="P834" s="37" t="s">
        <v>134</v>
      </c>
      <c r="Q834" s="23" t="s">
        <v>123</v>
      </c>
      <c r="R834" s="23"/>
      <c r="S834" s="23"/>
      <c r="T834" s="23"/>
      <c r="U834" s="23"/>
      <c r="V834" s="21"/>
      <c r="W834" s="21"/>
      <c r="X834" s="21"/>
      <c r="Y834" s="21"/>
    </row>
    <row r="835" spans="1:25" x14ac:dyDescent="0.2">
      <c r="A835" s="72" t="s">
        <v>133</v>
      </c>
      <c r="B835" s="73"/>
      <c r="C835" s="73" t="s">
        <v>112</v>
      </c>
      <c r="D835" s="78" t="str">
        <f>VLOOKUP(Q813,[95]Base_03!$A$5:$AS$24,25,0)</f>
        <v>K 15</v>
      </c>
      <c r="E835" s="78"/>
      <c r="F835" s="77">
        <f>VLOOKUP(Q813,[95]Base_03!$A$5:$AS$24,26,0)</f>
        <v>73.900834456272094</v>
      </c>
      <c r="G835" s="77"/>
      <c r="H835" s="23" t="s">
        <v>124</v>
      </c>
      <c r="I835" s="72" t="s">
        <v>133</v>
      </c>
      <c r="J835" s="73"/>
      <c r="K835" s="73"/>
      <c r="L835" s="78" t="str">
        <f>VLOOKUP(Q813,[95]Base_04!$A$5:$AS$24,25,0)</f>
        <v>K 15</v>
      </c>
      <c r="M835" s="78"/>
      <c r="N835" s="77">
        <f>VLOOKUP(Q813,[95]Base_04!$A$5:$AS$24,26,0)</f>
        <v>93.530743608719362</v>
      </c>
      <c r="O835" s="77"/>
      <c r="P835" s="37" t="s">
        <v>124</v>
      </c>
      <c r="Q835" s="23" t="s">
        <v>123</v>
      </c>
      <c r="R835" s="23"/>
      <c r="S835" s="23"/>
      <c r="T835" s="23"/>
      <c r="U835" s="23"/>
      <c r="V835" s="21"/>
      <c r="W835" s="21"/>
      <c r="X835" s="21"/>
      <c r="Y835" s="21"/>
    </row>
    <row r="836" spans="1:25" x14ac:dyDescent="0.2">
      <c r="A836" s="40"/>
      <c r="B836" s="31"/>
      <c r="C836" s="31"/>
      <c r="D836" s="41"/>
      <c r="E836" s="41"/>
      <c r="F836" s="30"/>
      <c r="G836" s="23"/>
      <c r="H836" s="23"/>
      <c r="I836" s="40"/>
      <c r="J836" s="31"/>
      <c r="K836" s="31"/>
      <c r="L836" s="41"/>
      <c r="M836" s="41"/>
      <c r="N836" s="30"/>
      <c r="O836" s="23"/>
      <c r="P836" s="37"/>
      <c r="Q836" s="23"/>
      <c r="R836" s="23"/>
      <c r="S836" s="23"/>
      <c r="T836" s="23"/>
      <c r="U836" s="23"/>
      <c r="V836" s="21"/>
      <c r="W836" s="21"/>
      <c r="X836" s="21"/>
      <c r="Y836" s="21"/>
    </row>
    <row r="837" spans="1:25" x14ac:dyDescent="0.2">
      <c r="A837" s="38" t="s">
        <v>132</v>
      </c>
      <c r="B837" s="23"/>
      <c r="C837" s="26"/>
      <c r="D837" s="79" t="s">
        <v>131</v>
      </c>
      <c r="E837" s="79"/>
      <c r="F837" s="79" t="s">
        <v>130</v>
      </c>
      <c r="G837" s="79"/>
      <c r="H837" s="23"/>
      <c r="I837" s="38" t="s">
        <v>132</v>
      </c>
      <c r="J837" s="23"/>
      <c r="K837" s="26"/>
      <c r="L837" s="79" t="s">
        <v>131</v>
      </c>
      <c r="M837" s="79"/>
      <c r="N837" s="79" t="s">
        <v>130</v>
      </c>
      <c r="O837" s="79"/>
      <c r="P837" s="52"/>
      <c r="Q837" s="23"/>
      <c r="R837" s="23"/>
      <c r="S837" s="23"/>
      <c r="T837" s="23"/>
      <c r="U837" s="23"/>
      <c r="V837" s="21"/>
      <c r="W837" s="21"/>
      <c r="X837" s="21"/>
      <c r="Y837" s="21"/>
    </row>
    <row r="838" spans="1:25" x14ac:dyDescent="0.2">
      <c r="A838" s="39"/>
      <c r="B838" s="23"/>
      <c r="C838" s="26"/>
      <c r="D838" s="79"/>
      <c r="E838" s="79"/>
      <c r="F838" s="79"/>
      <c r="G838" s="79"/>
      <c r="H838" s="23"/>
      <c r="I838" s="39"/>
      <c r="J838" s="23"/>
      <c r="K838" s="26"/>
      <c r="L838" s="79"/>
      <c r="M838" s="79"/>
      <c r="N838" s="79"/>
      <c r="O838" s="79"/>
      <c r="P838" s="52"/>
      <c r="Q838" s="23"/>
      <c r="R838" s="23"/>
      <c r="S838" s="23"/>
      <c r="T838" s="23"/>
      <c r="U838" s="23"/>
      <c r="V838" s="21"/>
      <c r="W838" s="21"/>
      <c r="X838" s="21"/>
      <c r="Y838" s="21"/>
    </row>
    <row r="839" spans="1:25" x14ac:dyDescent="0.2">
      <c r="A839" s="72" t="s">
        <v>129</v>
      </c>
      <c r="B839" s="73"/>
      <c r="C839" s="73" t="s">
        <v>119</v>
      </c>
      <c r="D839" s="78" t="str">
        <f>VLOOKUP(Q813,[95]Base_03!$A$5:$AS$24,28,0)</f>
        <v xml:space="preserve"> G 15</v>
      </c>
      <c r="E839" s="78"/>
      <c r="F839" s="77">
        <f>VLOOKUP(Q813,[95]Base_03!$A$5:$AS$24,30,0)</f>
        <v>55</v>
      </c>
      <c r="G839" s="77"/>
      <c r="H839" s="23" t="s">
        <v>124</v>
      </c>
      <c r="I839" s="72" t="s">
        <v>129</v>
      </c>
      <c r="J839" s="73"/>
      <c r="K839" s="73" t="s">
        <v>119</v>
      </c>
      <c r="L839" s="78" t="str">
        <f>VLOOKUP(Q813,[95]Base_04!$A$5:$AS$24,28,0)</f>
        <v xml:space="preserve"> G 15</v>
      </c>
      <c r="M839" s="78"/>
      <c r="N839" s="77">
        <f>VLOOKUP(Q813,[95]Base_04!$A$5:$AS$24,30,0)</f>
        <v>55</v>
      </c>
      <c r="O839" s="77"/>
      <c r="P839" s="37" t="s">
        <v>124</v>
      </c>
      <c r="Q839" s="23" t="s">
        <v>123</v>
      </c>
      <c r="R839" s="23"/>
      <c r="S839" s="23"/>
      <c r="T839" s="23"/>
      <c r="U839" s="23"/>
      <c r="V839" s="21"/>
      <c r="W839" s="21"/>
      <c r="X839" s="21"/>
      <c r="Y839" s="21"/>
    </row>
    <row r="840" spans="1:25" x14ac:dyDescent="0.2">
      <c r="A840" s="72" t="s">
        <v>128</v>
      </c>
      <c r="B840" s="73"/>
      <c r="C840" s="73" t="s">
        <v>119</v>
      </c>
      <c r="D840" s="78" t="str">
        <f>VLOOKUP(Q813,[95]Base_03!$A$5:$AS$24,31,0)</f>
        <v>H 15</v>
      </c>
      <c r="E840" s="78"/>
      <c r="F840" s="77">
        <f>VLOOKUP(Q813,[95]Base_03!$A$5:$AS$24,34,0)</f>
        <v>-5.76</v>
      </c>
      <c r="G840" s="77"/>
      <c r="H840" s="23" t="s">
        <v>124</v>
      </c>
      <c r="I840" s="72" t="s">
        <v>128</v>
      </c>
      <c r="J840" s="73"/>
      <c r="K840" s="73" t="s">
        <v>119</v>
      </c>
      <c r="L840" s="78" t="str">
        <f>VLOOKUP(Q813,[95]Base_04!$A$5:$AS$24,31,0)</f>
        <v>H 15</v>
      </c>
      <c r="M840" s="78"/>
      <c r="N840" s="77">
        <f>VLOOKUP(Q813,[95]Base_04!$A$5:$AS$24,34,0)</f>
        <v>-5.76</v>
      </c>
      <c r="O840" s="77"/>
      <c r="P840" s="37" t="s">
        <v>124</v>
      </c>
      <c r="Q840" s="23" t="s">
        <v>123</v>
      </c>
      <c r="R840" s="23"/>
      <c r="S840" s="23"/>
      <c r="T840" s="23"/>
      <c r="U840" s="23"/>
      <c r="V840" s="21"/>
      <c r="W840" s="21"/>
      <c r="X840" s="21"/>
      <c r="Y840" s="21"/>
    </row>
    <row r="841" spans="1:25" x14ac:dyDescent="0.2">
      <c r="A841" s="89" t="s">
        <v>127</v>
      </c>
      <c r="B841" s="90"/>
      <c r="C841" s="90" t="s">
        <v>119</v>
      </c>
      <c r="D841" s="91" t="str">
        <f>VLOOKUP(Q813,[95]Base_03!$A$5:$AS$24,35,0)</f>
        <v>Kayu</v>
      </c>
      <c r="E841" s="91"/>
      <c r="F841" s="92">
        <f>VLOOKUP(Q813,[95]Base_03!$A$5:$AS$24,36,0)</f>
        <v>5.76</v>
      </c>
      <c r="G841" s="92"/>
      <c r="H841" s="23" t="s">
        <v>124</v>
      </c>
      <c r="I841" s="89" t="s">
        <v>127</v>
      </c>
      <c r="J841" s="90"/>
      <c r="K841" s="90" t="s">
        <v>119</v>
      </c>
      <c r="L841" s="91" t="str">
        <f>VLOOKUP(Q813,[95]Base_04!$A$5:$AS$24,35,0)</f>
        <v>Kayu</v>
      </c>
      <c r="M841" s="91"/>
      <c r="N841" s="92">
        <f>VLOOKUP(Q813,[95]Base_04!$A$5:$AS$24,36,0)</f>
        <v>5.76</v>
      </c>
      <c r="O841" s="92"/>
      <c r="P841" s="37" t="s">
        <v>124</v>
      </c>
      <c r="Q841" s="23" t="s">
        <v>123</v>
      </c>
      <c r="R841" s="23"/>
      <c r="S841" s="23"/>
      <c r="T841" s="23"/>
      <c r="U841" s="23"/>
      <c r="V841" s="21"/>
      <c r="W841" s="21"/>
      <c r="X841" s="21"/>
      <c r="Y841" s="21"/>
    </row>
    <row r="842" spans="1:25" x14ac:dyDescent="0.2">
      <c r="A842" s="74" t="s">
        <v>126</v>
      </c>
      <c r="B842" s="75"/>
      <c r="C842" s="75"/>
      <c r="D842" s="91"/>
      <c r="E842" s="91"/>
      <c r="F842" s="92"/>
      <c r="G842" s="92"/>
      <c r="H842" s="23"/>
      <c r="I842" s="74" t="s">
        <v>126</v>
      </c>
      <c r="J842" s="75"/>
      <c r="K842" s="75"/>
      <c r="L842" s="91"/>
      <c r="M842" s="91"/>
      <c r="N842" s="92"/>
      <c r="O842" s="92"/>
      <c r="P842" s="37"/>
      <c r="Q842" s="23"/>
      <c r="R842" s="23"/>
      <c r="S842" s="23"/>
      <c r="T842" s="23"/>
      <c r="U842" s="23"/>
      <c r="V842" s="21"/>
      <c r="W842" s="21"/>
      <c r="X842" s="21"/>
      <c r="Y842" s="21"/>
    </row>
    <row r="843" spans="1:25" x14ac:dyDescent="0.2">
      <c r="A843" s="72" t="s">
        <v>125</v>
      </c>
      <c r="B843" s="73"/>
      <c r="C843" s="73" t="s">
        <v>119</v>
      </c>
      <c r="D843" s="78" t="str">
        <f>VLOOKUP(Q813,[95]Base_03!$A$5:$AS$24,39,0)</f>
        <v>R 15</v>
      </c>
      <c r="E843" s="78"/>
      <c r="F843" s="77">
        <f>VLOOKUP(Q813,[95]Base_03!$A$5:$AS$24,40,0)</f>
        <v>36</v>
      </c>
      <c r="G843" s="77"/>
      <c r="H843" s="23" t="s">
        <v>124</v>
      </c>
      <c r="I843" s="72" t="s">
        <v>125</v>
      </c>
      <c r="J843" s="73"/>
      <c r="K843" s="73" t="s">
        <v>119</v>
      </c>
      <c r="L843" s="78" t="str">
        <f>VLOOKUP(Q813,[95]Base_04!$A$5:$AS$24,39,0)</f>
        <v>R 15</v>
      </c>
      <c r="M843" s="78"/>
      <c r="N843" s="77">
        <f>VLOOKUP(Q813,[95]Base_04!$A$5:$AS$24,40,0)</f>
        <v>49</v>
      </c>
      <c r="O843" s="77"/>
      <c r="P843" s="37" t="s">
        <v>124</v>
      </c>
      <c r="Q843" s="23" t="s">
        <v>123</v>
      </c>
      <c r="R843" s="23"/>
      <c r="S843" s="23"/>
      <c r="T843" s="23"/>
      <c r="U843" s="23"/>
      <c r="V843" s="21"/>
      <c r="W843" s="21"/>
      <c r="X843" s="21"/>
      <c r="Y843" s="21"/>
    </row>
    <row r="844" spans="1:25" x14ac:dyDescent="0.2">
      <c r="A844" s="39"/>
      <c r="B844" s="23"/>
      <c r="C844" s="23"/>
      <c r="D844" s="23"/>
      <c r="E844" s="23"/>
      <c r="F844" s="23"/>
      <c r="G844" s="23"/>
      <c r="H844" s="23"/>
      <c r="I844" s="39"/>
      <c r="J844" s="45"/>
      <c r="K844" s="45"/>
      <c r="L844" s="45"/>
      <c r="M844" s="23"/>
      <c r="N844" s="30"/>
      <c r="O844" s="23"/>
      <c r="P844" s="37"/>
      <c r="Q844" s="23"/>
      <c r="R844" s="23"/>
      <c r="S844" s="23"/>
      <c r="T844" s="23"/>
      <c r="U844" s="23"/>
      <c r="V844" s="21"/>
      <c r="W844" s="21"/>
      <c r="X844" s="21"/>
      <c r="Y844" s="21"/>
    </row>
    <row r="845" spans="1:25" x14ac:dyDescent="0.2">
      <c r="A845" s="72" t="s">
        <v>122</v>
      </c>
      <c r="B845" s="73"/>
      <c r="C845" s="73" t="s">
        <v>112</v>
      </c>
      <c r="D845" s="76">
        <f>VLOOKUP(Q813,[95]Base_03!$A$5:$AS$24,42,0)</f>
        <v>6.666666666666667</v>
      </c>
      <c r="E845" s="76"/>
      <c r="F845" s="25" t="s">
        <v>118</v>
      </c>
      <c r="G845" s="23"/>
      <c r="H845" s="23"/>
      <c r="I845" s="72" t="s">
        <v>122</v>
      </c>
      <c r="J845" s="73"/>
      <c r="K845" s="73" t="s">
        <v>112</v>
      </c>
      <c r="L845" s="76">
        <f>VLOOKUP(Q813,[95]Base_04!$A$5:$AS$24,42,0)</f>
        <v>4.8979591836734695</v>
      </c>
      <c r="M845" s="76"/>
      <c r="N845" s="46" t="s">
        <v>118</v>
      </c>
      <c r="O845" s="23"/>
      <c r="P845" s="37"/>
      <c r="Q845" s="32" t="s">
        <v>121</v>
      </c>
      <c r="R845" s="23"/>
      <c r="S845" s="23"/>
      <c r="T845" s="23"/>
      <c r="U845" s="23"/>
      <c r="V845" s="21"/>
      <c r="W845" s="21"/>
      <c r="X845" s="21"/>
      <c r="Y845" s="21"/>
    </row>
    <row r="846" spans="1:25" x14ac:dyDescent="0.2">
      <c r="A846" s="72" t="s">
        <v>120</v>
      </c>
      <c r="B846" s="73"/>
      <c r="C846" s="73" t="s">
        <v>119</v>
      </c>
      <c r="D846" s="76">
        <f>VLOOKUP(Q813,[95]Base_03!$A$5:$AS$24,43,0)</f>
        <v>9.6666666666666661</v>
      </c>
      <c r="E846" s="76"/>
      <c r="F846" s="25" t="s">
        <v>118</v>
      </c>
      <c r="G846" s="23"/>
      <c r="H846" s="23"/>
      <c r="I846" s="72" t="s">
        <v>120</v>
      </c>
      <c r="J846" s="73"/>
      <c r="K846" s="73" t="s">
        <v>119</v>
      </c>
      <c r="L846" s="76">
        <f>VLOOKUP(Q813,[95]Base_04!$A$5:$AS$24,43,0)</f>
        <v>7.1020408163265314</v>
      </c>
      <c r="M846" s="76"/>
      <c r="N846" s="46" t="s">
        <v>118</v>
      </c>
      <c r="O846" s="23"/>
      <c r="P846" s="37"/>
      <c r="Q846" s="32" t="s">
        <v>117</v>
      </c>
      <c r="R846" s="23"/>
      <c r="S846" s="23"/>
      <c r="T846" s="23"/>
      <c r="U846" s="23"/>
      <c r="V846" s="21"/>
      <c r="W846" s="21"/>
      <c r="X846" s="21"/>
      <c r="Y846" s="21"/>
    </row>
    <row r="847" spans="1:25" x14ac:dyDescent="0.2">
      <c r="A847" s="72" t="s">
        <v>115</v>
      </c>
      <c r="B847" s="73"/>
      <c r="C847" s="73"/>
      <c r="D847" s="71" t="str">
        <f>VLOOKUP(Q813,[95]Base_03!$A$5:$AS$24,44,0)</f>
        <v>(Ada) Baik</v>
      </c>
      <c r="E847" s="71"/>
      <c r="F847" s="23"/>
      <c r="G847" s="23"/>
      <c r="H847" s="23"/>
      <c r="I847" s="72" t="s">
        <v>115</v>
      </c>
      <c r="J847" s="73"/>
      <c r="K847" s="73"/>
      <c r="L847" s="71" t="str">
        <f>VLOOKUP(Q813,[95]Base_04!$A$5:$AS$24,44,0)</f>
        <v>(Ada) Baik</v>
      </c>
      <c r="M847" s="71"/>
      <c r="N847" s="30"/>
      <c r="O847" s="23"/>
      <c r="P847" s="37"/>
      <c r="Q847" s="23"/>
      <c r="R847" s="23"/>
      <c r="S847" s="23"/>
      <c r="T847" s="23"/>
      <c r="U847" s="23"/>
      <c r="V847" s="21"/>
      <c r="W847" s="21"/>
      <c r="X847" s="21"/>
      <c r="Y847" s="21"/>
    </row>
    <row r="848" spans="1:25" x14ac:dyDescent="0.2">
      <c r="A848" s="74" t="s">
        <v>116</v>
      </c>
      <c r="B848" s="75"/>
      <c r="C848" s="26"/>
      <c r="D848" s="25"/>
      <c r="E848" s="25"/>
      <c r="F848" s="23"/>
      <c r="G848" s="23"/>
      <c r="H848" s="23"/>
      <c r="I848" s="74" t="s">
        <v>116</v>
      </c>
      <c r="J848" s="75"/>
      <c r="K848" s="26"/>
      <c r="L848" s="25"/>
      <c r="M848" s="25"/>
      <c r="N848" s="30"/>
      <c r="O848" s="23"/>
      <c r="P848" s="37"/>
      <c r="Q848" s="23"/>
      <c r="R848" s="23"/>
      <c r="S848" s="23"/>
      <c r="T848" s="23"/>
      <c r="U848" s="23"/>
      <c r="V848" s="21"/>
      <c r="W848" s="21"/>
      <c r="X848" s="21"/>
      <c r="Y848" s="21"/>
    </row>
    <row r="849" spans="1:25" x14ac:dyDescent="0.2">
      <c r="A849" s="72" t="s">
        <v>115</v>
      </c>
      <c r="B849" s="73"/>
      <c r="C849" s="73"/>
      <c r="D849" s="71" t="str">
        <f>VLOOKUP(Q813,[95]Base_03!$A$5:$AS$24,45,0)</f>
        <v>Air Pam (Baik)</v>
      </c>
      <c r="E849" s="71"/>
      <c r="F849" s="23"/>
      <c r="G849" s="23"/>
      <c r="H849" s="23"/>
      <c r="I849" s="72" t="s">
        <v>115</v>
      </c>
      <c r="J849" s="73"/>
      <c r="K849" s="73"/>
      <c r="L849" s="71" t="str">
        <f>VLOOKUP(Q813,[95]Base_04!$A$5:$AS$24,45,0)</f>
        <v>Air Pam (Baik)</v>
      </c>
      <c r="M849" s="71"/>
      <c r="N849" s="30"/>
      <c r="O849" s="23"/>
      <c r="P849" s="37"/>
      <c r="Q849" s="23"/>
      <c r="R849" s="23"/>
      <c r="S849" s="23"/>
      <c r="T849" s="23"/>
      <c r="U849" s="23"/>
      <c r="V849" s="21"/>
      <c r="W849" s="21"/>
      <c r="X849" s="21"/>
      <c r="Y849" s="21"/>
    </row>
    <row r="850" spans="1:25" x14ac:dyDescent="0.2">
      <c r="A850" s="74" t="s">
        <v>114</v>
      </c>
      <c r="B850" s="75"/>
      <c r="C850" s="26"/>
      <c r="D850" s="25"/>
      <c r="E850" s="25"/>
      <c r="F850" s="23"/>
      <c r="G850" s="23"/>
      <c r="H850" s="23"/>
      <c r="I850" s="74" t="s">
        <v>114</v>
      </c>
      <c r="J850" s="75"/>
      <c r="K850" s="26"/>
      <c r="L850" s="25"/>
      <c r="M850" s="25"/>
      <c r="N850" s="30"/>
      <c r="O850" s="23"/>
      <c r="P850" s="37"/>
      <c r="Q850" s="23"/>
      <c r="R850" s="23"/>
      <c r="S850" s="23"/>
      <c r="T850" s="23"/>
      <c r="U850" s="23"/>
      <c r="V850" s="21"/>
      <c r="W850" s="21"/>
      <c r="X850" s="21"/>
      <c r="Y850" s="21"/>
    </row>
    <row r="851" spans="1:25" x14ac:dyDescent="0.2">
      <c r="A851" s="36" t="s">
        <v>113</v>
      </c>
      <c r="B851" s="23"/>
      <c r="C851" s="26" t="s">
        <v>112</v>
      </c>
      <c r="D851" s="71">
        <f>VLOOKUP(Q813,[94]Base_02!$A$5:$S$24,18,0)</f>
        <v>0</v>
      </c>
      <c r="E851" s="71"/>
      <c r="F851" s="23" t="str">
        <f>IF(D851&gt;0,"LU","LS")</f>
        <v>LS</v>
      </c>
      <c r="G851" s="23"/>
      <c r="H851" s="23"/>
      <c r="I851" s="36" t="s">
        <v>113</v>
      </c>
      <c r="J851" s="26"/>
      <c r="K851" s="26" t="s">
        <v>112</v>
      </c>
      <c r="L851" s="71">
        <f>D851</f>
        <v>0</v>
      </c>
      <c r="M851" s="71"/>
      <c r="N851" s="23" t="str">
        <f>IF(L851&gt;0,"LU","LS")</f>
        <v>LS</v>
      </c>
      <c r="O851" s="23"/>
      <c r="P851" s="37"/>
      <c r="Q851" s="23"/>
      <c r="R851" s="23"/>
      <c r="S851" s="23"/>
      <c r="T851" s="23"/>
      <c r="U851" s="23"/>
      <c r="V851" s="21"/>
      <c r="W851" s="21"/>
      <c r="X851" s="21"/>
      <c r="Y851" s="21"/>
    </row>
    <row r="852" spans="1:25" x14ac:dyDescent="0.2">
      <c r="A852" s="42"/>
      <c r="B852" s="43"/>
      <c r="C852" s="44" t="s">
        <v>111</v>
      </c>
      <c r="D852" s="70">
        <f>VLOOKUP(Q813,[94]Base_02!$A$5:$S$24,19,0)</f>
        <v>0</v>
      </c>
      <c r="E852" s="70"/>
      <c r="F852" s="43" t="s">
        <v>110</v>
      </c>
      <c r="G852" s="43"/>
      <c r="H852" s="43"/>
      <c r="I852" s="42"/>
      <c r="J852" s="43"/>
      <c r="K852" s="43"/>
      <c r="L852" s="70">
        <f>D852</f>
        <v>0</v>
      </c>
      <c r="M852" s="70"/>
      <c r="N852" s="47" t="s">
        <v>110</v>
      </c>
      <c r="O852" s="44"/>
      <c r="P852" s="53"/>
      <c r="Q852" s="23"/>
      <c r="R852" s="23"/>
      <c r="S852" s="23"/>
      <c r="T852" s="23"/>
      <c r="U852" s="23"/>
      <c r="V852" s="21"/>
      <c r="W852" s="21"/>
      <c r="X852" s="21"/>
      <c r="Y852" s="21"/>
    </row>
    <row r="853" spans="1:25" x14ac:dyDescent="0.2">
      <c r="A853" s="23"/>
      <c r="B853" s="23"/>
      <c r="C853" s="26"/>
      <c r="D853" s="23"/>
      <c r="E853" s="23"/>
      <c r="F853" s="23"/>
      <c r="G853" s="23"/>
      <c r="H853" s="23"/>
      <c r="I853" s="23"/>
      <c r="J853" s="23"/>
      <c r="K853" s="25"/>
      <c r="L853" s="25"/>
      <c r="M853" s="30"/>
      <c r="N853" s="23"/>
      <c r="O853" s="23"/>
      <c r="P853" s="23"/>
      <c r="Q853" s="23"/>
      <c r="R853" s="23"/>
      <c r="S853" s="23"/>
      <c r="T853" s="23"/>
      <c r="U853" s="23"/>
      <c r="V853" s="23"/>
      <c r="W853" s="23"/>
      <c r="X853" s="23"/>
      <c r="Y853" s="23"/>
    </row>
    <row r="854" spans="1:25" x14ac:dyDescent="0.2">
      <c r="A854" s="23"/>
      <c r="B854" s="23"/>
      <c r="C854" s="23"/>
      <c r="D854" s="23"/>
      <c r="E854" s="23"/>
      <c r="F854" s="23"/>
      <c r="G854" s="23"/>
      <c r="H854" s="23"/>
      <c r="I854" s="23"/>
      <c r="J854" s="23"/>
      <c r="K854" s="23"/>
      <c r="L854" s="23"/>
      <c r="M854" s="30"/>
      <c r="N854" s="23"/>
      <c r="O854" s="23"/>
      <c r="P854" s="23"/>
      <c r="Q854" s="23"/>
      <c r="R854" s="23"/>
      <c r="S854" s="23"/>
      <c r="T854" s="23"/>
      <c r="U854" s="23"/>
      <c r="V854" s="23"/>
      <c r="W854" s="23"/>
      <c r="X854" s="23"/>
      <c r="Y854" s="23"/>
    </row>
    <row r="855" spans="1:25" x14ac:dyDescent="0.2">
      <c r="A855" s="23"/>
      <c r="B855" s="23"/>
      <c r="C855" s="23"/>
      <c r="D855" s="23"/>
      <c r="E855" s="23"/>
      <c r="F855" s="23"/>
      <c r="G855" s="23"/>
      <c r="H855" s="23"/>
      <c r="I855" s="23"/>
      <c r="J855" s="23"/>
      <c r="K855" s="23"/>
      <c r="L855" s="71" t="str">
        <f>[94]Base_01!$C$4&amp;", …..  …........................  2026"</f>
        <v>Sorong, …..  …........................  2026</v>
      </c>
      <c r="M855" s="71"/>
      <c r="N855" s="71"/>
      <c r="O855" s="71"/>
      <c r="P855" s="71"/>
      <c r="Q855" s="23"/>
      <c r="R855" s="23"/>
      <c r="S855" s="23"/>
      <c r="T855" s="23"/>
      <c r="U855" s="23"/>
      <c r="V855" s="23"/>
      <c r="W855" s="23"/>
      <c r="X855" s="23"/>
      <c r="Y855" s="23"/>
    </row>
    <row r="856" spans="1:25" x14ac:dyDescent="0.2">
      <c r="A856" s="71" t="s">
        <v>108</v>
      </c>
      <c r="B856" s="71"/>
      <c r="C856" s="71"/>
      <c r="D856" s="71"/>
      <c r="E856" s="71"/>
      <c r="F856" s="71"/>
      <c r="G856" s="23"/>
      <c r="H856" s="23"/>
      <c r="I856" s="23"/>
      <c r="J856" s="23"/>
      <c r="K856" s="23"/>
      <c r="L856" s="71" t="s">
        <v>152</v>
      </c>
      <c r="M856" s="71"/>
      <c r="N856" s="71"/>
      <c r="O856" s="71"/>
      <c r="P856" s="71"/>
      <c r="Q856" s="23"/>
      <c r="R856" s="23"/>
      <c r="S856" s="23"/>
      <c r="T856" s="23"/>
      <c r="U856" s="23"/>
      <c r="V856" s="23"/>
      <c r="W856" s="23"/>
      <c r="X856" s="23"/>
      <c r="Y856" s="23"/>
    </row>
    <row r="857" spans="1:25" x14ac:dyDescent="0.2">
      <c r="A857" s="71" t="s">
        <v>153</v>
      </c>
      <c r="B857" s="71"/>
      <c r="C857" s="71"/>
      <c r="D857" s="71"/>
      <c r="E857" s="71"/>
      <c r="F857" s="71"/>
      <c r="G857" s="23"/>
      <c r="H857" s="23"/>
      <c r="I857" s="23"/>
      <c r="J857" s="23"/>
      <c r="K857" s="23"/>
      <c r="L857" s="71" t="s">
        <v>107</v>
      </c>
      <c r="M857" s="71"/>
      <c r="N857" s="71"/>
      <c r="O857" s="71"/>
      <c r="P857" s="71"/>
      <c r="Q857" s="23"/>
      <c r="R857" s="23"/>
      <c r="S857" s="23"/>
      <c r="T857" s="23"/>
      <c r="U857" s="23"/>
      <c r="V857" s="23"/>
      <c r="W857" s="23"/>
      <c r="X857" s="23"/>
      <c r="Y857" s="23"/>
    </row>
    <row r="858" spans="1:25" x14ac:dyDescent="0.2">
      <c r="A858" s="23"/>
      <c r="B858" s="23"/>
      <c r="C858" s="23"/>
      <c r="D858" s="23"/>
      <c r="E858" s="23"/>
      <c r="F858" s="23"/>
      <c r="G858" s="23"/>
      <c r="H858" s="23"/>
      <c r="I858" s="23"/>
      <c r="J858" s="23"/>
      <c r="K858" s="23"/>
      <c r="L858" s="23"/>
      <c r="M858" s="30"/>
      <c r="N858" s="23"/>
      <c r="O858" s="23"/>
      <c r="P858" s="23"/>
      <c r="Q858" s="23"/>
      <c r="R858" s="23"/>
      <c r="S858" s="23"/>
      <c r="T858" s="23"/>
      <c r="U858" s="23"/>
      <c r="V858" s="23"/>
      <c r="W858" s="23"/>
      <c r="X858" s="23"/>
      <c r="Y858" s="23"/>
    </row>
    <row r="859" spans="1:25" x14ac:dyDescent="0.2">
      <c r="A859" s="23"/>
      <c r="B859" s="23"/>
      <c r="C859" s="23"/>
      <c r="D859" s="23"/>
      <c r="E859" s="23"/>
      <c r="F859" s="23"/>
      <c r="G859" s="23"/>
      <c r="H859" s="23"/>
      <c r="I859" s="23"/>
      <c r="J859" s="23"/>
      <c r="K859" s="23"/>
      <c r="L859" s="23"/>
      <c r="M859" s="30"/>
      <c r="N859" s="23"/>
      <c r="O859" s="23"/>
      <c r="P859" s="23"/>
      <c r="Q859" s="23"/>
      <c r="R859" s="23"/>
      <c r="S859" s="23"/>
      <c r="T859" s="23"/>
      <c r="U859" s="23"/>
      <c r="V859" s="23"/>
      <c r="W859" s="23"/>
      <c r="X859" s="23"/>
      <c r="Y859" s="23"/>
    </row>
    <row r="860" spans="1:25" x14ac:dyDescent="0.2">
      <c r="A860" s="23"/>
      <c r="B860" s="23"/>
      <c r="C860" s="23"/>
      <c r="D860" s="23"/>
      <c r="E860" s="23"/>
      <c r="F860" s="23"/>
      <c r="G860" s="23"/>
      <c r="H860" s="23"/>
      <c r="I860" s="23"/>
      <c r="J860" s="23"/>
      <c r="K860" s="23"/>
      <c r="L860" s="23"/>
      <c r="M860" s="30"/>
      <c r="N860" s="23"/>
      <c r="O860" s="23"/>
      <c r="P860" s="23"/>
      <c r="Q860" s="23"/>
      <c r="R860" s="23"/>
      <c r="S860" s="23"/>
      <c r="T860" s="23"/>
      <c r="U860" s="23"/>
      <c r="V860" s="23"/>
      <c r="W860" s="23"/>
      <c r="X860" s="23"/>
      <c r="Y860" s="23"/>
    </row>
    <row r="861" spans="1:25" x14ac:dyDescent="0.2">
      <c r="A861" s="23"/>
      <c r="B861" s="23"/>
      <c r="C861" s="23"/>
      <c r="D861" s="23"/>
      <c r="E861" s="23"/>
      <c r="F861" s="23"/>
      <c r="G861" s="23"/>
      <c r="H861" s="23"/>
      <c r="I861" s="23"/>
      <c r="J861" s="23"/>
      <c r="K861" s="23"/>
      <c r="L861" s="23"/>
      <c r="M861" s="30"/>
      <c r="N861" s="23"/>
      <c r="O861" s="23"/>
      <c r="P861" s="23"/>
      <c r="Q861" s="23"/>
      <c r="R861" s="23"/>
      <c r="S861" s="23"/>
      <c r="T861" s="23"/>
      <c r="U861" s="23"/>
      <c r="V861" s="23"/>
      <c r="W861" s="23"/>
      <c r="X861" s="23"/>
      <c r="Y861" s="23"/>
    </row>
    <row r="862" spans="1:25" x14ac:dyDescent="0.2">
      <c r="A862" s="87" t="str">
        <f>[94]Base_02!$C$28</f>
        <v>Nama PB 1</v>
      </c>
      <c r="B862" s="87"/>
      <c r="C862" s="87"/>
      <c r="D862" s="87"/>
      <c r="E862" s="87"/>
      <c r="F862" s="87"/>
      <c r="G862" s="23"/>
      <c r="H862" s="23"/>
      <c r="I862" s="23"/>
      <c r="J862" s="23"/>
      <c r="K862" s="23"/>
      <c r="L862" s="71" t="str">
        <f>E818</f>
        <v>Nama PB 15</v>
      </c>
      <c r="M862" s="71"/>
      <c r="N862" s="71"/>
      <c r="O862" s="71"/>
      <c r="P862" s="71"/>
      <c r="Q862" s="23"/>
      <c r="R862" s="23"/>
      <c r="S862" s="23"/>
      <c r="T862" s="23"/>
      <c r="U862" s="23"/>
      <c r="V862" s="23"/>
      <c r="W862" s="23"/>
      <c r="X862" s="23"/>
      <c r="Y862" s="23"/>
    </row>
    <row r="863" spans="1:25" x14ac:dyDescent="0.2">
      <c r="A863" s="23"/>
      <c r="B863" s="23"/>
      <c r="C863" s="23"/>
      <c r="D863" s="23"/>
      <c r="E863" s="23"/>
      <c r="F863" s="23"/>
      <c r="G863" s="23"/>
      <c r="H863" s="23"/>
      <c r="I863" s="23"/>
      <c r="J863" s="23"/>
      <c r="K863" s="23"/>
      <c r="L863" s="23"/>
      <c r="M863" s="30"/>
      <c r="N863" s="23"/>
      <c r="O863" s="23"/>
      <c r="P863" s="23"/>
      <c r="Q863" s="23"/>
      <c r="R863" s="23"/>
      <c r="S863" s="23"/>
      <c r="T863" s="23"/>
      <c r="U863" s="23"/>
      <c r="V863" s="23"/>
      <c r="W863" s="23"/>
      <c r="X863" s="23"/>
      <c r="Y863" s="23"/>
    </row>
    <row r="864" spans="1:25" x14ac:dyDescent="0.2">
      <c r="A864" s="87" t="s">
        <v>109</v>
      </c>
      <c r="B864" s="87"/>
      <c r="C864" s="87"/>
      <c r="D864" s="87"/>
      <c r="E864" s="87"/>
      <c r="F864" s="87"/>
      <c r="G864" s="23"/>
      <c r="H864" s="23"/>
      <c r="I864" s="29"/>
      <c r="J864" s="24"/>
      <c r="K864" s="24"/>
      <c r="L864" s="88" t="s">
        <v>92</v>
      </c>
      <c r="M864" s="88"/>
      <c r="N864" s="88"/>
      <c r="O864" s="88"/>
      <c r="P864" s="88"/>
      <c r="Q864" s="23"/>
      <c r="R864" s="23"/>
      <c r="S864" s="23"/>
      <c r="T864" s="23"/>
      <c r="U864" s="23"/>
      <c r="V864" s="23"/>
      <c r="W864" s="23"/>
      <c r="X864" s="23"/>
      <c r="Y864" s="23"/>
    </row>
    <row r="865" spans="1:25" x14ac:dyDescent="0.2">
      <c r="A865" s="68" t="s">
        <v>91</v>
      </c>
      <c r="B865" s="68"/>
      <c r="C865" s="68"/>
      <c r="D865" s="68"/>
      <c r="E865" s="68"/>
      <c r="F865" s="68"/>
      <c r="I865" s="28"/>
      <c r="J865" s="28"/>
      <c r="K865" s="28"/>
      <c r="L865" s="69" t="str">
        <f>[94]Base_01!$B$17&amp;" "&amp;[94]Base_01!$C$4</f>
        <v>Koordinator Kota Sorong</v>
      </c>
      <c r="M865" s="69"/>
      <c r="N865" s="69"/>
      <c r="O865" s="69"/>
      <c r="P865" s="69"/>
      <c r="Q865" s="23"/>
      <c r="R865" s="23"/>
      <c r="S865" s="23"/>
      <c r="T865" s="23"/>
      <c r="U865" s="23"/>
      <c r="V865" s="23"/>
      <c r="W865" s="23"/>
      <c r="X865" s="23"/>
      <c r="Y865" s="23"/>
    </row>
    <row r="866" spans="1:25" x14ac:dyDescent="0.2">
      <c r="M866" s="27"/>
      <c r="Q866" s="23"/>
      <c r="R866" s="23"/>
      <c r="S866" s="23"/>
      <c r="T866" s="23"/>
      <c r="U866" s="23"/>
      <c r="V866" s="23"/>
      <c r="W866" s="23"/>
      <c r="X866" s="23"/>
      <c r="Y866" s="23"/>
    </row>
    <row r="867" spans="1:25" x14ac:dyDescent="0.2">
      <c r="M867" s="27"/>
      <c r="Q867" s="23"/>
      <c r="R867" s="23"/>
      <c r="S867" s="23"/>
      <c r="T867" s="23"/>
      <c r="U867" s="23"/>
      <c r="V867" s="23"/>
      <c r="W867" s="23"/>
      <c r="X867" s="23"/>
      <c r="Y867" s="23"/>
    </row>
    <row r="868" spans="1:25" x14ac:dyDescent="0.2">
      <c r="M868" s="27"/>
      <c r="Q868" s="23"/>
      <c r="R868" s="23"/>
      <c r="S868" s="23"/>
      <c r="T868" s="23"/>
      <c r="U868" s="23"/>
      <c r="V868" s="23"/>
      <c r="W868" s="23"/>
      <c r="X868" s="23"/>
      <c r="Y868" s="23"/>
    </row>
    <row r="869" spans="1:25" x14ac:dyDescent="0.2">
      <c r="M869" s="27"/>
      <c r="Q869" s="23"/>
      <c r="R869" s="23"/>
      <c r="S869" s="23"/>
      <c r="T869" s="23"/>
      <c r="U869" s="23"/>
      <c r="V869" s="23"/>
      <c r="W869" s="23"/>
      <c r="X869" s="23"/>
      <c r="Y869" s="23"/>
    </row>
    <row r="870" spans="1:25" x14ac:dyDescent="0.2">
      <c r="A870" s="68" t="str">
        <f>[94]Base_01!$C$20</f>
        <v>…...............         …...............</v>
      </c>
      <c r="B870" s="68"/>
      <c r="C870" s="68"/>
      <c r="D870" s="68"/>
      <c r="E870" s="68"/>
      <c r="F870" s="68"/>
      <c r="L870" s="68" t="str">
        <f>[94]Base_01!$C$17</f>
        <v>AfrIandi Yudhistira, S.T.</v>
      </c>
      <c r="M870" s="68"/>
      <c r="N870" s="68"/>
      <c r="O870" s="68"/>
      <c r="P870" s="68"/>
      <c r="Q870" s="23"/>
      <c r="R870" s="23"/>
      <c r="S870" s="23"/>
      <c r="T870" s="23"/>
      <c r="U870" s="23"/>
      <c r="V870" s="23"/>
      <c r="W870" s="23"/>
      <c r="X870" s="23"/>
      <c r="Y870" s="23"/>
    </row>
    <row r="871" spans="1:25" x14ac:dyDescent="0.2">
      <c r="A871" s="86" t="s">
        <v>149</v>
      </c>
      <c r="B871" s="86"/>
      <c r="C871" s="86"/>
      <c r="D871" s="86"/>
      <c r="E871" s="86"/>
      <c r="F871" s="86"/>
      <c r="G871" s="86"/>
      <c r="H871" s="86"/>
      <c r="I871" s="86"/>
      <c r="J871" s="86"/>
      <c r="K871" s="86"/>
      <c r="L871" s="86"/>
      <c r="M871" s="86"/>
      <c r="N871" s="86"/>
      <c r="O871" s="86"/>
      <c r="P871" s="86"/>
      <c r="Q871" s="23">
        <f>Q813+1</f>
        <v>16</v>
      </c>
      <c r="R871" s="23"/>
      <c r="S871" s="23"/>
      <c r="T871" s="23"/>
      <c r="U871" s="23"/>
      <c r="V871" s="23"/>
      <c r="W871" s="23"/>
      <c r="X871" s="23"/>
      <c r="Y871" s="23"/>
    </row>
    <row r="872" spans="1:25" x14ac:dyDescent="0.2">
      <c r="A872" s="71" t="s">
        <v>148</v>
      </c>
      <c r="B872" s="71"/>
      <c r="C872" s="71"/>
      <c r="D872" s="71"/>
      <c r="E872" s="71"/>
      <c r="F872" s="71"/>
      <c r="G872" s="71"/>
      <c r="H872" s="71"/>
      <c r="I872" s="71"/>
      <c r="J872" s="71"/>
      <c r="K872" s="71"/>
      <c r="L872" s="71"/>
      <c r="M872" s="71"/>
      <c r="N872" s="71"/>
      <c r="O872" s="71"/>
      <c r="P872" s="71"/>
      <c r="Q872" s="23"/>
      <c r="R872" s="23"/>
      <c r="S872" s="23"/>
      <c r="T872" s="23"/>
      <c r="U872" s="23"/>
      <c r="V872" s="23"/>
      <c r="W872" s="23"/>
      <c r="X872" s="23"/>
      <c r="Y872" s="23"/>
    </row>
    <row r="873" spans="1:25" x14ac:dyDescent="0.2">
      <c r="A873" s="25"/>
      <c r="B873" s="25"/>
      <c r="C873" s="25"/>
      <c r="D873" s="25"/>
      <c r="E873" s="25"/>
      <c r="F873" s="25"/>
      <c r="G873" s="25"/>
      <c r="H873" s="25"/>
      <c r="I873" s="23"/>
      <c r="J873" s="24"/>
      <c r="K873" s="24"/>
      <c r="L873" s="24"/>
      <c r="M873" s="24"/>
      <c r="N873" s="24"/>
      <c r="O873" s="24"/>
      <c r="P873" s="24"/>
      <c r="Q873" s="23"/>
      <c r="R873" s="23"/>
      <c r="S873" s="23"/>
      <c r="T873" s="23"/>
      <c r="U873" s="23"/>
      <c r="V873" s="23"/>
      <c r="W873" s="23"/>
      <c r="X873" s="23"/>
      <c r="Y873" s="23"/>
    </row>
    <row r="874" spans="1:25" x14ac:dyDescent="0.2">
      <c r="A874" s="73" t="s">
        <v>147</v>
      </c>
      <c r="B874" s="73"/>
      <c r="C874" s="73"/>
      <c r="D874" s="73"/>
      <c r="E874" s="35" t="str">
        <f>VLOOKUP(Q871,[94]Base_02!$A$5:$AD$24,2,0)</f>
        <v>000016</v>
      </c>
      <c r="F874" s="23"/>
      <c r="G874" s="23"/>
      <c r="H874" s="24"/>
      <c r="I874" s="23"/>
      <c r="J874" s="24"/>
      <c r="K874" s="24"/>
      <c r="L874" s="24"/>
      <c r="M874" s="24"/>
      <c r="N874" s="24"/>
      <c r="O874" s="24"/>
      <c r="P874" s="24"/>
      <c r="Q874" s="23"/>
      <c r="R874" s="23"/>
      <c r="S874" s="23"/>
      <c r="T874" s="23"/>
      <c r="U874" s="23"/>
      <c r="V874" s="23"/>
      <c r="W874" s="23"/>
      <c r="X874" s="23"/>
      <c r="Y874" s="23"/>
    </row>
    <row r="875" spans="1:25" x14ac:dyDescent="0.2">
      <c r="A875" s="73" t="s">
        <v>68</v>
      </c>
      <c r="B875" s="73"/>
      <c r="C875" s="73"/>
      <c r="D875" s="73"/>
      <c r="E875" s="35">
        <f>VLOOKUP(Q871,[94]Base_02!$A$5:$AD$24,14,0)</f>
        <v>0</v>
      </c>
      <c r="F875" s="23"/>
      <c r="G875" s="23"/>
      <c r="H875" s="24"/>
      <c r="I875" s="23"/>
      <c r="J875" s="24"/>
      <c r="K875" s="24"/>
      <c r="L875" s="24"/>
      <c r="M875" s="24"/>
      <c r="N875" s="24"/>
      <c r="O875" s="24"/>
      <c r="P875" s="24"/>
      <c r="Q875" s="23"/>
      <c r="R875" s="23"/>
      <c r="S875" s="23"/>
      <c r="T875" s="23"/>
      <c r="U875" s="23"/>
      <c r="V875" s="23"/>
      <c r="W875" s="23"/>
      <c r="X875" s="23"/>
      <c r="Y875" s="23"/>
    </row>
    <row r="876" spans="1:25" x14ac:dyDescent="0.2">
      <c r="A876" s="73" t="s">
        <v>150</v>
      </c>
      <c r="B876" s="73"/>
      <c r="C876" s="73"/>
      <c r="D876" s="73"/>
      <c r="E876" s="35" t="str">
        <f>VLOOKUP(Q871,[94]Base_02!$A$5:$AD$24,3,0)</f>
        <v>Nama PB 16</v>
      </c>
      <c r="F876" s="23"/>
      <c r="G876" s="23"/>
      <c r="H876" s="24"/>
      <c r="I876" s="23"/>
      <c r="J876" s="24"/>
      <c r="K876" s="24"/>
      <c r="L876" s="24"/>
      <c r="M876" s="24"/>
      <c r="N876" s="24"/>
      <c r="O876" s="24"/>
      <c r="P876" s="24"/>
      <c r="Q876" s="23"/>
      <c r="R876" s="23"/>
      <c r="S876" s="23"/>
      <c r="T876" s="23"/>
      <c r="U876" s="23"/>
      <c r="V876" s="23"/>
      <c r="W876" s="23"/>
      <c r="X876" s="23"/>
      <c r="Y876" s="23"/>
    </row>
    <row r="877" spans="1:25" x14ac:dyDescent="0.2">
      <c r="A877" s="73" t="s">
        <v>18</v>
      </c>
      <c r="B877" s="73"/>
      <c r="C877" s="73"/>
      <c r="D877" s="73"/>
      <c r="E877" s="35" t="str">
        <f>VLOOKUP(Q871,[94]Base_02!$A$5:$Z$24,11,FALSE)&amp;", RT "&amp;VLOOKUP(Q871,[94]Base_02!$A$5:$Z$24,12,FALSE)&amp;", RW "&amp;VLOOKUP(Q871,[94]Base_02!$A$5:$Z$24,13,FALSE)</f>
        <v>Jalan Kanal Victory, RT 2, RW 1</v>
      </c>
      <c r="F877" s="23"/>
      <c r="G877" s="23"/>
      <c r="H877" s="35"/>
      <c r="I877" s="23"/>
      <c r="J877" s="24"/>
      <c r="K877" s="24"/>
      <c r="L877" s="24"/>
      <c r="M877" s="24"/>
      <c r="N877" s="24"/>
      <c r="O877" s="24"/>
      <c r="P877" s="24"/>
      <c r="Q877" s="23"/>
      <c r="R877" s="23"/>
      <c r="S877" s="23"/>
      <c r="T877" s="23"/>
      <c r="U877" s="23"/>
      <c r="V877" s="23"/>
      <c r="W877" s="23"/>
      <c r="X877" s="23"/>
      <c r="Y877" s="23"/>
    </row>
    <row r="878" spans="1:25" x14ac:dyDescent="0.2">
      <c r="A878" s="73" t="str">
        <f>[94]Base_01!$B$2</f>
        <v>Kelurahan</v>
      </c>
      <c r="B878" s="73"/>
      <c r="C878" s="73"/>
      <c r="D878" s="73"/>
      <c r="E878" s="35" t="str">
        <f>[94]Base_01!$C$2</f>
        <v>Klasabi</v>
      </c>
      <c r="F878" s="23"/>
      <c r="G878" s="23"/>
      <c r="H878" s="24"/>
      <c r="I878" s="23"/>
      <c r="J878" s="24"/>
      <c r="K878" s="24"/>
      <c r="L878" s="24"/>
      <c r="M878" s="24"/>
      <c r="N878" s="24"/>
      <c r="O878" s="24"/>
      <c r="P878" s="24"/>
      <c r="Q878" s="23" t="s">
        <v>146</v>
      </c>
      <c r="R878" s="23"/>
      <c r="S878" s="23"/>
      <c r="T878" s="23"/>
      <c r="U878" s="23"/>
      <c r="V878" s="23"/>
      <c r="W878" s="23"/>
      <c r="X878" s="23"/>
      <c r="Y878" s="23"/>
    </row>
    <row r="879" spans="1:25" x14ac:dyDescent="0.2">
      <c r="A879" s="73" t="s">
        <v>19</v>
      </c>
      <c r="B879" s="73"/>
      <c r="C879" s="73"/>
      <c r="D879" s="73"/>
      <c r="E879" s="35" t="str">
        <f>[94]Base_01!$C$3</f>
        <v>Sorong Manoi</v>
      </c>
      <c r="F879" s="23"/>
      <c r="G879" s="23"/>
      <c r="H879" s="24"/>
      <c r="I879" s="23"/>
      <c r="J879" s="24"/>
      <c r="K879" s="24"/>
      <c r="L879" s="24"/>
      <c r="M879" s="24"/>
      <c r="N879" s="24"/>
      <c r="O879" s="24"/>
      <c r="P879" s="24"/>
      <c r="Q879" s="23" t="s">
        <v>145</v>
      </c>
      <c r="R879" s="23"/>
      <c r="S879" s="23"/>
      <c r="T879" s="23"/>
      <c r="U879" s="23"/>
      <c r="V879" s="23"/>
      <c r="W879" s="23"/>
      <c r="X879" s="23"/>
      <c r="Y879" s="23"/>
    </row>
    <row r="880" spans="1:25" x14ac:dyDescent="0.2">
      <c r="A880" s="73" t="str">
        <f>[94]Base_01!$B$4</f>
        <v>Kota</v>
      </c>
      <c r="B880" s="73"/>
      <c r="C880" s="73"/>
      <c r="D880" s="73"/>
      <c r="E880" s="35" t="str">
        <f>[94]Base_01!$C$4</f>
        <v>Sorong</v>
      </c>
      <c r="F880" s="23"/>
      <c r="G880" s="23"/>
      <c r="H880" s="24"/>
      <c r="I880" s="23"/>
      <c r="J880" s="24"/>
      <c r="K880" s="24"/>
      <c r="L880" s="24"/>
      <c r="M880" s="24"/>
      <c r="N880" s="24"/>
      <c r="O880" s="24"/>
      <c r="P880" s="24"/>
      <c r="Q880" s="23" t="s">
        <v>144</v>
      </c>
      <c r="R880" s="23"/>
      <c r="S880" s="23"/>
      <c r="T880" s="23"/>
      <c r="U880" s="23"/>
      <c r="V880" s="23"/>
      <c r="W880" s="23"/>
      <c r="X880" s="23"/>
      <c r="Y880" s="23"/>
    </row>
    <row r="881" spans="1:25" x14ac:dyDescent="0.2">
      <c r="A881" s="73" t="str">
        <f>[94]Base_01!$B$5</f>
        <v>Provinsi</v>
      </c>
      <c r="B881" s="73"/>
      <c r="C881" s="73"/>
      <c r="D881" s="73"/>
      <c r="E881" s="23" t="str">
        <f>[94]Base_01!$C$5</f>
        <v>Papua Barat Daya</v>
      </c>
      <c r="F881" s="23"/>
      <c r="G881" s="24"/>
      <c r="H881" s="24"/>
      <c r="I881" s="23"/>
      <c r="J881" s="24"/>
      <c r="K881" s="24"/>
      <c r="L881" s="24"/>
      <c r="M881" s="24"/>
      <c r="N881" s="24"/>
      <c r="O881" s="24"/>
      <c r="P881" s="24"/>
      <c r="Q881" s="23" t="s">
        <v>143</v>
      </c>
      <c r="R881" s="23"/>
      <c r="S881" s="23"/>
      <c r="T881" s="23"/>
      <c r="U881" s="23"/>
      <c r="V881" s="23"/>
      <c r="W881" s="23"/>
      <c r="X881" s="23"/>
      <c r="Y881" s="23"/>
    </row>
    <row r="882" spans="1:25" x14ac:dyDescent="0.2">
      <c r="A882" s="23"/>
      <c r="B882" s="23"/>
      <c r="C882" s="23"/>
      <c r="D882" s="23"/>
      <c r="E882" s="23"/>
      <c r="F882" s="23"/>
      <c r="G882" s="23"/>
      <c r="H882" s="23"/>
      <c r="I882" s="24"/>
      <c r="J882" s="24"/>
      <c r="K882" s="24"/>
      <c r="L882" s="24"/>
      <c r="M882" s="24"/>
      <c r="N882" s="24"/>
      <c r="O882" s="24"/>
      <c r="P882" s="24"/>
      <c r="Q882" s="23"/>
      <c r="R882" s="23"/>
      <c r="S882" s="23"/>
      <c r="T882" s="23"/>
      <c r="U882" s="23"/>
      <c r="V882" s="23"/>
      <c r="W882" s="23"/>
      <c r="X882" s="23"/>
      <c r="Y882" s="23"/>
    </row>
    <row r="883" spans="1:25" x14ac:dyDescent="0.2">
      <c r="A883" s="33"/>
      <c r="B883" s="33"/>
      <c r="C883" s="33"/>
      <c r="D883" s="33"/>
      <c r="E883" s="33"/>
      <c r="F883" s="33"/>
      <c r="G883" s="33"/>
      <c r="H883" s="33"/>
      <c r="I883" s="33"/>
      <c r="J883" s="33"/>
      <c r="K883" s="33"/>
      <c r="L883" s="33"/>
      <c r="M883" s="34"/>
      <c r="N883" s="33"/>
      <c r="O883" s="33"/>
      <c r="P883" s="33"/>
      <c r="Q883" s="23"/>
      <c r="R883" s="23"/>
      <c r="S883" s="23"/>
      <c r="T883" s="23"/>
      <c r="U883" s="23"/>
      <c r="V883" s="23"/>
      <c r="W883" s="23"/>
      <c r="X883" s="23"/>
      <c r="Y883" s="23"/>
    </row>
    <row r="884" spans="1:25" x14ac:dyDescent="0.2">
      <c r="A884" s="80" t="s">
        <v>142</v>
      </c>
      <c r="B884" s="81"/>
      <c r="C884" s="81"/>
      <c r="D884" s="81"/>
      <c r="E884" s="81"/>
      <c r="F884" s="81"/>
      <c r="G884" s="81"/>
      <c r="H884" s="81"/>
      <c r="I884" s="80" t="s">
        <v>151</v>
      </c>
      <c r="J884" s="81"/>
      <c r="K884" s="81"/>
      <c r="L884" s="81"/>
      <c r="M884" s="81"/>
      <c r="N884" s="81"/>
      <c r="O884" s="81"/>
      <c r="P884" s="82"/>
      <c r="Q884" s="23"/>
      <c r="R884" s="23"/>
      <c r="S884" s="23"/>
      <c r="T884" s="23"/>
      <c r="U884" s="23"/>
      <c r="V884" s="21"/>
      <c r="W884" s="21"/>
      <c r="X884" s="21"/>
      <c r="Y884" s="21"/>
    </row>
    <row r="885" spans="1:25" x14ac:dyDescent="0.2">
      <c r="A885" s="48"/>
      <c r="B885" s="49"/>
      <c r="C885" s="49"/>
      <c r="D885" s="50"/>
      <c r="E885" s="50"/>
      <c r="F885" s="49"/>
      <c r="G885" s="49"/>
      <c r="H885" s="49"/>
      <c r="I885" s="48"/>
      <c r="J885" s="49"/>
      <c r="K885" s="49"/>
      <c r="L885" s="50"/>
      <c r="M885" s="50"/>
      <c r="N885" s="49"/>
      <c r="O885" s="49"/>
      <c r="P885" s="51"/>
      <c r="Q885" s="23"/>
      <c r="R885" s="23"/>
      <c r="S885" s="23"/>
      <c r="T885" s="23"/>
      <c r="U885" s="23"/>
      <c r="V885" s="21"/>
      <c r="W885" s="21"/>
      <c r="X885" s="21"/>
      <c r="Y885" s="21"/>
    </row>
    <row r="886" spans="1:25" ht="16" x14ac:dyDescent="0.2">
      <c r="A886" s="36" t="s">
        <v>141</v>
      </c>
      <c r="B886" s="23"/>
      <c r="C886" s="26" t="s">
        <v>112</v>
      </c>
      <c r="D886" s="83">
        <f>VLOOKUP(Q871,[95]Base_03!$A$5:$AS$24,5,0)</f>
        <v>36</v>
      </c>
      <c r="E886" s="84"/>
      <c r="F886" s="23" t="s">
        <v>140</v>
      </c>
      <c r="G886" s="23"/>
      <c r="H886" s="23"/>
      <c r="I886" s="36" t="s">
        <v>141</v>
      </c>
      <c r="J886" s="26"/>
      <c r="K886" s="26" t="s">
        <v>119</v>
      </c>
      <c r="L886" s="85">
        <f>VLOOKUP(Q871,[95]Base_04!$A$5:$AS$24,5,0)</f>
        <v>49</v>
      </c>
      <c r="M886" s="85"/>
      <c r="N886" s="30" t="s">
        <v>140</v>
      </c>
      <c r="O886" s="23"/>
      <c r="P886" s="37"/>
      <c r="Q886" s="23"/>
      <c r="R886" s="23"/>
      <c r="S886" s="23"/>
      <c r="T886" s="23"/>
      <c r="U886" s="23"/>
      <c r="V886" s="21"/>
      <c r="W886" s="21"/>
      <c r="X886" s="21"/>
      <c r="Y886" s="21"/>
    </row>
    <row r="887" spans="1:25" ht="15" customHeight="1" x14ac:dyDescent="0.2">
      <c r="A887" s="38" t="s">
        <v>139</v>
      </c>
      <c r="B887" s="23"/>
      <c r="C887" s="26"/>
      <c r="D887" s="79" t="s">
        <v>131</v>
      </c>
      <c r="E887" s="79"/>
      <c r="F887" s="79" t="s">
        <v>130</v>
      </c>
      <c r="G887" s="79"/>
      <c r="H887" s="23"/>
      <c r="I887" s="38" t="s">
        <v>139</v>
      </c>
      <c r="J887" s="23"/>
      <c r="K887" s="26"/>
      <c r="L887" s="79" t="s">
        <v>131</v>
      </c>
      <c r="M887" s="79"/>
      <c r="N887" s="79" t="s">
        <v>130</v>
      </c>
      <c r="O887" s="79"/>
      <c r="P887" s="52"/>
      <c r="Q887" s="23"/>
      <c r="R887" s="23"/>
      <c r="S887" s="23"/>
      <c r="T887" s="23"/>
      <c r="U887" s="23"/>
      <c r="V887" s="21"/>
      <c r="W887" s="21"/>
      <c r="X887" s="21"/>
      <c r="Y887" s="21"/>
    </row>
    <row r="888" spans="1:25" x14ac:dyDescent="0.2">
      <c r="A888" s="39"/>
      <c r="B888" s="23"/>
      <c r="C888" s="26"/>
      <c r="D888" s="79"/>
      <c r="E888" s="79"/>
      <c r="F888" s="79"/>
      <c r="G888" s="79"/>
      <c r="H888" s="23"/>
      <c r="I888" s="39"/>
      <c r="J888" s="23"/>
      <c r="K888" s="26"/>
      <c r="L888" s="79"/>
      <c r="M888" s="79"/>
      <c r="N888" s="79"/>
      <c r="O888" s="79"/>
      <c r="P888" s="52"/>
      <c r="Q888" s="23"/>
      <c r="R888" s="23"/>
      <c r="S888" s="23"/>
      <c r="T888" s="23"/>
      <c r="U888" s="23"/>
      <c r="V888" s="21"/>
      <c r="W888" s="21"/>
      <c r="X888" s="21"/>
      <c r="Y888" s="21"/>
    </row>
    <row r="889" spans="1:25" x14ac:dyDescent="0.2">
      <c r="A889" s="72" t="s">
        <v>138</v>
      </c>
      <c r="B889" s="73"/>
      <c r="C889" s="73" t="s">
        <v>112</v>
      </c>
      <c r="D889" s="78" t="str">
        <f>VLOOKUP(Q871,[95]Base_03!$A$5:$AS$24,6,0)</f>
        <v>BT 16</v>
      </c>
      <c r="E889" s="78"/>
      <c r="F889" s="77">
        <f>VLOOKUP(Q871,[95]Base_03!$A$5:$AS$24,12,0)</f>
        <v>0</v>
      </c>
      <c r="G889" s="77"/>
      <c r="H889" s="23" t="s">
        <v>134</v>
      </c>
      <c r="I889" s="72" t="s">
        <v>138</v>
      </c>
      <c r="J889" s="73"/>
      <c r="K889" s="73"/>
      <c r="L889" s="78" t="str">
        <f>VLOOKUP(Q871,[95]Base_04!$A$5:$AS$24,6,0)</f>
        <v>BT 16</v>
      </c>
      <c r="M889" s="78"/>
      <c r="N889" s="77">
        <f>VLOOKUP(Q871,[95]Base_04!$A$5:$AS$24,12,0)</f>
        <v>0</v>
      </c>
      <c r="O889" s="77"/>
      <c r="P889" s="37" t="s">
        <v>134</v>
      </c>
      <c r="Q889" s="23" t="s">
        <v>123</v>
      </c>
      <c r="R889" s="23"/>
      <c r="S889" s="23"/>
      <c r="T889" s="23"/>
      <c r="U889" s="23"/>
      <c r="V889" s="21"/>
      <c r="W889" s="21"/>
      <c r="X889" s="21"/>
      <c r="Y889" s="21"/>
    </row>
    <row r="890" spans="1:25" x14ac:dyDescent="0.2">
      <c r="A890" s="72" t="s">
        <v>137</v>
      </c>
      <c r="B890" s="73"/>
      <c r="C890" s="73" t="s">
        <v>112</v>
      </c>
      <c r="D890" s="78" t="str">
        <f>VLOOKUP(Q871,[95]Base_03!$A$5:$AS$24,13,0)</f>
        <v>S 16</v>
      </c>
      <c r="E890" s="78"/>
      <c r="F890" s="77">
        <f>VLOOKUP(Q871,[95]Base_03!$A$5:$AS$24,15,0)</f>
        <v>0</v>
      </c>
      <c r="G890" s="77"/>
      <c r="H890" s="23" t="s">
        <v>134</v>
      </c>
      <c r="I890" s="72" t="s">
        <v>137</v>
      </c>
      <c r="J890" s="73"/>
      <c r="K890" s="73"/>
      <c r="L890" s="78" t="str">
        <f>VLOOKUP(Q871,[95]Base_04!$A$5:$AS$24,13,0)</f>
        <v>S 16</v>
      </c>
      <c r="M890" s="78"/>
      <c r="N890" s="77">
        <f>VLOOKUP(Q871,[95]Base_04!$A$5:$AS$24,15,0)</f>
        <v>0</v>
      </c>
      <c r="O890" s="77"/>
      <c r="P890" s="37" t="s">
        <v>134</v>
      </c>
      <c r="Q890" s="23" t="s">
        <v>123</v>
      </c>
      <c r="R890" s="23"/>
      <c r="S890" s="23"/>
      <c r="T890" s="23"/>
      <c r="U890" s="23"/>
      <c r="V890" s="21"/>
      <c r="W890" s="21"/>
      <c r="X890" s="21"/>
      <c r="Y890" s="21"/>
    </row>
    <row r="891" spans="1:25" x14ac:dyDescent="0.2">
      <c r="A891" s="72" t="s">
        <v>136</v>
      </c>
      <c r="B891" s="73"/>
      <c r="C891" s="73" t="s">
        <v>112</v>
      </c>
      <c r="D891" s="78" t="str">
        <f>VLOOKUP(Q871,[95]Base_03!$A$5:$AS$24,16,0)</f>
        <v>B 16</v>
      </c>
      <c r="E891" s="78"/>
      <c r="F891" s="77">
        <f>VLOOKUP(Q871,[95]Base_03!$A$5:$AS$24,22,0)</f>
        <v>0</v>
      </c>
      <c r="G891" s="77"/>
      <c r="H891" s="23" t="s">
        <v>134</v>
      </c>
      <c r="I891" s="72" t="s">
        <v>136</v>
      </c>
      <c r="J891" s="73"/>
      <c r="K891" s="73"/>
      <c r="L891" s="78" t="str">
        <f>VLOOKUP(Q871,[95]Base_04!$A$5:$AS$24,16,0)</f>
        <v>B 16</v>
      </c>
      <c r="M891" s="78"/>
      <c r="N891" s="77">
        <f>VLOOKUP(Q871,[95]Base_04!$A$5:$AS$24,22,0)</f>
        <v>0</v>
      </c>
      <c r="O891" s="77"/>
      <c r="P891" s="37" t="s">
        <v>134</v>
      </c>
      <c r="Q891" s="23" t="s">
        <v>123</v>
      </c>
      <c r="R891" s="23"/>
      <c r="S891" s="23"/>
      <c r="T891" s="23"/>
      <c r="U891" s="23"/>
      <c r="V891" s="21"/>
      <c r="W891" s="21"/>
      <c r="X891" s="21"/>
      <c r="Y891" s="21"/>
    </row>
    <row r="892" spans="1:25" x14ac:dyDescent="0.2">
      <c r="A892" s="72" t="s">
        <v>135</v>
      </c>
      <c r="B892" s="73"/>
      <c r="C892" s="73" t="s">
        <v>112</v>
      </c>
      <c r="D892" s="78" t="str">
        <f>VLOOKUP(Q871,[95]Base_03!$A$5:$AS$24,23,0)</f>
        <v>K 16</v>
      </c>
      <c r="E892" s="78"/>
      <c r="F892" s="77">
        <f>VLOOKUP(Q871,[95]Base_03!$A$5:$AS$24,24,0)</f>
        <v>0</v>
      </c>
      <c r="G892" s="77"/>
      <c r="H892" s="23" t="s">
        <v>134</v>
      </c>
      <c r="I892" s="72" t="s">
        <v>135</v>
      </c>
      <c r="J892" s="73"/>
      <c r="K892" s="73"/>
      <c r="L892" s="78" t="str">
        <f>VLOOKUP(Q871,[95]Base_04!$A$5:$AS$24,23,0)</f>
        <v>K 16</v>
      </c>
      <c r="M892" s="78"/>
      <c r="N892" s="77">
        <f>VLOOKUP(Q871,[95]Base_04!$A$5:$AS$24,24,0)</f>
        <v>0</v>
      </c>
      <c r="O892" s="77"/>
      <c r="P892" s="37" t="s">
        <v>134</v>
      </c>
      <c r="Q892" s="23" t="s">
        <v>123</v>
      </c>
      <c r="R892" s="23"/>
      <c r="S892" s="23"/>
      <c r="T892" s="23"/>
      <c r="U892" s="23"/>
      <c r="V892" s="21"/>
      <c r="W892" s="21"/>
      <c r="X892" s="21"/>
      <c r="Y892" s="21"/>
    </row>
    <row r="893" spans="1:25" x14ac:dyDescent="0.2">
      <c r="A893" s="72" t="s">
        <v>133</v>
      </c>
      <c r="B893" s="73"/>
      <c r="C893" s="73" t="s">
        <v>112</v>
      </c>
      <c r="D893" s="78" t="str">
        <f>VLOOKUP(Q871,[95]Base_03!$A$5:$AS$24,25,0)</f>
        <v>K 16</v>
      </c>
      <c r="E893" s="78"/>
      <c r="F893" s="77">
        <f>VLOOKUP(Q871,[95]Base_03!$A$5:$AS$24,26,0)</f>
        <v>73.900834456272094</v>
      </c>
      <c r="G893" s="77"/>
      <c r="H893" s="23" t="s">
        <v>124</v>
      </c>
      <c r="I893" s="72" t="s">
        <v>133</v>
      </c>
      <c r="J893" s="73"/>
      <c r="K893" s="73"/>
      <c r="L893" s="78" t="str">
        <f>VLOOKUP(Q871,[95]Base_04!$A$5:$AS$24,25,0)</f>
        <v>K 16</v>
      </c>
      <c r="M893" s="78"/>
      <c r="N893" s="77">
        <f>VLOOKUP(Q871,[95]Base_04!$A$5:$AS$24,26,0)</f>
        <v>93.530743608719362</v>
      </c>
      <c r="O893" s="77"/>
      <c r="P893" s="37" t="s">
        <v>124</v>
      </c>
      <c r="Q893" s="23" t="s">
        <v>123</v>
      </c>
      <c r="R893" s="23"/>
      <c r="S893" s="23"/>
      <c r="T893" s="23"/>
      <c r="U893" s="23"/>
      <c r="V893" s="21"/>
      <c r="W893" s="21"/>
      <c r="X893" s="21"/>
      <c r="Y893" s="21"/>
    </row>
    <row r="894" spans="1:25" x14ac:dyDescent="0.2">
      <c r="A894" s="40"/>
      <c r="B894" s="31"/>
      <c r="C894" s="31"/>
      <c r="D894" s="41"/>
      <c r="E894" s="41"/>
      <c r="F894" s="30"/>
      <c r="G894" s="23"/>
      <c r="H894" s="23"/>
      <c r="I894" s="40"/>
      <c r="J894" s="31"/>
      <c r="K894" s="31"/>
      <c r="L894" s="41"/>
      <c r="M894" s="41"/>
      <c r="N894" s="30"/>
      <c r="O894" s="23"/>
      <c r="P894" s="37"/>
      <c r="Q894" s="23"/>
      <c r="R894" s="23"/>
      <c r="S894" s="23"/>
      <c r="T894" s="23"/>
      <c r="U894" s="23"/>
      <c r="V894" s="21"/>
      <c r="W894" s="21"/>
      <c r="X894" s="21"/>
      <c r="Y894" s="21"/>
    </row>
    <row r="895" spans="1:25" x14ac:dyDescent="0.2">
      <c r="A895" s="38" t="s">
        <v>132</v>
      </c>
      <c r="B895" s="23"/>
      <c r="C895" s="26"/>
      <c r="D895" s="79" t="s">
        <v>131</v>
      </c>
      <c r="E895" s="79"/>
      <c r="F895" s="79" t="s">
        <v>130</v>
      </c>
      <c r="G895" s="79"/>
      <c r="H895" s="23"/>
      <c r="I895" s="38" t="s">
        <v>132</v>
      </c>
      <c r="J895" s="23"/>
      <c r="K895" s="26"/>
      <c r="L895" s="79" t="s">
        <v>131</v>
      </c>
      <c r="M895" s="79"/>
      <c r="N895" s="79" t="s">
        <v>130</v>
      </c>
      <c r="O895" s="79"/>
      <c r="P895" s="52"/>
      <c r="Q895" s="23"/>
      <c r="R895" s="23"/>
      <c r="S895" s="23"/>
      <c r="T895" s="23"/>
      <c r="U895" s="23"/>
      <c r="V895" s="21"/>
      <c r="W895" s="21"/>
      <c r="X895" s="21"/>
      <c r="Y895" s="21"/>
    </row>
    <row r="896" spans="1:25" x14ac:dyDescent="0.2">
      <c r="A896" s="39"/>
      <c r="B896" s="23"/>
      <c r="C896" s="26"/>
      <c r="D896" s="79"/>
      <c r="E896" s="79"/>
      <c r="F896" s="79"/>
      <c r="G896" s="79"/>
      <c r="H896" s="23"/>
      <c r="I896" s="39"/>
      <c r="J896" s="23"/>
      <c r="K896" s="26"/>
      <c r="L896" s="79"/>
      <c r="M896" s="79"/>
      <c r="N896" s="79"/>
      <c r="O896" s="79"/>
      <c r="P896" s="52"/>
      <c r="Q896" s="23"/>
      <c r="R896" s="23"/>
      <c r="S896" s="23"/>
      <c r="T896" s="23"/>
      <c r="U896" s="23"/>
      <c r="V896" s="21"/>
      <c r="W896" s="21"/>
      <c r="X896" s="21"/>
      <c r="Y896" s="21"/>
    </row>
    <row r="897" spans="1:25" x14ac:dyDescent="0.2">
      <c r="A897" s="72" t="s">
        <v>129</v>
      </c>
      <c r="B897" s="73"/>
      <c r="C897" s="73" t="s">
        <v>119</v>
      </c>
      <c r="D897" s="78" t="str">
        <f>VLOOKUP(Q871,[95]Base_03!$A$5:$AS$24,28,0)</f>
        <v xml:space="preserve"> G 16</v>
      </c>
      <c r="E897" s="78"/>
      <c r="F897" s="77">
        <f>VLOOKUP(Q871,[95]Base_03!$A$5:$AS$24,30,0)</f>
        <v>55</v>
      </c>
      <c r="G897" s="77"/>
      <c r="H897" s="23" t="s">
        <v>124</v>
      </c>
      <c r="I897" s="72" t="s">
        <v>129</v>
      </c>
      <c r="J897" s="73"/>
      <c r="K897" s="73" t="s">
        <v>119</v>
      </c>
      <c r="L897" s="78" t="str">
        <f>VLOOKUP(Q871,[95]Base_04!$A$5:$AS$24,28,0)</f>
        <v xml:space="preserve"> G 16</v>
      </c>
      <c r="M897" s="78"/>
      <c r="N897" s="77">
        <f>VLOOKUP(Q871,[95]Base_04!$A$5:$AS$24,30,0)</f>
        <v>55</v>
      </c>
      <c r="O897" s="77"/>
      <c r="P897" s="37" t="s">
        <v>124</v>
      </c>
      <c r="Q897" s="23" t="s">
        <v>123</v>
      </c>
      <c r="R897" s="23"/>
      <c r="S897" s="23"/>
      <c r="T897" s="23"/>
      <c r="U897" s="23"/>
      <c r="V897" s="21"/>
      <c r="W897" s="21"/>
      <c r="X897" s="21"/>
      <c r="Y897" s="21"/>
    </row>
    <row r="898" spans="1:25" x14ac:dyDescent="0.2">
      <c r="A898" s="72" t="s">
        <v>128</v>
      </c>
      <c r="B898" s="73"/>
      <c r="C898" s="73" t="s">
        <v>119</v>
      </c>
      <c r="D898" s="78" t="str">
        <f>VLOOKUP(Q871,[95]Base_03!$A$5:$AS$24,31,0)</f>
        <v>H 16</v>
      </c>
      <c r="E898" s="78"/>
      <c r="F898" s="77">
        <f>VLOOKUP(Q871,[95]Base_03!$A$5:$AS$24,34,0)</f>
        <v>-5.76</v>
      </c>
      <c r="G898" s="77"/>
      <c r="H898" s="23" t="s">
        <v>124</v>
      </c>
      <c r="I898" s="72" t="s">
        <v>128</v>
      </c>
      <c r="J898" s="73"/>
      <c r="K898" s="73" t="s">
        <v>119</v>
      </c>
      <c r="L898" s="78" t="str">
        <f>VLOOKUP(Q871,[95]Base_04!$A$5:$AS$24,31,0)</f>
        <v>H 16</v>
      </c>
      <c r="M898" s="78"/>
      <c r="N898" s="77">
        <f>VLOOKUP(Q871,[95]Base_04!$A$5:$AS$24,34,0)</f>
        <v>-5.76</v>
      </c>
      <c r="O898" s="77"/>
      <c r="P898" s="37" t="s">
        <v>124</v>
      </c>
      <c r="Q898" s="23" t="s">
        <v>123</v>
      </c>
      <c r="R898" s="23"/>
      <c r="S898" s="23"/>
      <c r="T898" s="23"/>
      <c r="U898" s="23"/>
      <c r="V898" s="21"/>
      <c r="W898" s="21"/>
      <c r="X898" s="21"/>
      <c r="Y898" s="21"/>
    </row>
    <row r="899" spans="1:25" x14ac:dyDescent="0.2">
      <c r="A899" s="89" t="s">
        <v>127</v>
      </c>
      <c r="B899" s="90"/>
      <c r="C899" s="90" t="s">
        <v>119</v>
      </c>
      <c r="D899" s="91" t="str">
        <f>VLOOKUP(Q871,[95]Base_03!$A$5:$AS$24,35,0)</f>
        <v>Kayu</v>
      </c>
      <c r="E899" s="91"/>
      <c r="F899" s="92">
        <f>VLOOKUP(Q871,[95]Base_03!$A$5:$AS$24,36,0)</f>
        <v>5.76</v>
      </c>
      <c r="G899" s="92"/>
      <c r="H899" s="23" t="s">
        <v>124</v>
      </c>
      <c r="I899" s="89" t="s">
        <v>127</v>
      </c>
      <c r="J899" s="90"/>
      <c r="K899" s="90" t="s">
        <v>119</v>
      </c>
      <c r="L899" s="91" t="str">
        <f>VLOOKUP(Q871,[95]Base_04!$A$5:$AS$24,35,0)</f>
        <v>Kayu</v>
      </c>
      <c r="M899" s="91"/>
      <c r="N899" s="92">
        <f>VLOOKUP(Q871,[95]Base_04!$A$5:$AS$24,36,0)</f>
        <v>5.76</v>
      </c>
      <c r="O899" s="92"/>
      <c r="P899" s="37" t="s">
        <v>124</v>
      </c>
      <c r="Q899" s="23" t="s">
        <v>123</v>
      </c>
      <c r="R899" s="23"/>
      <c r="S899" s="23"/>
      <c r="T899" s="23"/>
      <c r="U899" s="23"/>
      <c r="V899" s="21"/>
      <c r="W899" s="21"/>
      <c r="X899" s="21"/>
      <c r="Y899" s="21"/>
    </row>
    <row r="900" spans="1:25" x14ac:dyDescent="0.2">
      <c r="A900" s="74" t="s">
        <v>126</v>
      </c>
      <c r="B900" s="75"/>
      <c r="C900" s="75"/>
      <c r="D900" s="91"/>
      <c r="E900" s="91"/>
      <c r="F900" s="92"/>
      <c r="G900" s="92"/>
      <c r="H900" s="23"/>
      <c r="I900" s="74" t="s">
        <v>126</v>
      </c>
      <c r="J900" s="75"/>
      <c r="K900" s="75"/>
      <c r="L900" s="91"/>
      <c r="M900" s="91"/>
      <c r="N900" s="92"/>
      <c r="O900" s="92"/>
      <c r="P900" s="37"/>
      <c r="Q900" s="23"/>
      <c r="R900" s="23"/>
      <c r="S900" s="23"/>
      <c r="T900" s="23"/>
      <c r="U900" s="23"/>
      <c r="V900" s="21"/>
      <c r="W900" s="21"/>
      <c r="X900" s="21"/>
      <c r="Y900" s="21"/>
    </row>
    <row r="901" spans="1:25" x14ac:dyDescent="0.2">
      <c r="A901" s="72" t="s">
        <v>125</v>
      </c>
      <c r="B901" s="73"/>
      <c r="C901" s="73" t="s">
        <v>119</v>
      </c>
      <c r="D901" s="78" t="str">
        <f>VLOOKUP(Q871,[95]Base_03!$A$5:$AS$24,39,0)</f>
        <v>R 16</v>
      </c>
      <c r="E901" s="78"/>
      <c r="F901" s="77">
        <f>VLOOKUP(Q871,[95]Base_03!$A$5:$AS$24,40,0)</f>
        <v>36</v>
      </c>
      <c r="G901" s="77"/>
      <c r="H901" s="23" t="s">
        <v>124</v>
      </c>
      <c r="I901" s="72" t="s">
        <v>125</v>
      </c>
      <c r="J901" s="73"/>
      <c r="K901" s="73" t="s">
        <v>119</v>
      </c>
      <c r="L901" s="78" t="str">
        <f>VLOOKUP(Q871,[95]Base_04!$A$5:$AS$24,39,0)</f>
        <v>R 16</v>
      </c>
      <c r="M901" s="78"/>
      <c r="N901" s="77">
        <f>VLOOKUP(Q871,[95]Base_04!$A$5:$AS$24,40,0)</f>
        <v>49</v>
      </c>
      <c r="O901" s="77"/>
      <c r="P901" s="37" t="s">
        <v>124</v>
      </c>
      <c r="Q901" s="23" t="s">
        <v>123</v>
      </c>
      <c r="R901" s="23"/>
      <c r="S901" s="23"/>
      <c r="T901" s="23"/>
      <c r="U901" s="23"/>
      <c r="V901" s="21"/>
      <c r="W901" s="21"/>
      <c r="X901" s="21"/>
      <c r="Y901" s="21"/>
    </row>
    <row r="902" spans="1:25" x14ac:dyDescent="0.2">
      <c r="A902" s="39"/>
      <c r="B902" s="23"/>
      <c r="C902" s="23"/>
      <c r="D902" s="23"/>
      <c r="E902" s="23"/>
      <c r="F902" s="23"/>
      <c r="G902" s="23"/>
      <c r="H902" s="23"/>
      <c r="I902" s="39"/>
      <c r="J902" s="45"/>
      <c r="K902" s="45"/>
      <c r="L902" s="45"/>
      <c r="M902" s="23"/>
      <c r="N902" s="30"/>
      <c r="O902" s="23"/>
      <c r="P902" s="37"/>
      <c r="Q902" s="23"/>
      <c r="R902" s="23"/>
      <c r="S902" s="23"/>
      <c r="T902" s="23"/>
      <c r="U902" s="23"/>
      <c r="V902" s="21"/>
      <c r="W902" s="21"/>
      <c r="X902" s="21"/>
      <c r="Y902" s="21"/>
    </row>
    <row r="903" spans="1:25" x14ac:dyDescent="0.2">
      <c r="A903" s="72" t="s">
        <v>122</v>
      </c>
      <c r="B903" s="73"/>
      <c r="C903" s="73" t="s">
        <v>112</v>
      </c>
      <c r="D903" s="76">
        <f>VLOOKUP(Q871,[95]Base_03!$A$5:$AS$24,42,0)</f>
        <v>6.666666666666667</v>
      </c>
      <c r="E903" s="76"/>
      <c r="F903" s="25" t="s">
        <v>118</v>
      </c>
      <c r="G903" s="23"/>
      <c r="H903" s="23"/>
      <c r="I903" s="72" t="s">
        <v>122</v>
      </c>
      <c r="J903" s="73"/>
      <c r="K903" s="73" t="s">
        <v>112</v>
      </c>
      <c r="L903" s="76">
        <f>VLOOKUP(Q871,[95]Base_04!$A$5:$AS$24,42,0)</f>
        <v>4.8979591836734695</v>
      </c>
      <c r="M903" s="76"/>
      <c r="N903" s="46" t="s">
        <v>118</v>
      </c>
      <c r="O903" s="23"/>
      <c r="P903" s="37"/>
      <c r="Q903" s="32" t="s">
        <v>121</v>
      </c>
      <c r="R903" s="23"/>
      <c r="S903" s="23"/>
      <c r="T903" s="23"/>
      <c r="U903" s="23"/>
      <c r="V903" s="21"/>
      <c r="W903" s="21"/>
      <c r="X903" s="21"/>
      <c r="Y903" s="21"/>
    </row>
    <row r="904" spans="1:25" x14ac:dyDescent="0.2">
      <c r="A904" s="72" t="s">
        <v>120</v>
      </c>
      <c r="B904" s="73"/>
      <c r="C904" s="73" t="s">
        <v>119</v>
      </c>
      <c r="D904" s="76">
        <f>VLOOKUP(Q871,[95]Base_03!$A$5:$AS$24,43,0)</f>
        <v>9.6666666666666661</v>
      </c>
      <c r="E904" s="76"/>
      <c r="F904" s="25" t="s">
        <v>118</v>
      </c>
      <c r="G904" s="23"/>
      <c r="H904" s="23"/>
      <c r="I904" s="72" t="s">
        <v>120</v>
      </c>
      <c r="J904" s="73"/>
      <c r="K904" s="73" t="s">
        <v>119</v>
      </c>
      <c r="L904" s="76">
        <f>VLOOKUP(Q871,[95]Base_04!$A$5:$AS$24,43,0)</f>
        <v>7.1020408163265314</v>
      </c>
      <c r="M904" s="76"/>
      <c r="N904" s="46" t="s">
        <v>118</v>
      </c>
      <c r="O904" s="23"/>
      <c r="P904" s="37"/>
      <c r="Q904" s="32" t="s">
        <v>117</v>
      </c>
      <c r="R904" s="23"/>
      <c r="S904" s="23"/>
      <c r="T904" s="23"/>
      <c r="U904" s="23"/>
      <c r="V904" s="21"/>
      <c r="W904" s="21"/>
      <c r="X904" s="21"/>
      <c r="Y904" s="21"/>
    </row>
    <row r="905" spans="1:25" x14ac:dyDescent="0.2">
      <c r="A905" s="72" t="s">
        <v>115</v>
      </c>
      <c r="B905" s="73"/>
      <c r="C905" s="73"/>
      <c r="D905" s="71" t="str">
        <f>VLOOKUP(Q871,[95]Base_03!$A$5:$AS$24,44,0)</f>
        <v>(Ada) Baik</v>
      </c>
      <c r="E905" s="71"/>
      <c r="F905" s="23"/>
      <c r="G905" s="23"/>
      <c r="H905" s="23"/>
      <c r="I905" s="72" t="s">
        <v>115</v>
      </c>
      <c r="J905" s="73"/>
      <c r="K905" s="73"/>
      <c r="L905" s="71" t="str">
        <f>VLOOKUP(Q871,[95]Base_04!$A$5:$AS$24,44,0)</f>
        <v>(Ada) Baik</v>
      </c>
      <c r="M905" s="71"/>
      <c r="N905" s="30"/>
      <c r="O905" s="23"/>
      <c r="P905" s="37"/>
      <c r="Q905" s="23"/>
      <c r="R905" s="23"/>
      <c r="S905" s="23"/>
      <c r="T905" s="23"/>
      <c r="U905" s="23"/>
      <c r="V905" s="21"/>
      <c r="W905" s="21"/>
      <c r="X905" s="21"/>
      <c r="Y905" s="21"/>
    </row>
    <row r="906" spans="1:25" x14ac:dyDescent="0.2">
      <c r="A906" s="74" t="s">
        <v>116</v>
      </c>
      <c r="B906" s="75"/>
      <c r="C906" s="26"/>
      <c r="D906" s="25"/>
      <c r="E906" s="25"/>
      <c r="F906" s="23"/>
      <c r="G906" s="23"/>
      <c r="H906" s="23"/>
      <c r="I906" s="74" t="s">
        <v>116</v>
      </c>
      <c r="J906" s="75"/>
      <c r="K906" s="26"/>
      <c r="L906" s="25"/>
      <c r="M906" s="25"/>
      <c r="N906" s="30"/>
      <c r="O906" s="23"/>
      <c r="P906" s="37"/>
      <c r="Q906" s="23"/>
      <c r="R906" s="23"/>
      <c r="S906" s="23"/>
      <c r="T906" s="23"/>
      <c r="U906" s="23"/>
      <c r="V906" s="21"/>
      <c r="W906" s="21"/>
      <c r="X906" s="21"/>
      <c r="Y906" s="21"/>
    </row>
    <row r="907" spans="1:25" x14ac:dyDescent="0.2">
      <c r="A907" s="72" t="s">
        <v>115</v>
      </c>
      <c r="B907" s="73"/>
      <c r="C907" s="73"/>
      <c r="D907" s="71" t="str">
        <f>VLOOKUP(Q871,[95]Base_03!$A$5:$AS$24,45,0)</f>
        <v>Air Pam (Baik)</v>
      </c>
      <c r="E907" s="71"/>
      <c r="F907" s="23"/>
      <c r="G907" s="23"/>
      <c r="H907" s="23"/>
      <c r="I907" s="72" t="s">
        <v>115</v>
      </c>
      <c r="J907" s="73"/>
      <c r="K907" s="73"/>
      <c r="L907" s="71" t="str">
        <f>VLOOKUP(Q871,[95]Base_04!$A$5:$AS$24,45,0)</f>
        <v>Air Pam (Baik)</v>
      </c>
      <c r="M907" s="71"/>
      <c r="N907" s="30"/>
      <c r="O907" s="23"/>
      <c r="P907" s="37"/>
      <c r="Q907" s="23"/>
      <c r="R907" s="23"/>
      <c r="S907" s="23"/>
      <c r="T907" s="23"/>
      <c r="U907" s="23"/>
      <c r="V907" s="21"/>
      <c r="W907" s="21"/>
      <c r="X907" s="21"/>
      <c r="Y907" s="21"/>
    </row>
    <row r="908" spans="1:25" x14ac:dyDescent="0.2">
      <c r="A908" s="74" t="s">
        <v>114</v>
      </c>
      <c r="B908" s="75"/>
      <c r="C908" s="26"/>
      <c r="D908" s="25"/>
      <c r="E908" s="25"/>
      <c r="F908" s="23"/>
      <c r="G908" s="23"/>
      <c r="H908" s="23"/>
      <c r="I908" s="74" t="s">
        <v>114</v>
      </c>
      <c r="J908" s="75"/>
      <c r="K908" s="26"/>
      <c r="L908" s="25"/>
      <c r="M908" s="25"/>
      <c r="N908" s="30"/>
      <c r="O908" s="23"/>
      <c r="P908" s="37"/>
      <c r="Q908" s="23"/>
      <c r="R908" s="23"/>
      <c r="S908" s="23"/>
      <c r="T908" s="23"/>
      <c r="U908" s="23"/>
      <c r="V908" s="21"/>
      <c r="W908" s="21"/>
      <c r="X908" s="21"/>
      <c r="Y908" s="21"/>
    </row>
    <row r="909" spans="1:25" x14ac:dyDescent="0.2">
      <c r="A909" s="36" t="s">
        <v>113</v>
      </c>
      <c r="B909" s="23"/>
      <c r="C909" s="26" t="s">
        <v>112</v>
      </c>
      <c r="D909" s="71">
        <f>VLOOKUP(Q871,[94]Base_02!$A$5:$S$24,18,0)</f>
        <v>0</v>
      </c>
      <c r="E909" s="71"/>
      <c r="F909" s="23" t="str">
        <f>IF(D909&gt;0,"LU","LS")</f>
        <v>LS</v>
      </c>
      <c r="G909" s="23"/>
      <c r="H909" s="23"/>
      <c r="I909" s="36" t="s">
        <v>113</v>
      </c>
      <c r="J909" s="26"/>
      <c r="K909" s="26" t="s">
        <v>112</v>
      </c>
      <c r="L909" s="71">
        <f>D909</f>
        <v>0</v>
      </c>
      <c r="M909" s="71"/>
      <c r="N909" s="23" t="str">
        <f>IF(L909&gt;0,"LU","LS")</f>
        <v>LS</v>
      </c>
      <c r="O909" s="23"/>
      <c r="P909" s="37"/>
      <c r="Q909" s="23"/>
      <c r="R909" s="23"/>
      <c r="S909" s="23"/>
      <c r="T909" s="23"/>
      <c r="U909" s="23"/>
      <c r="V909" s="21"/>
      <c r="W909" s="21"/>
      <c r="X909" s="21"/>
      <c r="Y909" s="21"/>
    </row>
    <row r="910" spans="1:25" x14ac:dyDescent="0.2">
      <c r="A910" s="42"/>
      <c r="B910" s="43"/>
      <c r="C910" s="44" t="s">
        <v>111</v>
      </c>
      <c r="D910" s="70">
        <f>VLOOKUP(Q871,[94]Base_02!$A$5:$S$24,19,0)</f>
        <v>0</v>
      </c>
      <c r="E910" s="70"/>
      <c r="F910" s="43" t="s">
        <v>110</v>
      </c>
      <c r="G910" s="43"/>
      <c r="H910" s="43"/>
      <c r="I910" s="42"/>
      <c r="J910" s="43"/>
      <c r="K910" s="43"/>
      <c r="L910" s="70">
        <f>D910</f>
        <v>0</v>
      </c>
      <c r="M910" s="70"/>
      <c r="N910" s="47" t="s">
        <v>110</v>
      </c>
      <c r="O910" s="44"/>
      <c r="P910" s="53"/>
      <c r="Q910" s="23"/>
      <c r="R910" s="23"/>
      <c r="S910" s="23"/>
      <c r="T910" s="23"/>
      <c r="U910" s="23"/>
      <c r="V910" s="21"/>
      <c r="W910" s="21"/>
      <c r="X910" s="21"/>
      <c r="Y910" s="21"/>
    </row>
    <row r="911" spans="1:25" x14ac:dyDescent="0.2">
      <c r="A911" s="23"/>
      <c r="B911" s="23"/>
      <c r="C911" s="26"/>
      <c r="D911" s="23"/>
      <c r="E911" s="23"/>
      <c r="F911" s="23"/>
      <c r="G911" s="23"/>
      <c r="H911" s="23"/>
      <c r="I911" s="23"/>
      <c r="J911" s="23"/>
      <c r="K911" s="25"/>
      <c r="L911" s="25"/>
      <c r="M911" s="30"/>
      <c r="N911" s="23"/>
      <c r="O911" s="23"/>
      <c r="P911" s="23"/>
      <c r="Q911" s="23"/>
      <c r="R911" s="23"/>
      <c r="S911" s="23"/>
      <c r="T911" s="23"/>
      <c r="U911" s="23"/>
      <c r="V911" s="23"/>
      <c r="W911" s="23"/>
      <c r="X911" s="23"/>
      <c r="Y911" s="23"/>
    </row>
    <row r="912" spans="1:25" x14ac:dyDescent="0.2">
      <c r="A912" s="23"/>
      <c r="B912" s="23"/>
      <c r="C912" s="23"/>
      <c r="D912" s="23"/>
      <c r="E912" s="23"/>
      <c r="F912" s="23"/>
      <c r="G912" s="23"/>
      <c r="H912" s="23"/>
      <c r="I912" s="23"/>
      <c r="J912" s="23"/>
      <c r="K912" s="23"/>
      <c r="L912" s="23"/>
      <c r="M912" s="30"/>
      <c r="N912" s="23"/>
      <c r="O912" s="23"/>
      <c r="P912" s="23"/>
      <c r="Q912" s="23"/>
      <c r="R912" s="23"/>
      <c r="S912" s="23"/>
      <c r="T912" s="23"/>
      <c r="U912" s="23"/>
      <c r="V912" s="23"/>
      <c r="W912" s="23"/>
      <c r="X912" s="23"/>
      <c r="Y912" s="23"/>
    </row>
    <row r="913" spans="1:25" x14ac:dyDescent="0.2">
      <c r="A913" s="23"/>
      <c r="B913" s="23"/>
      <c r="C913" s="23"/>
      <c r="D913" s="23"/>
      <c r="E913" s="23"/>
      <c r="F913" s="23"/>
      <c r="G913" s="23"/>
      <c r="H913" s="23"/>
      <c r="I913" s="23"/>
      <c r="J913" s="23"/>
      <c r="K913" s="23"/>
      <c r="L913" s="71" t="str">
        <f>[94]Base_01!$C$4&amp;", …..  …........................  2026"</f>
        <v>Sorong, …..  …........................  2026</v>
      </c>
      <c r="M913" s="71"/>
      <c r="N913" s="71"/>
      <c r="O913" s="71"/>
      <c r="P913" s="71"/>
      <c r="Q913" s="23"/>
      <c r="R913" s="23"/>
      <c r="S913" s="23"/>
      <c r="T913" s="23"/>
      <c r="U913" s="23"/>
      <c r="V913" s="23"/>
      <c r="W913" s="23"/>
      <c r="X913" s="23"/>
      <c r="Y913" s="23"/>
    </row>
    <row r="914" spans="1:25" x14ac:dyDescent="0.2">
      <c r="A914" s="71" t="s">
        <v>108</v>
      </c>
      <c r="B914" s="71"/>
      <c r="C914" s="71"/>
      <c r="D914" s="71"/>
      <c r="E914" s="71"/>
      <c r="F914" s="71"/>
      <c r="G914" s="23"/>
      <c r="H914" s="23"/>
      <c r="I914" s="23"/>
      <c r="J914" s="23"/>
      <c r="K914" s="23"/>
      <c r="L914" s="71" t="s">
        <v>152</v>
      </c>
      <c r="M914" s="71"/>
      <c r="N914" s="71"/>
      <c r="O914" s="71"/>
      <c r="P914" s="71"/>
      <c r="Q914" s="23"/>
      <c r="R914" s="23"/>
      <c r="S914" s="23"/>
      <c r="T914" s="23"/>
      <c r="U914" s="23"/>
      <c r="V914" s="23"/>
      <c r="W914" s="23"/>
      <c r="X914" s="23"/>
      <c r="Y914" s="23"/>
    </row>
    <row r="915" spans="1:25" x14ac:dyDescent="0.2">
      <c r="A915" s="71" t="s">
        <v>153</v>
      </c>
      <c r="B915" s="71"/>
      <c r="C915" s="71"/>
      <c r="D915" s="71"/>
      <c r="E915" s="71"/>
      <c r="F915" s="71"/>
      <c r="G915" s="23"/>
      <c r="H915" s="23"/>
      <c r="I915" s="23"/>
      <c r="J915" s="23"/>
      <c r="K915" s="23"/>
      <c r="L915" s="71" t="s">
        <v>107</v>
      </c>
      <c r="M915" s="71"/>
      <c r="N915" s="71"/>
      <c r="O915" s="71"/>
      <c r="P915" s="71"/>
      <c r="Q915" s="23"/>
      <c r="R915" s="23"/>
      <c r="S915" s="23"/>
      <c r="T915" s="23"/>
      <c r="U915" s="23"/>
      <c r="V915" s="23"/>
      <c r="W915" s="23"/>
      <c r="X915" s="23"/>
      <c r="Y915" s="23"/>
    </row>
    <row r="916" spans="1:25" x14ac:dyDescent="0.2">
      <c r="A916" s="23"/>
      <c r="B916" s="23"/>
      <c r="C916" s="23"/>
      <c r="D916" s="23"/>
      <c r="E916" s="23"/>
      <c r="F916" s="23"/>
      <c r="G916" s="23"/>
      <c r="H916" s="23"/>
      <c r="I916" s="23"/>
      <c r="J916" s="23"/>
      <c r="K916" s="23"/>
      <c r="L916" s="23"/>
      <c r="M916" s="30"/>
      <c r="N916" s="23"/>
      <c r="O916" s="23"/>
      <c r="P916" s="23"/>
      <c r="Q916" s="23"/>
      <c r="R916" s="23"/>
      <c r="S916" s="23"/>
      <c r="T916" s="23"/>
      <c r="U916" s="23"/>
      <c r="V916" s="23"/>
      <c r="W916" s="23"/>
      <c r="X916" s="23"/>
      <c r="Y916" s="23"/>
    </row>
    <row r="917" spans="1:25" x14ac:dyDescent="0.2">
      <c r="A917" s="23"/>
      <c r="B917" s="23"/>
      <c r="C917" s="23"/>
      <c r="D917" s="23"/>
      <c r="E917" s="23"/>
      <c r="F917" s="23"/>
      <c r="G917" s="23"/>
      <c r="H917" s="23"/>
      <c r="I917" s="23"/>
      <c r="J917" s="23"/>
      <c r="K917" s="23"/>
      <c r="L917" s="23"/>
      <c r="M917" s="30"/>
      <c r="N917" s="23"/>
      <c r="O917" s="23"/>
      <c r="P917" s="23"/>
      <c r="Q917" s="23"/>
      <c r="R917" s="23"/>
      <c r="S917" s="23"/>
      <c r="T917" s="23"/>
      <c r="U917" s="23"/>
      <c r="V917" s="23"/>
      <c r="W917" s="23"/>
      <c r="X917" s="23"/>
      <c r="Y917" s="23"/>
    </row>
    <row r="918" spans="1:25" x14ac:dyDescent="0.2">
      <c r="A918" s="23"/>
      <c r="B918" s="23"/>
      <c r="C918" s="23"/>
      <c r="D918" s="23"/>
      <c r="E918" s="23"/>
      <c r="F918" s="23"/>
      <c r="G918" s="23"/>
      <c r="H918" s="23"/>
      <c r="I918" s="23"/>
      <c r="J918" s="23"/>
      <c r="K918" s="23"/>
      <c r="L918" s="23"/>
      <c r="M918" s="30"/>
      <c r="N918" s="23"/>
      <c r="O918" s="23"/>
      <c r="P918" s="23"/>
      <c r="Q918" s="23"/>
      <c r="R918" s="23"/>
      <c r="S918" s="23"/>
      <c r="T918" s="23"/>
      <c r="U918" s="23"/>
      <c r="V918" s="23"/>
      <c r="W918" s="23"/>
      <c r="X918" s="23"/>
      <c r="Y918" s="23"/>
    </row>
    <row r="919" spans="1:25" x14ac:dyDescent="0.2">
      <c r="A919" s="23"/>
      <c r="B919" s="23"/>
      <c r="C919" s="23"/>
      <c r="D919" s="23"/>
      <c r="E919" s="23"/>
      <c r="F919" s="23"/>
      <c r="G919" s="23"/>
      <c r="H919" s="23"/>
      <c r="I919" s="23"/>
      <c r="J919" s="23"/>
      <c r="K919" s="23"/>
      <c r="L919" s="23"/>
      <c r="M919" s="30"/>
      <c r="N919" s="23"/>
      <c r="O919" s="23"/>
      <c r="P919" s="23"/>
      <c r="Q919" s="23"/>
      <c r="R919" s="23"/>
      <c r="S919" s="23"/>
      <c r="T919" s="23"/>
      <c r="U919" s="23"/>
      <c r="V919" s="23"/>
      <c r="W919" s="23"/>
      <c r="X919" s="23"/>
      <c r="Y919" s="23"/>
    </row>
    <row r="920" spans="1:25" x14ac:dyDescent="0.2">
      <c r="A920" s="87" t="str">
        <f>[94]Base_02!$C$28</f>
        <v>Nama PB 1</v>
      </c>
      <c r="B920" s="87"/>
      <c r="C920" s="87"/>
      <c r="D920" s="87"/>
      <c r="E920" s="87"/>
      <c r="F920" s="87"/>
      <c r="G920" s="23"/>
      <c r="H920" s="23"/>
      <c r="I920" s="23"/>
      <c r="J920" s="23"/>
      <c r="K920" s="23"/>
      <c r="L920" s="71" t="str">
        <f>E876</f>
        <v>Nama PB 16</v>
      </c>
      <c r="M920" s="71"/>
      <c r="N920" s="71"/>
      <c r="O920" s="71"/>
      <c r="P920" s="71"/>
      <c r="Q920" s="23"/>
      <c r="R920" s="23"/>
      <c r="S920" s="23"/>
      <c r="T920" s="23"/>
      <c r="U920" s="23"/>
      <c r="V920" s="23"/>
      <c r="W920" s="23"/>
      <c r="X920" s="23"/>
      <c r="Y920" s="23"/>
    </row>
    <row r="921" spans="1:25" x14ac:dyDescent="0.2">
      <c r="A921" s="23"/>
      <c r="B921" s="23"/>
      <c r="C921" s="23"/>
      <c r="D921" s="23"/>
      <c r="E921" s="23"/>
      <c r="F921" s="23"/>
      <c r="G921" s="23"/>
      <c r="H921" s="23"/>
      <c r="I921" s="23"/>
      <c r="J921" s="23"/>
      <c r="K921" s="23"/>
      <c r="L921" s="23"/>
      <c r="M921" s="30"/>
      <c r="N921" s="23"/>
      <c r="O921" s="23"/>
      <c r="P921" s="23"/>
      <c r="Q921" s="23"/>
      <c r="R921" s="23"/>
      <c r="S921" s="23"/>
      <c r="T921" s="23"/>
      <c r="U921" s="23"/>
      <c r="V921" s="23"/>
      <c r="W921" s="23"/>
      <c r="X921" s="23"/>
      <c r="Y921" s="23"/>
    </row>
    <row r="922" spans="1:25" x14ac:dyDescent="0.2">
      <c r="A922" s="87" t="s">
        <v>109</v>
      </c>
      <c r="B922" s="87"/>
      <c r="C922" s="87"/>
      <c r="D922" s="87"/>
      <c r="E922" s="87"/>
      <c r="F922" s="87"/>
      <c r="G922" s="23"/>
      <c r="H922" s="23"/>
      <c r="I922" s="29"/>
      <c r="J922" s="24"/>
      <c r="K922" s="24"/>
      <c r="L922" s="88" t="s">
        <v>92</v>
      </c>
      <c r="M922" s="88"/>
      <c r="N922" s="88"/>
      <c r="O922" s="88"/>
      <c r="P922" s="88"/>
      <c r="Q922" s="23"/>
      <c r="R922" s="23"/>
      <c r="S922" s="23"/>
      <c r="T922" s="23"/>
      <c r="U922" s="23"/>
      <c r="V922" s="23"/>
      <c r="W922" s="23"/>
      <c r="X922" s="23"/>
      <c r="Y922" s="23"/>
    </row>
    <row r="923" spans="1:25" x14ac:dyDescent="0.2">
      <c r="A923" s="68" t="s">
        <v>91</v>
      </c>
      <c r="B923" s="68"/>
      <c r="C923" s="68"/>
      <c r="D923" s="68"/>
      <c r="E923" s="68"/>
      <c r="F923" s="68"/>
      <c r="I923" s="28"/>
      <c r="J923" s="28"/>
      <c r="K923" s="28"/>
      <c r="L923" s="69" t="str">
        <f>[94]Base_01!$B$17&amp;" "&amp;[94]Base_01!$C$4</f>
        <v>Koordinator Kota Sorong</v>
      </c>
      <c r="M923" s="69"/>
      <c r="N923" s="69"/>
      <c r="O923" s="69"/>
      <c r="P923" s="69"/>
      <c r="Q923" s="23"/>
      <c r="R923" s="23"/>
      <c r="S923" s="23"/>
      <c r="T923" s="23"/>
      <c r="U923" s="23"/>
      <c r="V923" s="23"/>
      <c r="W923" s="23"/>
      <c r="X923" s="23"/>
      <c r="Y923" s="23"/>
    </row>
    <row r="924" spans="1:25" x14ac:dyDescent="0.2">
      <c r="M924" s="27"/>
      <c r="Q924" s="23"/>
      <c r="R924" s="23"/>
      <c r="S924" s="23"/>
      <c r="T924" s="23"/>
      <c r="U924" s="23"/>
      <c r="V924" s="23"/>
      <c r="W924" s="23"/>
      <c r="X924" s="23"/>
      <c r="Y924" s="23"/>
    </row>
    <row r="925" spans="1:25" x14ac:dyDescent="0.2">
      <c r="M925" s="27"/>
      <c r="Q925" s="23"/>
      <c r="R925" s="23"/>
      <c r="S925" s="23"/>
      <c r="T925" s="23"/>
      <c r="U925" s="23"/>
      <c r="V925" s="23"/>
      <c r="W925" s="23"/>
      <c r="X925" s="23"/>
      <c r="Y925" s="23"/>
    </row>
    <row r="926" spans="1:25" x14ac:dyDescent="0.2">
      <c r="M926" s="27"/>
      <c r="Q926" s="23"/>
      <c r="R926" s="23"/>
      <c r="S926" s="23"/>
      <c r="T926" s="23"/>
      <c r="U926" s="23"/>
      <c r="V926" s="23"/>
      <c r="W926" s="23"/>
      <c r="X926" s="23"/>
      <c r="Y926" s="23"/>
    </row>
    <row r="927" spans="1:25" x14ac:dyDescent="0.2">
      <c r="M927" s="27"/>
      <c r="Q927" s="23"/>
      <c r="R927" s="23"/>
      <c r="S927" s="23"/>
      <c r="T927" s="23"/>
      <c r="U927" s="23"/>
      <c r="V927" s="23"/>
      <c r="W927" s="23"/>
      <c r="X927" s="23"/>
      <c r="Y927" s="23"/>
    </row>
    <row r="928" spans="1:25" x14ac:dyDescent="0.2">
      <c r="A928" s="68" t="str">
        <f>[94]Base_01!$C$20</f>
        <v>…...............         …...............</v>
      </c>
      <c r="B928" s="68"/>
      <c r="C928" s="68"/>
      <c r="D928" s="68"/>
      <c r="E928" s="68"/>
      <c r="F928" s="68"/>
      <c r="L928" s="68" t="str">
        <f>[94]Base_01!$C$17</f>
        <v>AfrIandi Yudhistira, S.T.</v>
      </c>
      <c r="M928" s="68"/>
      <c r="N928" s="68"/>
      <c r="O928" s="68"/>
      <c r="P928" s="68"/>
      <c r="Q928" s="23"/>
      <c r="R928" s="23"/>
      <c r="S928" s="23"/>
      <c r="T928" s="23"/>
      <c r="U928" s="23"/>
      <c r="V928" s="23"/>
      <c r="W928" s="23"/>
      <c r="X928" s="23"/>
      <c r="Y928" s="23"/>
    </row>
    <row r="929" spans="1:25" x14ac:dyDescent="0.2">
      <c r="A929" s="86" t="s">
        <v>149</v>
      </c>
      <c r="B929" s="86"/>
      <c r="C929" s="86"/>
      <c r="D929" s="86"/>
      <c r="E929" s="86"/>
      <c r="F929" s="86"/>
      <c r="G929" s="86"/>
      <c r="H929" s="86"/>
      <c r="I929" s="86"/>
      <c r="J929" s="86"/>
      <c r="K929" s="86"/>
      <c r="L929" s="86"/>
      <c r="M929" s="86"/>
      <c r="N929" s="86"/>
      <c r="O929" s="86"/>
      <c r="P929" s="86"/>
      <c r="Q929" s="23">
        <f>Q871+1</f>
        <v>17</v>
      </c>
      <c r="R929" s="23"/>
      <c r="S929" s="23"/>
      <c r="T929" s="23"/>
      <c r="U929" s="23"/>
      <c r="V929" s="23"/>
      <c r="W929" s="23"/>
      <c r="X929" s="23"/>
      <c r="Y929" s="23"/>
    </row>
    <row r="930" spans="1:25" x14ac:dyDescent="0.2">
      <c r="A930" s="71" t="s">
        <v>148</v>
      </c>
      <c r="B930" s="71"/>
      <c r="C930" s="71"/>
      <c r="D930" s="71"/>
      <c r="E930" s="71"/>
      <c r="F930" s="71"/>
      <c r="G930" s="71"/>
      <c r="H930" s="71"/>
      <c r="I930" s="71"/>
      <c r="J930" s="71"/>
      <c r="K930" s="71"/>
      <c r="L930" s="71"/>
      <c r="M930" s="71"/>
      <c r="N930" s="71"/>
      <c r="O930" s="71"/>
      <c r="P930" s="71"/>
      <c r="Q930" s="23"/>
      <c r="R930" s="23"/>
      <c r="S930" s="23"/>
      <c r="T930" s="23"/>
      <c r="U930" s="23"/>
      <c r="V930" s="23"/>
      <c r="W930" s="23"/>
      <c r="X930" s="23"/>
      <c r="Y930" s="23"/>
    </row>
    <row r="931" spans="1:25" x14ac:dyDescent="0.2">
      <c r="A931" s="25"/>
      <c r="B931" s="25"/>
      <c r="C931" s="25"/>
      <c r="D931" s="25"/>
      <c r="E931" s="25"/>
      <c r="F931" s="25"/>
      <c r="G931" s="25"/>
      <c r="H931" s="25"/>
      <c r="I931" s="23"/>
      <c r="J931" s="24"/>
      <c r="K931" s="24"/>
      <c r="L931" s="24"/>
      <c r="M931" s="24"/>
      <c r="N931" s="24"/>
      <c r="O931" s="24"/>
      <c r="P931" s="24"/>
      <c r="Q931" s="23"/>
      <c r="R931" s="23"/>
      <c r="S931" s="23"/>
      <c r="T931" s="23"/>
      <c r="U931" s="23"/>
      <c r="V931" s="23"/>
      <c r="W931" s="23"/>
      <c r="X931" s="23"/>
      <c r="Y931" s="23"/>
    </row>
    <row r="932" spans="1:25" x14ac:dyDescent="0.2">
      <c r="A932" s="73" t="s">
        <v>147</v>
      </c>
      <c r="B932" s="73"/>
      <c r="C932" s="73"/>
      <c r="D932" s="73"/>
      <c r="E932" s="35" t="str">
        <f>VLOOKUP(Q929,[94]Base_02!$A$5:$AD$24,2,0)</f>
        <v>000017</v>
      </c>
      <c r="F932" s="23"/>
      <c r="G932" s="23"/>
      <c r="H932" s="24"/>
      <c r="I932" s="23"/>
      <c r="J932" s="24"/>
      <c r="K932" s="24"/>
      <c r="L932" s="24"/>
      <c r="M932" s="24"/>
      <c r="N932" s="24"/>
      <c r="O932" s="24"/>
      <c r="P932" s="24"/>
      <c r="Q932" s="23"/>
      <c r="R932" s="23"/>
      <c r="S932" s="23"/>
      <c r="T932" s="23"/>
      <c r="U932" s="23"/>
      <c r="V932" s="23"/>
      <c r="W932" s="23"/>
      <c r="X932" s="23"/>
      <c r="Y932" s="23"/>
    </row>
    <row r="933" spans="1:25" x14ac:dyDescent="0.2">
      <c r="A933" s="73" t="s">
        <v>68</v>
      </c>
      <c r="B933" s="73"/>
      <c r="C933" s="73"/>
      <c r="D933" s="73"/>
      <c r="E933" s="35">
        <f>VLOOKUP(Q929,[94]Base_02!$A$5:$AD$24,14,0)</f>
        <v>0</v>
      </c>
      <c r="F933" s="23"/>
      <c r="G933" s="23"/>
      <c r="H933" s="24"/>
      <c r="I933" s="23"/>
      <c r="J933" s="24"/>
      <c r="K933" s="24"/>
      <c r="L933" s="24"/>
      <c r="M933" s="24"/>
      <c r="N933" s="24"/>
      <c r="O933" s="24"/>
      <c r="P933" s="24"/>
      <c r="Q933" s="23"/>
      <c r="R933" s="23"/>
      <c r="S933" s="23"/>
      <c r="T933" s="23"/>
      <c r="U933" s="23"/>
      <c r="V933" s="23"/>
      <c r="W933" s="23"/>
      <c r="X933" s="23"/>
      <c r="Y933" s="23"/>
    </row>
    <row r="934" spans="1:25" x14ac:dyDescent="0.2">
      <c r="A934" s="73" t="s">
        <v>150</v>
      </c>
      <c r="B934" s="73"/>
      <c r="C934" s="73"/>
      <c r="D934" s="73"/>
      <c r="E934" s="35" t="str">
        <f>VLOOKUP(Q929,[94]Base_02!$A$5:$AD$24,3,0)</f>
        <v>Nama PB 17</v>
      </c>
      <c r="F934" s="23"/>
      <c r="G934" s="23"/>
      <c r="H934" s="24"/>
      <c r="I934" s="23"/>
      <c r="J934" s="24"/>
      <c r="K934" s="24"/>
      <c r="L934" s="24"/>
      <c r="M934" s="24"/>
      <c r="N934" s="24"/>
      <c r="O934" s="24"/>
      <c r="P934" s="24"/>
      <c r="Q934" s="23"/>
      <c r="R934" s="23"/>
      <c r="S934" s="23"/>
      <c r="T934" s="23"/>
      <c r="U934" s="23"/>
      <c r="V934" s="23"/>
      <c r="W934" s="23"/>
      <c r="X934" s="23"/>
      <c r="Y934" s="23"/>
    </row>
    <row r="935" spans="1:25" x14ac:dyDescent="0.2">
      <c r="A935" s="73" t="s">
        <v>18</v>
      </c>
      <c r="B935" s="73"/>
      <c r="C935" s="73"/>
      <c r="D935" s="73"/>
      <c r="E935" s="35" t="str">
        <f>VLOOKUP(Q929,[94]Base_02!$A$5:$Z$24,11,FALSE)&amp;", RT "&amp;VLOOKUP(Q929,[94]Base_02!$A$5:$Z$24,12,FALSE)&amp;", RW "&amp;VLOOKUP(Q929,[94]Base_02!$A$5:$Z$24,13,FALSE)</f>
        <v>Jalan Kanal Victory, RT 1, RW 2</v>
      </c>
      <c r="F935" s="23"/>
      <c r="G935" s="23"/>
      <c r="H935" s="35"/>
      <c r="I935" s="23"/>
      <c r="J935" s="24"/>
      <c r="K935" s="24"/>
      <c r="L935" s="24"/>
      <c r="M935" s="24"/>
      <c r="N935" s="24"/>
      <c r="O935" s="24"/>
      <c r="P935" s="24"/>
      <c r="Q935" s="23"/>
      <c r="R935" s="23"/>
      <c r="S935" s="23"/>
      <c r="T935" s="23"/>
      <c r="U935" s="23"/>
      <c r="V935" s="23"/>
      <c r="W935" s="23"/>
      <c r="X935" s="23"/>
      <c r="Y935" s="23"/>
    </row>
    <row r="936" spans="1:25" x14ac:dyDescent="0.2">
      <c r="A936" s="73" t="str">
        <f>[94]Base_01!$B$2</f>
        <v>Kelurahan</v>
      </c>
      <c r="B936" s="73"/>
      <c r="C936" s="73"/>
      <c r="D936" s="73"/>
      <c r="E936" s="35" t="str">
        <f>[94]Base_01!$C$2</f>
        <v>Klasabi</v>
      </c>
      <c r="F936" s="23"/>
      <c r="G936" s="23"/>
      <c r="H936" s="24"/>
      <c r="I936" s="23"/>
      <c r="J936" s="24"/>
      <c r="K936" s="24"/>
      <c r="L936" s="24"/>
      <c r="M936" s="24"/>
      <c r="N936" s="24"/>
      <c r="O936" s="24"/>
      <c r="P936" s="24"/>
      <c r="Q936" s="23" t="s">
        <v>146</v>
      </c>
      <c r="R936" s="23"/>
      <c r="S936" s="23"/>
      <c r="T936" s="23"/>
      <c r="U936" s="23"/>
      <c r="V936" s="23"/>
      <c r="W936" s="23"/>
      <c r="X936" s="23"/>
      <c r="Y936" s="23"/>
    </row>
    <row r="937" spans="1:25" x14ac:dyDescent="0.2">
      <c r="A937" s="73" t="s">
        <v>19</v>
      </c>
      <c r="B937" s="73"/>
      <c r="C937" s="73"/>
      <c r="D937" s="73"/>
      <c r="E937" s="35" t="str">
        <f>[94]Base_01!$C$3</f>
        <v>Sorong Manoi</v>
      </c>
      <c r="F937" s="23"/>
      <c r="G937" s="23"/>
      <c r="H937" s="24"/>
      <c r="I937" s="23"/>
      <c r="J937" s="24"/>
      <c r="K937" s="24"/>
      <c r="L937" s="24"/>
      <c r="M937" s="24"/>
      <c r="N937" s="24"/>
      <c r="O937" s="24"/>
      <c r="P937" s="24"/>
      <c r="Q937" s="23" t="s">
        <v>145</v>
      </c>
      <c r="R937" s="23"/>
      <c r="S937" s="23"/>
      <c r="T937" s="23"/>
      <c r="U937" s="23"/>
      <c r="V937" s="23"/>
      <c r="W937" s="23"/>
      <c r="X937" s="23"/>
      <c r="Y937" s="23"/>
    </row>
    <row r="938" spans="1:25" x14ac:dyDescent="0.2">
      <c r="A938" s="73" t="str">
        <f>[94]Base_01!$B$4</f>
        <v>Kota</v>
      </c>
      <c r="B938" s="73"/>
      <c r="C938" s="73"/>
      <c r="D938" s="73"/>
      <c r="E938" s="35" t="str">
        <f>[94]Base_01!$C$4</f>
        <v>Sorong</v>
      </c>
      <c r="F938" s="23"/>
      <c r="G938" s="23"/>
      <c r="H938" s="24"/>
      <c r="I938" s="23"/>
      <c r="J938" s="24"/>
      <c r="K938" s="24"/>
      <c r="L938" s="24"/>
      <c r="M938" s="24"/>
      <c r="N938" s="24"/>
      <c r="O938" s="24"/>
      <c r="P938" s="24"/>
      <c r="Q938" s="23" t="s">
        <v>144</v>
      </c>
      <c r="R938" s="23"/>
      <c r="S938" s="23"/>
      <c r="T938" s="23"/>
      <c r="U938" s="23"/>
      <c r="V938" s="23"/>
      <c r="W938" s="23"/>
      <c r="X938" s="23"/>
      <c r="Y938" s="23"/>
    </row>
    <row r="939" spans="1:25" x14ac:dyDescent="0.2">
      <c r="A939" s="73" t="str">
        <f>[94]Base_01!$B$5</f>
        <v>Provinsi</v>
      </c>
      <c r="B939" s="73"/>
      <c r="C939" s="73"/>
      <c r="D939" s="73"/>
      <c r="E939" s="23" t="str">
        <f>[94]Base_01!$C$5</f>
        <v>Papua Barat Daya</v>
      </c>
      <c r="F939" s="23"/>
      <c r="G939" s="24"/>
      <c r="H939" s="24"/>
      <c r="I939" s="23"/>
      <c r="J939" s="24"/>
      <c r="K939" s="24"/>
      <c r="L939" s="24"/>
      <c r="M939" s="24"/>
      <c r="N939" s="24"/>
      <c r="O939" s="24"/>
      <c r="P939" s="24"/>
      <c r="Q939" s="23" t="s">
        <v>143</v>
      </c>
      <c r="R939" s="23"/>
      <c r="S939" s="23"/>
      <c r="T939" s="23"/>
      <c r="U939" s="23"/>
      <c r="V939" s="23"/>
      <c r="W939" s="23"/>
      <c r="X939" s="23"/>
      <c r="Y939" s="23"/>
    </row>
    <row r="940" spans="1:25" x14ac:dyDescent="0.2">
      <c r="A940" s="23"/>
      <c r="B940" s="23"/>
      <c r="C940" s="23"/>
      <c r="D940" s="23"/>
      <c r="E940" s="23"/>
      <c r="F940" s="23"/>
      <c r="G940" s="23"/>
      <c r="H940" s="23"/>
      <c r="I940" s="24"/>
      <c r="J940" s="24"/>
      <c r="K940" s="24"/>
      <c r="L940" s="24"/>
      <c r="M940" s="24"/>
      <c r="N940" s="24"/>
      <c r="O940" s="24"/>
      <c r="P940" s="24"/>
      <c r="Q940" s="23"/>
      <c r="R940" s="23"/>
      <c r="S940" s="23"/>
      <c r="T940" s="23"/>
      <c r="U940" s="23"/>
      <c r="V940" s="23"/>
      <c r="W940" s="23"/>
      <c r="X940" s="23"/>
      <c r="Y940" s="23"/>
    </row>
    <row r="941" spans="1:25" x14ac:dyDescent="0.2">
      <c r="A941" s="33"/>
      <c r="B941" s="33"/>
      <c r="C941" s="33"/>
      <c r="D941" s="33"/>
      <c r="E941" s="33"/>
      <c r="F941" s="33"/>
      <c r="G941" s="33"/>
      <c r="H941" s="33"/>
      <c r="I941" s="33"/>
      <c r="J941" s="33"/>
      <c r="K941" s="33"/>
      <c r="L941" s="33"/>
      <c r="M941" s="34"/>
      <c r="N941" s="33"/>
      <c r="O941" s="33"/>
      <c r="P941" s="33"/>
      <c r="Q941" s="23"/>
      <c r="R941" s="23"/>
      <c r="S941" s="23"/>
      <c r="T941" s="23"/>
      <c r="U941" s="23"/>
      <c r="V941" s="23"/>
      <c r="W941" s="23"/>
      <c r="X941" s="23"/>
      <c r="Y941" s="23"/>
    </row>
    <row r="942" spans="1:25" x14ac:dyDescent="0.2">
      <c r="A942" s="80" t="s">
        <v>142</v>
      </c>
      <c r="B942" s="81"/>
      <c r="C942" s="81"/>
      <c r="D942" s="81"/>
      <c r="E942" s="81"/>
      <c r="F942" s="81"/>
      <c r="G942" s="81"/>
      <c r="H942" s="81"/>
      <c r="I942" s="80" t="s">
        <v>151</v>
      </c>
      <c r="J942" s="81"/>
      <c r="K942" s="81"/>
      <c r="L942" s="81"/>
      <c r="M942" s="81"/>
      <c r="N942" s="81"/>
      <c r="O942" s="81"/>
      <c r="P942" s="82"/>
      <c r="Q942" s="23"/>
      <c r="R942" s="23"/>
      <c r="S942" s="23"/>
      <c r="T942" s="23"/>
      <c r="U942" s="23"/>
      <c r="V942" s="21"/>
      <c r="W942" s="21"/>
      <c r="X942" s="21"/>
      <c r="Y942" s="21"/>
    </row>
    <row r="943" spans="1:25" x14ac:dyDescent="0.2">
      <c r="A943" s="48"/>
      <c r="B943" s="49"/>
      <c r="C943" s="49"/>
      <c r="D943" s="50"/>
      <c r="E943" s="50"/>
      <c r="F943" s="49"/>
      <c r="G943" s="49"/>
      <c r="H943" s="49"/>
      <c r="I943" s="48"/>
      <c r="J943" s="49"/>
      <c r="K943" s="49"/>
      <c r="L943" s="50"/>
      <c r="M943" s="50"/>
      <c r="N943" s="49"/>
      <c r="O943" s="49"/>
      <c r="P943" s="51"/>
      <c r="Q943" s="23"/>
      <c r="R943" s="23"/>
      <c r="S943" s="23"/>
      <c r="T943" s="23"/>
      <c r="U943" s="23"/>
      <c r="V943" s="21"/>
      <c r="W943" s="21"/>
      <c r="X943" s="21"/>
      <c r="Y943" s="21"/>
    </row>
    <row r="944" spans="1:25" ht="16" x14ac:dyDescent="0.2">
      <c r="A944" s="36" t="s">
        <v>141</v>
      </c>
      <c r="B944" s="23"/>
      <c r="C944" s="26" t="s">
        <v>112</v>
      </c>
      <c r="D944" s="83">
        <f>VLOOKUP(Q929,[95]Base_03!$A$5:$AS$24,5,0)</f>
        <v>36</v>
      </c>
      <c r="E944" s="84"/>
      <c r="F944" s="23" t="s">
        <v>140</v>
      </c>
      <c r="G944" s="23"/>
      <c r="H944" s="23"/>
      <c r="I944" s="36" t="s">
        <v>141</v>
      </c>
      <c r="J944" s="26"/>
      <c r="K944" s="26" t="s">
        <v>119</v>
      </c>
      <c r="L944" s="85">
        <f>VLOOKUP(Q929,[95]Base_04!$A$5:$AS$24,5,0)</f>
        <v>49</v>
      </c>
      <c r="M944" s="85"/>
      <c r="N944" s="30" t="s">
        <v>140</v>
      </c>
      <c r="O944" s="23"/>
      <c r="P944" s="37"/>
      <c r="Q944" s="23"/>
      <c r="R944" s="23"/>
      <c r="S944" s="23"/>
      <c r="T944" s="23"/>
      <c r="U944" s="23"/>
      <c r="V944" s="21"/>
      <c r="W944" s="21"/>
      <c r="X944" s="21"/>
      <c r="Y944" s="21"/>
    </row>
    <row r="945" spans="1:25" ht="15" customHeight="1" x14ac:dyDescent="0.2">
      <c r="A945" s="38" t="s">
        <v>139</v>
      </c>
      <c r="B945" s="23"/>
      <c r="C945" s="26"/>
      <c r="D945" s="79" t="s">
        <v>131</v>
      </c>
      <c r="E945" s="79"/>
      <c r="F945" s="79" t="s">
        <v>130</v>
      </c>
      <c r="G945" s="79"/>
      <c r="H945" s="23"/>
      <c r="I945" s="38" t="s">
        <v>139</v>
      </c>
      <c r="J945" s="23"/>
      <c r="K945" s="26"/>
      <c r="L945" s="79" t="s">
        <v>131</v>
      </c>
      <c r="M945" s="79"/>
      <c r="N945" s="79" t="s">
        <v>130</v>
      </c>
      <c r="O945" s="79"/>
      <c r="P945" s="52"/>
      <c r="Q945" s="23"/>
      <c r="R945" s="23"/>
      <c r="S945" s="23"/>
      <c r="T945" s="23"/>
      <c r="U945" s="23"/>
      <c r="V945" s="21"/>
      <c r="W945" s="21"/>
      <c r="X945" s="21"/>
      <c r="Y945" s="21"/>
    </row>
    <row r="946" spans="1:25" x14ac:dyDescent="0.2">
      <c r="A946" s="39"/>
      <c r="B946" s="23"/>
      <c r="C946" s="26"/>
      <c r="D946" s="79"/>
      <c r="E946" s="79"/>
      <c r="F946" s="79"/>
      <c r="G946" s="79"/>
      <c r="H946" s="23"/>
      <c r="I946" s="39"/>
      <c r="J946" s="23"/>
      <c r="K946" s="26"/>
      <c r="L946" s="79"/>
      <c r="M946" s="79"/>
      <c r="N946" s="79"/>
      <c r="O946" s="79"/>
      <c r="P946" s="52"/>
      <c r="Q946" s="23"/>
      <c r="R946" s="23"/>
      <c r="S946" s="23"/>
      <c r="T946" s="23"/>
      <c r="U946" s="23"/>
      <c r="V946" s="21"/>
      <c r="W946" s="21"/>
      <c r="X946" s="21"/>
      <c r="Y946" s="21"/>
    </row>
    <row r="947" spans="1:25" x14ac:dyDescent="0.2">
      <c r="A947" s="72" t="s">
        <v>138</v>
      </c>
      <c r="B947" s="73"/>
      <c r="C947" s="73" t="s">
        <v>112</v>
      </c>
      <c r="D947" s="78" t="str">
        <f>VLOOKUP(Q929,[95]Base_03!$A$5:$AS$24,6,0)</f>
        <v>BT 17</v>
      </c>
      <c r="E947" s="78"/>
      <c r="F947" s="77">
        <f>VLOOKUP(Q929,[95]Base_03!$A$5:$AS$24,12,0)</f>
        <v>0</v>
      </c>
      <c r="G947" s="77"/>
      <c r="H947" s="23" t="s">
        <v>134</v>
      </c>
      <c r="I947" s="72" t="s">
        <v>138</v>
      </c>
      <c r="J947" s="73"/>
      <c r="K947" s="73"/>
      <c r="L947" s="78" t="str">
        <f>VLOOKUP(Q929,[95]Base_04!$A$5:$AS$24,6,0)</f>
        <v>BT 17</v>
      </c>
      <c r="M947" s="78"/>
      <c r="N947" s="77">
        <f>VLOOKUP(Q929,[95]Base_04!$A$5:$AS$24,12,0)</f>
        <v>0</v>
      </c>
      <c r="O947" s="77"/>
      <c r="P947" s="37" t="s">
        <v>134</v>
      </c>
      <c r="Q947" s="23" t="s">
        <v>123</v>
      </c>
      <c r="R947" s="23"/>
      <c r="S947" s="23"/>
      <c r="T947" s="23"/>
      <c r="U947" s="23"/>
      <c r="V947" s="21"/>
      <c r="W947" s="21"/>
      <c r="X947" s="21"/>
      <c r="Y947" s="21"/>
    </row>
    <row r="948" spans="1:25" x14ac:dyDescent="0.2">
      <c r="A948" s="72" t="s">
        <v>137</v>
      </c>
      <c r="B948" s="73"/>
      <c r="C948" s="73" t="s">
        <v>112</v>
      </c>
      <c r="D948" s="78" t="str">
        <f>VLOOKUP(Q929,[95]Base_03!$A$5:$AS$24,13,0)</f>
        <v>S 17</v>
      </c>
      <c r="E948" s="78"/>
      <c r="F948" s="77">
        <f>VLOOKUP(Q929,[95]Base_03!$A$5:$AS$24,15,0)</f>
        <v>0</v>
      </c>
      <c r="G948" s="77"/>
      <c r="H948" s="23" t="s">
        <v>134</v>
      </c>
      <c r="I948" s="72" t="s">
        <v>137</v>
      </c>
      <c r="J948" s="73"/>
      <c r="K948" s="73"/>
      <c r="L948" s="78" t="str">
        <f>VLOOKUP(Q929,[95]Base_04!$A$5:$AS$24,13,0)</f>
        <v>S 17</v>
      </c>
      <c r="M948" s="78"/>
      <c r="N948" s="77">
        <f>VLOOKUP(Q929,[95]Base_04!$A$5:$AS$24,15,0)</f>
        <v>0</v>
      </c>
      <c r="O948" s="77"/>
      <c r="P948" s="37" t="s">
        <v>134</v>
      </c>
      <c r="Q948" s="23" t="s">
        <v>123</v>
      </c>
      <c r="R948" s="23"/>
      <c r="S948" s="23"/>
      <c r="T948" s="23"/>
      <c r="U948" s="23"/>
      <c r="V948" s="21"/>
      <c r="W948" s="21"/>
      <c r="X948" s="21"/>
      <c r="Y948" s="21"/>
    </row>
    <row r="949" spans="1:25" x14ac:dyDescent="0.2">
      <c r="A949" s="72" t="s">
        <v>136</v>
      </c>
      <c r="B949" s="73"/>
      <c r="C949" s="73" t="s">
        <v>112</v>
      </c>
      <c r="D949" s="78" t="str">
        <f>VLOOKUP(Q929,[95]Base_03!$A$5:$AS$24,16,0)</f>
        <v>B 17</v>
      </c>
      <c r="E949" s="78"/>
      <c r="F949" s="77">
        <f>VLOOKUP(Q929,[95]Base_03!$A$5:$AS$24,22,0)</f>
        <v>0</v>
      </c>
      <c r="G949" s="77"/>
      <c r="H949" s="23" t="s">
        <v>134</v>
      </c>
      <c r="I949" s="72" t="s">
        <v>136</v>
      </c>
      <c r="J949" s="73"/>
      <c r="K949" s="73"/>
      <c r="L949" s="78" t="str">
        <f>VLOOKUP(Q929,[95]Base_04!$A$5:$AS$24,16,0)</f>
        <v>B 17</v>
      </c>
      <c r="M949" s="78"/>
      <c r="N949" s="77">
        <f>VLOOKUP(Q929,[95]Base_04!$A$5:$AS$24,22,0)</f>
        <v>0</v>
      </c>
      <c r="O949" s="77"/>
      <c r="P949" s="37" t="s">
        <v>134</v>
      </c>
      <c r="Q949" s="23" t="s">
        <v>123</v>
      </c>
      <c r="R949" s="23"/>
      <c r="S949" s="23"/>
      <c r="T949" s="23"/>
      <c r="U949" s="23"/>
      <c r="V949" s="21"/>
      <c r="W949" s="21"/>
      <c r="X949" s="21"/>
      <c r="Y949" s="21"/>
    </row>
    <row r="950" spans="1:25" x14ac:dyDescent="0.2">
      <c r="A950" s="72" t="s">
        <v>135</v>
      </c>
      <c r="B950" s="73"/>
      <c r="C950" s="73" t="s">
        <v>112</v>
      </c>
      <c r="D950" s="78" t="str">
        <f>VLOOKUP(Q929,[95]Base_03!$A$5:$AS$24,23,0)</f>
        <v>K 17</v>
      </c>
      <c r="E950" s="78"/>
      <c r="F950" s="77">
        <f>VLOOKUP(Q929,[95]Base_03!$A$5:$AS$24,24,0)</f>
        <v>0</v>
      </c>
      <c r="G950" s="77"/>
      <c r="H950" s="23" t="s">
        <v>134</v>
      </c>
      <c r="I950" s="72" t="s">
        <v>135</v>
      </c>
      <c r="J950" s="73"/>
      <c r="K950" s="73"/>
      <c r="L950" s="78" t="str">
        <f>VLOOKUP(Q929,[95]Base_04!$A$5:$AS$24,23,0)</f>
        <v>K 17</v>
      </c>
      <c r="M950" s="78"/>
      <c r="N950" s="77">
        <f>VLOOKUP(Q929,[95]Base_04!$A$5:$AS$24,24,0)</f>
        <v>0</v>
      </c>
      <c r="O950" s="77"/>
      <c r="P950" s="37" t="s">
        <v>134</v>
      </c>
      <c r="Q950" s="23" t="s">
        <v>123</v>
      </c>
      <c r="R950" s="23"/>
      <c r="S950" s="23"/>
      <c r="T950" s="23"/>
      <c r="U950" s="23"/>
      <c r="V950" s="21"/>
      <c r="W950" s="21"/>
      <c r="X950" s="21"/>
      <c r="Y950" s="21"/>
    </row>
    <row r="951" spans="1:25" x14ac:dyDescent="0.2">
      <c r="A951" s="72" t="s">
        <v>133</v>
      </c>
      <c r="B951" s="73"/>
      <c r="C951" s="73" t="s">
        <v>112</v>
      </c>
      <c r="D951" s="78" t="str">
        <f>VLOOKUP(Q929,[95]Base_03!$A$5:$AS$24,25,0)</f>
        <v>K 17</v>
      </c>
      <c r="E951" s="78"/>
      <c r="F951" s="77">
        <f>VLOOKUP(Q929,[95]Base_03!$A$5:$AS$24,26,0)</f>
        <v>73.900834456272094</v>
      </c>
      <c r="G951" s="77"/>
      <c r="H951" s="23" t="s">
        <v>124</v>
      </c>
      <c r="I951" s="72" t="s">
        <v>133</v>
      </c>
      <c r="J951" s="73"/>
      <c r="K951" s="73"/>
      <c r="L951" s="78" t="str">
        <f>VLOOKUP(Q929,[95]Base_04!$A$5:$AS$24,25,0)</f>
        <v>K 17</v>
      </c>
      <c r="M951" s="78"/>
      <c r="N951" s="77">
        <f>VLOOKUP(Q929,[95]Base_04!$A$5:$AS$24,26,0)</f>
        <v>93.530743608719362</v>
      </c>
      <c r="O951" s="77"/>
      <c r="P951" s="37" t="s">
        <v>124</v>
      </c>
      <c r="Q951" s="23" t="s">
        <v>123</v>
      </c>
      <c r="R951" s="23"/>
      <c r="S951" s="23"/>
      <c r="T951" s="23"/>
      <c r="U951" s="23"/>
      <c r="V951" s="21"/>
      <c r="W951" s="21"/>
      <c r="X951" s="21"/>
      <c r="Y951" s="21"/>
    </row>
    <row r="952" spans="1:25" x14ac:dyDescent="0.2">
      <c r="A952" s="40"/>
      <c r="B952" s="31"/>
      <c r="C952" s="31"/>
      <c r="D952" s="41"/>
      <c r="E952" s="41"/>
      <c r="F952" s="30"/>
      <c r="G952" s="23"/>
      <c r="H952" s="23"/>
      <c r="I952" s="40"/>
      <c r="J952" s="31"/>
      <c r="K952" s="31"/>
      <c r="L952" s="41"/>
      <c r="M952" s="41"/>
      <c r="N952" s="30"/>
      <c r="O952" s="23"/>
      <c r="P952" s="37"/>
      <c r="Q952" s="23"/>
      <c r="R952" s="23"/>
      <c r="S952" s="23"/>
      <c r="T952" s="23"/>
      <c r="U952" s="23"/>
      <c r="V952" s="21"/>
      <c r="W952" s="21"/>
      <c r="X952" s="21"/>
      <c r="Y952" s="21"/>
    </row>
    <row r="953" spans="1:25" x14ac:dyDescent="0.2">
      <c r="A953" s="38" t="s">
        <v>132</v>
      </c>
      <c r="B953" s="23"/>
      <c r="C953" s="26"/>
      <c r="D953" s="79" t="s">
        <v>131</v>
      </c>
      <c r="E953" s="79"/>
      <c r="F953" s="79" t="s">
        <v>130</v>
      </c>
      <c r="G953" s="79"/>
      <c r="H953" s="23"/>
      <c r="I953" s="38" t="s">
        <v>132</v>
      </c>
      <c r="J953" s="23"/>
      <c r="K953" s="26"/>
      <c r="L953" s="79" t="s">
        <v>131</v>
      </c>
      <c r="M953" s="79"/>
      <c r="N953" s="79" t="s">
        <v>130</v>
      </c>
      <c r="O953" s="79"/>
      <c r="P953" s="52"/>
      <c r="Q953" s="23"/>
      <c r="R953" s="23"/>
      <c r="S953" s="23"/>
      <c r="T953" s="23"/>
      <c r="U953" s="23"/>
      <c r="V953" s="21"/>
      <c r="W953" s="21"/>
      <c r="X953" s="21"/>
      <c r="Y953" s="21"/>
    </row>
    <row r="954" spans="1:25" x14ac:dyDescent="0.2">
      <c r="A954" s="39"/>
      <c r="B954" s="23"/>
      <c r="C954" s="26"/>
      <c r="D954" s="79"/>
      <c r="E954" s="79"/>
      <c r="F954" s="79"/>
      <c r="G954" s="79"/>
      <c r="H954" s="23"/>
      <c r="I954" s="39"/>
      <c r="J954" s="23"/>
      <c r="K954" s="26"/>
      <c r="L954" s="79"/>
      <c r="M954" s="79"/>
      <c r="N954" s="79"/>
      <c r="O954" s="79"/>
      <c r="P954" s="52"/>
      <c r="Q954" s="23"/>
      <c r="R954" s="23"/>
      <c r="S954" s="23"/>
      <c r="T954" s="23"/>
      <c r="U954" s="23"/>
      <c r="V954" s="21"/>
      <c r="W954" s="21"/>
      <c r="X954" s="21"/>
      <c r="Y954" s="21"/>
    </row>
    <row r="955" spans="1:25" x14ac:dyDescent="0.2">
      <c r="A955" s="72" t="s">
        <v>129</v>
      </c>
      <c r="B955" s="73"/>
      <c r="C955" s="73" t="s">
        <v>119</v>
      </c>
      <c r="D955" s="78" t="str">
        <f>VLOOKUP(Q929,[95]Base_03!$A$5:$AS$24,28,0)</f>
        <v xml:space="preserve"> G 17</v>
      </c>
      <c r="E955" s="78"/>
      <c r="F955" s="77">
        <f>VLOOKUP(Q929,[95]Base_03!$A$5:$AS$24,30,0)</f>
        <v>55</v>
      </c>
      <c r="G955" s="77"/>
      <c r="H955" s="23" t="s">
        <v>124</v>
      </c>
      <c r="I955" s="72" t="s">
        <v>129</v>
      </c>
      <c r="J955" s="73"/>
      <c r="K955" s="73" t="s">
        <v>119</v>
      </c>
      <c r="L955" s="78" t="str">
        <f>VLOOKUP(Q929,[95]Base_04!$A$5:$AS$24,28,0)</f>
        <v xml:space="preserve"> G 17</v>
      </c>
      <c r="M955" s="78"/>
      <c r="N955" s="77">
        <f>VLOOKUP(Q929,[95]Base_04!$A$5:$AS$24,30,0)</f>
        <v>55</v>
      </c>
      <c r="O955" s="77"/>
      <c r="P955" s="37" t="s">
        <v>124</v>
      </c>
      <c r="Q955" s="23" t="s">
        <v>123</v>
      </c>
      <c r="R955" s="23"/>
      <c r="S955" s="23"/>
      <c r="T955" s="23"/>
      <c r="U955" s="23"/>
      <c r="V955" s="21"/>
      <c r="W955" s="21"/>
      <c r="X955" s="21"/>
      <c r="Y955" s="21"/>
    </row>
    <row r="956" spans="1:25" x14ac:dyDescent="0.2">
      <c r="A956" s="72" t="s">
        <v>128</v>
      </c>
      <c r="B956" s="73"/>
      <c r="C956" s="73" t="s">
        <v>119</v>
      </c>
      <c r="D956" s="78" t="str">
        <f>VLOOKUP(Q929,[95]Base_03!$A$5:$AS$24,31,0)</f>
        <v>H 17</v>
      </c>
      <c r="E956" s="78"/>
      <c r="F956" s="77">
        <f>VLOOKUP(Q929,[95]Base_03!$A$5:$AS$24,34,0)</f>
        <v>-5.76</v>
      </c>
      <c r="G956" s="77"/>
      <c r="H956" s="23" t="s">
        <v>124</v>
      </c>
      <c r="I956" s="72" t="s">
        <v>128</v>
      </c>
      <c r="J956" s="73"/>
      <c r="K956" s="73" t="s">
        <v>119</v>
      </c>
      <c r="L956" s="78" t="str">
        <f>VLOOKUP(Q929,[95]Base_04!$A$5:$AS$24,31,0)</f>
        <v>H 17</v>
      </c>
      <c r="M956" s="78"/>
      <c r="N956" s="77">
        <f>VLOOKUP(Q929,[95]Base_04!$A$5:$AS$24,34,0)</f>
        <v>-5.76</v>
      </c>
      <c r="O956" s="77"/>
      <c r="P956" s="37" t="s">
        <v>124</v>
      </c>
      <c r="Q956" s="23" t="s">
        <v>123</v>
      </c>
      <c r="R956" s="23"/>
      <c r="S956" s="23"/>
      <c r="T956" s="23"/>
      <c r="U956" s="23"/>
      <c r="V956" s="21"/>
      <c r="W956" s="21"/>
      <c r="X956" s="21"/>
      <c r="Y956" s="21"/>
    </row>
    <row r="957" spans="1:25" x14ac:dyDescent="0.2">
      <c r="A957" s="89" t="s">
        <v>127</v>
      </c>
      <c r="B957" s="90"/>
      <c r="C957" s="90" t="s">
        <v>119</v>
      </c>
      <c r="D957" s="91" t="str">
        <f>VLOOKUP(Q929,[95]Base_03!$A$5:$AS$24,35,0)</f>
        <v>Kayu</v>
      </c>
      <c r="E957" s="91"/>
      <c r="F957" s="92">
        <f>VLOOKUP(Q929,[95]Base_03!$A$5:$AS$24,36,0)</f>
        <v>5.76</v>
      </c>
      <c r="G957" s="92"/>
      <c r="H957" s="23" t="s">
        <v>124</v>
      </c>
      <c r="I957" s="89" t="s">
        <v>127</v>
      </c>
      <c r="J957" s="90"/>
      <c r="K957" s="90" t="s">
        <v>119</v>
      </c>
      <c r="L957" s="91" t="str">
        <f>VLOOKUP(Q929,[95]Base_04!$A$5:$AS$24,35,0)</f>
        <v>Kayu</v>
      </c>
      <c r="M957" s="91"/>
      <c r="N957" s="92">
        <f>VLOOKUP(Q929,[95]Base_04!$A$5:$AS$24,36,0)</f>
        <v>5.76</v>
      </c>
      <c r="O957" s="92"/>
      <c r="P957" s="37" t="s">
        <v>124</v>
      </c>
      <c r="Q957" s="23" t="s">
        <v>123</v>
      </c>
      <c r="R957" s="23"/>
      <c r="S957" s="23"/>
      <c r="T957" s="23"/>
      <c r="U957" s="23"/>
      <c r="V957" s="21"/>
      <c r="W957" s="21"/>
      <c r="X957" s="21"/>
      <c r="Y957" s="21"/>
    </row>
    <row r="958" spans="1:25" x14ac:dyDescent="0.2">
      <c r="A958" s="74" t="s">
        <v>126</v>
      </c>
      <c r="B958" s="75"/>
      <c r="C958" s="75"/>
      <c r="D958" s="91"/>
      <c r="E958" s="91"/>
      <c r="F958" s="92"/>
      <c r="G958" s="92"/>
      <c r="H958" s="23"/>
      <c r="I958" s="74" t="s">
        <v>126</v>
      </c>
      <c r="J958" s="75"/>
      <c r="K958" s="75"/>
      <c r="L958" s="91"/>
      <c r="M958" s="91"/>
      <c r="N958" s="92"/>
      <c r="O958" s="92"/>
      <c r="P958" s="37"/>
      <c r="Q958" s="23"/>
      <c r="R958" s="23"/>
      <c r="S958" s="23"/>
      <c r="T958" s="23"/>
      <c r="U958" s="23"/>
      <c r="V958" s="21"/>
      <c r="W958" s="21"/>
      <c r="X958" s="21"/>
      <c r="Y958" s="21"/>
    </row>
    <row r="959" spans="1:25" x14ac:dyDescent="0.2">
      <c r="A959" s="72" t="s">
        <v>125</v>
      </c>
      <c r="B959" s="73"/>
      <c r="C959" s="73" t="s">
        <v>119</v>
      </c>
      <c r="D959" s="78" t="str">
        <f>VLOOKUP(Q929,[95]Base_03!$A$5:$AS$24,39,0)</f>
        <v>R 17</v>
      </c>
      <c r="E959" s="78"/>
      <c r="F959" s="77">
        <f>VLOOKUP(Q929,[95]Base_03!$A$5:$AS$24,40,0)</f>
        <v>36</v>
      </c>
      <c r="G959" s="77"/>
      <c r="H959" s="23" t="s">
        <v>124</v>
      </c>
      <c r="I959" s="72" t="s">
        <v>125</v>
      </c>
      <c r="J959" s="73"/>
      <c r="K959" s="73" t="s">
        <v>119</v>
      </c>
      <c r="L959" s="78" t="str">
        <f>VLOOKUP(Q929,[95]Base_04!$A$5:$AS$24,39,0)</f>
        <v>R 17</v>
      </c>
      <c r="M959" s="78"/>
      <c r="N959" s="77">
        <f>VLOOKUP(Q929,[95]Base_04!$A$5:$AS$24,40,0)</f>
        <v>49</v>
      </c>
      <c r="O959" s="77"/>
      <c r="P959" s="37" t="s">
        <v>124</v>
      </c>
      <c r="Q959" s="23" t="s">
        <v>123</v>
      </c>
      <c r="R959" s="23"/>
      <c r="S959" s="23"/>
      <c r="T959" s="23"/>
      <c r="U959" s="23"/>
      <c r="V959" s="21"/>
      <c r="W959" s="21"/>
      <c r="X959" s="21"/>
      <c r="Y959" s="21"/>
    </row>
    <row r="960" spans="1:25" x14ac:dyDescent="0.2">
      <c r="A960" s="39"/>
      <c r="B960" s="23"/>
      <c r="C960" s="23"/>
      <c r="D960" s="23"/>
      <c r="E960" s="23"/>
      <c r="F960" s="23"/>
      <c r="G960" s="23"/>
      <c r="H960" s="23"/>
      <c r="I960" s="39"/>
      <c r="J960" s="45"/>
      <c r="K960" s="45"/>
      <c r="L960" s="45"/>
      <c r="M960" s="23"/>
      <c r="N960" s="30"/>
      <c r="O960" s="23"/>
      <c r="P960" s="37"/>
      <c r="Q960" s="23"/>
      <c r="R960" s="23"/>
      <c r="S960" s="23"/>
      <c r="T960" s="23"/>
      <c r="U960" s="23"/>
      <c r="V960" s="21"/>
      <c r="W960" s="21"/>
      <c r="X960" s="21"/>
      <c r="Y960" s="21"/>
    </row>
    <row r="961" spans="1:25" x14ac:dyDescent="0.2">
      <c r="A961" s="72" t="s">
        <v>122</v>
      </c>
      <c r="B961" s="73"/>
      <c r="C961" s="73" t="s">
        <v>112</v>
      </c>
      <c r="D961" s="76">
        <f>VLOOKUP(Q929,[95]Base_03!$A$5:$AS$24,42,0)</f>
        <v>6.666666666666667</v>
      </c>
      <c r="E961" s="76"/>
      <c r="F961" s="25" t="s">
        <v>118</v>
      </c>
      <c r="G961" s="23"/>
      <c r="H961" s="23"/>
      <c r="I961" s="72" t="s">
        <v>122</v>
      </c>
      <c r="J961" s="73"/>
      <c r="K961" s="73" t="s">
        <v>112</v>
      </c>
      <c r="L961" s="76">
        <f>VLOOKUP(Q929,[95]Base_04!$A$5:$AS$24,42,0)</f>
        <v>4.8979591836734695</v>
      </c>
      <c r="M961" s="76"/>
      <c r="N961" s="46" t="s">
        <v>118</v>
      </c>
      <c r="O961" s="23"/>
      <c r="P961" s="37"/>
      <c r="Q961" s="32" t="s">
        <v>121</v>
      </c>
      <c r="R961" s="23"/>
      <c r="S961" s="23"/>
      <c r="T961" s="23"/>
      <c r="U961" s="23"/>
      <c r="V961" s="21"/>
      <c r="W961" s="21"/>
      <c r="X961" s="21"/>
      <c r="Y961" s="21"/>
    </row>
    <row r="962" spans="1:25" x14ac:dyDescent="0.2">
      <c r="A962" s="72" t="s">
        <v>120</v>
      </c>
      <c r="B962" s="73"/>
      <c r="C962" s="73" t="s">
        <v>119</v>
      </c>
      <c r="D962" s="76">
        <f>VLOOKUP(Q929,[95]Base_03!$A$5:$AS$24,43,0)</f>
        <v>9.6666666666666661</v>
      </c>
      <c r="E962" s="76"/>
      <c r="F962" s="25" t="s">
        <v>118</v>
      </c>
      <c r="G962" s="23"/>
      <c r="H962" s="23"/>
      <c r="I962" s="72" t="s">
        <v>120</v>
      </c>
      <c r="J962" s="73"/>
      <c r="K962" s="73" t="s">
        <v>119</v>
      </c>
      <c r="L962" s="76">
        <f>VLOOKUP(Q929,[95]Base_04!$A$5:$AS$24,43,0)</f>
        <v>7.1020408163265314</v>
      </c>
      <c r="M962" s="76"/>
      <c r="N962" s="46" t="s">
        <v>118</v>
      </c>
      <c r="O962" s="23"/>
      <c r="P962" s="37"/>
      <c r="Q962" s="32" t="s">
        <v>117</v>
      </c>
      <c r="R962" s="23"/>
      <c r="S962" s="23"/>
      <c r="T962" s="23"/>
      <c r="U962" s="23"/>
      <c r="V962" s="21"/>
      <c r="W962" s="21"/>
      <c r="X962" s="21"/>
      <c r="Y962" s="21"/>
    </row>
    <row r="963" spans="1:25" x14ac:dyDescent="0.2">
      <c r="A963" s="72" t="s">
        <v>115</v>
      </c>
      <c r="B963" s="73"/>
      <c r="C963" s="73"/>
      <c r="D963" s="71" t="str">
        <f>VLOOKUP(Q929,[95]Base_03!$A$5:$AS$24,44,0)</f>
        <v>(Ada) Baik</v>
      </c>
      <c r="E963" s="71"/>
      <c r="F963" s="23"/>
      <c r="G963" s="23"/>
      <c r="H963" s="23"/>
      <c r="I963" s="72" t="s">
        <v>115</v>
      </c>
      <c r="J963" s="73"/>
      <c r="K963" s="73"/>
      <c r="L963" s="71" t="str">
        <f>VLOOKUP(Q929,[95]Base_04!$A$5:$AS$24,44,0)</f>
        <v>(Ada) Baik</v>
      </c>
      <c r="M963" s="71"/>
      <c r="N963" s="30"/>
      <c r="O963" s="23"/>
      <c r="P963" s="37"/>
      <c r="Q963" s="23"/>
      <c r="R963" s="23"/>
      <c r="S963" s="23"/>
      <c r="T963" s="23"/>
      <c r="U963" s="23"/>
      <c r="V963" s="21"/>
      <c r="W963" s="21"/>
      <c r="X963" s="21"/>
      <c r="Y963" s="21"/>
    </row>
    <row r="964" spans="1:25" x14ac:dyDescent="0.2">
      <c r="A964" s="74" t="s">
        <v>116</v>
      </c>
      <c r="B964" s="75"/>
      <c r="C964" s="26"/>
      <c r="D964" s="25"/>
      <c r="E964" s="25"/>
      <c r="F964" s="23"/>
      <c r="G964" s="23"/>
      <c r="H964" s="23"/>
      <c r="I964" s="74" t="s">
        <v>116</v>
      </c>
      <c r="J964" s="75"/>
      <c r="K964" s="26"/>
      <c r="L964" s="25"/>
      <c r="M964" s="25"/>
      <c r="N964" s="30"/>
      <c r="O964" s="23"/>
      <c r="P964" s="37"/>
      <c r="Q964" s="23"/>
      <c r="R964" s="23"/>
      <c r="S964" s="23"/>
      <c r="T964" s="23"/>
      <c r="U964" s="23"/>
      <c r="V964" s="21"/>
      <c r="W964" s="21"/>
      <c r="X964" s="21"/>
      <c r="Y964" s="21"/>
    </row>
    <row r="965" spans="1:25" x14ac:dyDescent="0.2">
      <c r="A965" s="72" t="s">
        <v>115</v>
      </c>
      <c r="B965" s="73"/>
      <c r="C965" s="73"/>
      <c r="D965" s="71" t="str">
        <f>VLOOKUP(Q929,[95]Base_03!$A$5:$AS$24,45,0)</f>
        <v>Air Pam (Baik)</v>
      </c>
      <c r="E965" s="71"/>
      <c r="F965" s="23"/>
      <c r="G965" s="23"/>
      <c r="H965" s="23"/>
      <c r="I965" s="72" t="s">
        <v>115</v>
      </c>
      <c r="J965" s="73"/>
      <c r="K965" s="73"/>
      <c r="L965" s="71" t="str">
        <f>VLOOKUP(Q929,[95]Base_04!$A$5:$AS$24,45,0)</f>
        <v>Air Pam (Baik)</v>
      </c>
      <c r="M965" s="71"/>
      <c r="N965" s="30"/>
      <c r="O965" s="23"/>
      <c r="P965" s="37"/>
      <c r="Q965" s="23"/>
      <c r="R965" s="23"/>
      <c r="S965" s="23"/>
      <c r="T965" s="23"/>
      <c r="U965" s="23"/>
      <c r="V965" s="21"/>
      <c r="W965" s="21"/>
      <c r="X965" s="21"/>
      <c r="Y965" s="21"/>
    </row>
    <row r="966" spans="1:25" x14ac:dyDescent="0.2">
      <c r="A966" s="74" t="s">
        <v>114</v>
      </c>
      <c r="B966" s="75"/>
      <c r="C966" s="26"/>
      <c r="D966" s="25"/>
      <c r="E966" s="25"/>
      <c r="F966" s="23"/>
      <c r="G966" s="23"/>
      <c r="H966" s="23"/>
      <c r="I966" s="74" t="s">
        <v>114</v>
      </c>
      <c r="J966" s="75"/>
      <c r="K966" s="26"/>
      <c r="L966" s="25"/>
      <c r="M966" s="25"/>
      <c r="N966" s="30"/>
      <c r="O966" s="23"/>
      <c r="P966" s="37"/>
      <c r="Q966" s="23"/>
      <c r="R966" s="23"/>
      <c r="S966" s="23"/>
      <c r="T966" s="23"/>
      <c r="U966" s="23"/>
      <c r="V966" s="21"/>
      <c r="W966" s="21"/>
      <c r="X966" s="21"/>
      <c r="Y966" s="21"/>
    </row>
    <row r="967" spans="1:25" x14ac:dyDescent="0.2">
      <c r="A967" s="36" t="s">
        <v>113</v>
      </c>
      <c r="B967" s="23"/>
      <c r="C967" s="26" t="s">
        <v>112</v>
      </c>
      <c r="D967" s="71">
        <f>VLOOKUP(Q929,[94]Base_02!$A$5:$S$24,18,0)</f>
        <v>0</v>
      </c>
      <c r="E967" s="71"/>
      <c r="F967" s="23" t="str">
        <f>IF(D967&gt;0,"LU","LS")</f>
        <v>LS</v>
      </c>
      <c r="G967" s="23"/>
      <c r="H967" s="23"/>
      <c r="I967" s="36" t="s">
        <v>113</v>
      </c>
      <c r="J967" s="26"/>
      <c r="K967" s="26" t="s">
        <v>112</v>
      </c>
      <c r="L967" s="71">
        <f>D967</f>
        <v>0</v>
      </c>
      <c r="M967" s="71"/>
      <c r="N967" s="23" t="str">
        <f>IF(L967&gt;0,"LU","LS")</f>
        <v>LS</v>
      </c>
      <c r="O967" s="23"/>
      <c r="P967" s="37"/>
      <c r="Q967" s="23"/>
      <c r="R967" s="23"/>
      <c r="S967" s="23"/>
      <c r="T967" s="23"/>
      <c r="U967" s="23"/>
      <c r="V967" s="21"/>
      <c r="W967" s="21"/>
      <c r="X967" s="21"/>
      <c r="Y967" s="21"/>
    </row>
    <row r="968" spans="1:25" x14ac:dyDescent="0.2">
      <c r="A968" s="42"/>
      <c r="B968" s="43"/>
      <c r="C968" s="44" t="s">
        <v>111</v>
      </c>
      <c r="D968" s="70">
        <f>VLOOKUP(Q929,[94]Base_02!$A$5:$S$24,19,0)</f>
        <v>0</v>
      </c>
      <c r="E968" s="70"/>
      <c r="F968" s="43" t="s">
        <v>110</v>
      </c>
      <c r="G968" s="43"/>
      <c r="H968" s="43"/>
      <c r="I968" s="42"/>
      <c r="J968" s="43"/>
      <c r="K968" s="43"/>
      <c r="L968" s="70">
        <f>D968</f>
        <v>0</v>
      </c>
      <c r="M968" s="70"/>
      <c r="N968" s="47" t="s">
        <v>110</v>
      </c>
      <c r="O968" s="44"/>
      <c r="P968" s="53"/>
      <c r="Q968" s="23"/>
      <c r="R968" s="23"/>
      <c r="S968" s="23"/>
      <c r="T968" s="23"/>
      <c r="U968" s="23"/>
      <c r="V968" s="21"/>
      <c r="W968" s="21"/>
      <c r="X968" s="21"/>
      <c r="Y968" s="21"/>
    </row>
    <row r="969" spans="1:25" x14ac:dyDescent="0.2">
      <c r="A969" s="23"/>
      <c r="B969" s="23"/>
      <c r="C969" s="26"/>
      <c r="D969" s="23"/>
      <c r="E969" s="23"/>
      <c r="F969" s="23"/>
      <c r="G969" s="23"/>
      <c r="H969" s="23"/>
      <c r="I969" s="23"/>
      <c r="J969" s="23"/>
      <c r="K969" s="25"/>
      <c r="L969" s="25"/>
      <c r="M969" s="30"/>
      <c r="N969" s="23"/>
      <c r="O969" s="23"/>
      <c r="P969" s="23"/>
      <c r="Q969" s="23"/>
      <c r="R969" s="23"/>
      <c r="S969" s="23"/>
      <c r="T969" s="23"/>
      <c r="U969" s="23"/>
      <c r="V969" s="23"/>
      <c r="W969" s="23"/>
      <c r="X969" s="23"/>
      <c r="Y969" s="23"/>
    </row>
    <row r="970" spans="1:25" x14ac:dyDescent="0.2">
      <c r="A970" s="23"/>
      <c r="B970" s="23"/>
      <c r="C970" s="23"/>
      <c r="D970" s="23"/>
      <c r="E970" s="23"/>
      <c r="F970" s="23"/>
      <c r="G970" s="23"/>
      <c r="H970" s="23"/>
      <c r="I970" s="23"/>
      <c r="J970" s="23"/>
      <c r="K970" s="23"/>
      <c r="L970" s="23"/>
      <c r="M970" s="30"/>
      <c r="N970" s="23"/>
      <c r="O970" s="23"/>
      <c r="P970" s="23"/>
      <c r="Q970" s="23"/>
      <c r="R970" s="23"/>
      <c r="S970" s="23"/>
      <c r="T970" s="23"/>
      <c r="U970" s="23"/>
      <c r="V970" s="23"/>
      <c r="W970" s="23"/>
      <c r="X970" s="23"/>
      <c r="Y970" s="23"/>
    </row>
    <row r="971" spans="1:25" x14ac:dyDescent="0.2">
      <c r="A971" s="23"/>
      <c r="B971" s="23"/>
      <c r="C971" s="23"/>
      <c r="D971" s="23"/>
      <c r="E971" s="23"/>
      <c r="F971" s="23"/>
      <c r="G971" s="23"/>
      <c r="H971" s="23"/>
      <c r="I971" s="23"/>
      <c r="J971" s="23"/>
      <c r="K971" s="23"/>
      <c r="L971" s="71" t="str">
        <f>[94]Base_01!$C$4&amp;", …..  …........................  2026"</f>
        <v>Sorong, …..  …........................  2026</v>
      </c>
      <c r="M971" s="71"/>
      <c r="N971" s="71"/>
      <c r="O971" s="71"/>
      <c r="P971" s="71"/>
      <c r="Q971" s="23"/>
      <c r="R971" s="23"/>
      <c r="S971" s="23"/>
      <c r="T971" s="23"/>
      <c r="U971" s="23"/>
      <c r="V971" s="23"/>
      <c r="W971" s="23"/>
      <c r="X971" s="23"/>
      <c r="Y971" s="23"/>
    </row>
    <row r="972" spans="1:25" x14ac:dyDescent="0.2">
      <c r="A972" s="71" t="s">
        <v>108</v>
      </c>
      <c r="B972" s="71"/>
      <c r="C972" s="71"/>
      <c r="D972" s="71"/>
      <c r="E972" s="71"/>
      <c r="F972" s="71"/>
      <c r="G972" s="23"/>
      <c r="H972" s="23"/>
      <c r="I972" s="23"/>
      <c r="J972" s="23"/>
      <c r="K972" s="23"/>
      <c r="L972" s="71" t="s">
        <v>152</v>
      </c>
      <c r="M972" s="71"/>
      <c r="N972" s="71"/>
      <c r="O972" s="71"/>
      <c r="P972" s="71"/>
      <c r="Q972" s="23"/>
      <c r="R972" s="23"/>
      <c r="S972" s="23"/>
      <c r="T972" s="23"/>
      <c r="U972" s="23"/>
      <c r="V972" s="23"/>
      <c r="W972" s="23"/>
      <c r="X972" s="23"/>
      <c r="Y972" s="23"/>
    </row>
    <row r="973" spans="1:25" x14ac:dyDescent="0.2">
      <c r="A973" s="71" t="s">
        <v>153</v>
      </c>
      <c r="B973" s="71"/>
      <c r="C973" s="71"/>
      <c r="D973" s="71"/>
      <c r="E973" s="71"/>
      <c r="F973" s="71"/>
      <c r="G973" s="23"/>
      <c r="H973" s="23"/>
      <c r="I973" s="23"/>
      <c r="J973" s="23"/>
      <c r="K973" s="23"/>
      <c r="L973" s="71" t="s">
        <v>107</v>
      </c>
      <c r="M973" s="71"/>
      <c r="N973" s="71"/>
      <c r="O973" s="71"/>
      <c r="P973" s="71"/>
      <c r="Q973" s="23"/>
      <c r="R973" s="23"/>
      <c r="S973" s="23"/>
      <c r="T973" s="23"/>
      <c r="U973" s="23"/>
      <c r="V973" s="23"/>
      <c r="W973" s="23"/>
      <c r="X973" s="23"/>
      <c r="Y973" s="23"/>
    </row>
    <row r="974" spans="1:25" x14ac:dyDescent="0.2">
      <c r="A974" s="23"/>
      <c r="B974" s="23"/>
      <c r="C974" s="23"/>
      <c r="D974" s="23"/>
      <c r="E974" s="23"/>
      <c r="F974" s="23"/>
      <c r="G974" s="23"/>
      <c r="H974" s="23"/>
      <c r="I974" s="23"/>
      <c r="J974" s="23"/>
      <c r="K974" s="23"/>
      <c r="L974" s="23"/>
      <c r="M974" s="30"/>
      <c r="N974" s="23"/>
      <c r="O974" s="23"/>
      <c r="P974" s="23"/>
      <c r="Q974" s="23"/>
      <c r="R974" s="23"/>
      <c r="S974" s="23"/>
      <c r="T974" s="23"/>
      <c r="U974" s="23"/>
      <c r="V974" s="23"/>
      <c r="W974" s="23"/>
      <c r="X974" s="23"/>
      <c r="Y974" s="23"/>
    </row>
    <row r="975" spans="1:25" x14ac:dyDescent="0.2">
      <c r="A975" s="23"/>
      <c r="B975" s="23"/>
      <c r="C975" s="23"/>
      <c r="D975" s="23"/>
      <c r="E975" s="23"/>
      <c r="F975" s="23"/>
      <c r="G975" s="23"/>
      <c r="H975" s="23"/>
      <c r="I975" s="23"/>
      <c r="J975" s="23"/>
      <c r="K975" s="23"/>
      <c r="L975" s="23"/>
      <c r="M975" s="30"/>
      <c r="N975" s="23"/>
      <c r="O975" s="23"/>
      <c r="P975" s="23"/>
      <c r="Q975" s="23"/>
      <c r="R975" s="23"/>
      <c r="S975" s="23"/>
      <c r="T975" s="23"/>
      <c r="U975" s="23"/>
      <c r="V975" s="23"/>
      <c r="W975" s="23"/>
      <c r="X975" s="23"/>
      <c r="Y975" s="23"/>
    </row>
    <row r="976" spans="1:25" x14ac:dyDescent="0.2">
      <c r="A976" s="23"/>
      <c r="B976" s="23"/>
      <c r="C976" s="23"/>
      <c r="D976" s="23"/>
      <c r="E976" s="23"/>
      <c r="F976" s="23"/>
      <c r="G976" s="23"/>
      <c r="H976" s="23"/>
      <c r="I976" s="23"/>
      <c r="J976" s="23"/>
      <c r="K976" s="23"/>
      <c r="L976" s="23"/>
      <c r="M976" s="30"/>
      <c r="N976" s="23"/>
      <c r="O976" s="23"/>
      <c r="P976" s="23"/>
      <c r="Q976" s="23"/>
      <c r="R976" s="23"/>
      <c r="S976" s="23"/>
      <c r="T976" s="23"/>
      <c r="U976" s="23"/>
      <c r="V976" s="23"/>
      <c r="W976" s="23"/>
      <c r="X976" s="23"/>
      <c r="Y976" s="23"/>
    </row>
    <row r="977" spans="1:25" x14ac:dyDescent="0.2">
      <c r="A977" s="23"/>
      <c r="B977" s="23"/>
      <c r="C977" s="23"/>
      <c r="D977" s="23"/>
      <c r="E977" s="23"/>
      <c r="F977" s="23"/>
      <c r="G977" s="23"/>
      <c r="H977" s="23"/>
      <c r="I977" s="23"/>
      <c r="J977" s="23"/>
      <c r="K977" s="23"/>
      <c r="L977" s="23"/>
      <c r="M977" s="30"/>
      <c r="N977" s="23"/>
      <c r="O977" s="23"/>
      <c r="P977" s="23"/>
      <c r="Q977" s="23"/>
      <c r="R977" s="23"/>
      <c r="S977" s="23"/>
      <c r="T977" s="23"/>
      <c r="U977" s="23"/>
      <c r="V977" s="23"/>
      <c r="W977" s="23"/>
      <c r="X977" s="23"/>
      <c r="Y977" s="23"/>
    </row>
    <row r="978" spans="1:25" x14ac:dyDescent="0.2">
      <c r="A978" s="87" t="str">
        <f>[94]Base_02!$C$28</f>
        <v>Nama PB 1</v>
      </c>
      <c r="B978" s="87"/>
      <c r="C978" s="87"/>
      <c r="D978" s="87"/>
      <c r="E978" s="87"/>
      <c r="F978" s="87"/>
      <c r="G978" s="23"/>
      <c r="H978" s="23"/>
      <c r="I978" s="23"/>
      <c r="J978" s="23"/>
      <c r="K978" s="23"/>
      <c r="L978" s="71" t="str">
        <f>E934</f>
        <v>Nama PB 17</v>
      </c>
      <c r="M978" s="71"/>
      <c r="N978" s="71"/>
      <c r="O978" s="71"/>
      <c r="P978" s="71"/>
      <c r="Q978" s="23"/>
      <c r="R978" s="23"/>
      <c r="S978" s="23"/>
      <c r="T978" s="23"/>
      <c r="U978" s="23"/>
      <c r="V978" s="23"/>
      <c r="W978" s="23"/>
      <c r="X978" s="23"/>
      <c r="Y978" s="23"/>
    </row>
    <row r="979" spans="1:25" x14ac:dyDescent="0.2">
      <c r="A979" s="23"/>
      <c r="B979" s="23"/>
      <c r="C979" s="23"/>
      <c r="D979" s="23"/>
      <c r="E979" s="23"/>
      <c r="F979" s="23"/>
      <c r="G979" s="23"/>
      <c r="H979" s="23"/>
      <c r="I979" s="23"/>
      <c r="J979" s="23"/>
      <c r="K979" s="23"/>
      <c r="L979" s="23"/>
      <c r="M979" s="30"/>
      <c r="N979" s="23"/>
      <c r="O979" s="23"/>
      <c r="P979" s="23"/>
      <c r="Q979" s="23"/>
      <c r="R979" s="23"/>
      <c r="S979" s="23"/>
      <c r="T979" s="23"/>
      <c r="U979" s="23"/>
      <c r="V979" s="23"/>
      <c r="W979" s="23"/>
      <c r="X979" s="23"/>
      <c r="Y979" s="23"/>
    </row>
    <row r="980" spans="1:25" x14ac:dyDescent="0.2">
      <c r="A980" s="87" t="s">
        <v>109</v>
      </c>
      <c r="B980" s="87"/>
      <c r="C980" s="87"/>
      <c r="D980" s="87"/>
      <c r="E980" s="87"/>
      <c r="F980" s="87"/>
      <c r="G980" s="23"/>
      <c r="H980" s="23"/>
      <c r="I980" s="29"/>
      <c r="J980" s="24"/>
      <c r="K980" s="24"/>
      <c r="L980" s="88" t="s">
        <v>92</v>
      </c>
      <c r="M980" s="88"/>
      <c r="N980" s="88"/>
      <c r="O980" s="88"/>
      <c r="P980" s="88"/>
      <c r="Q980" s="23"/>
      <c r="R980" s="23"/>
      <c r="S980" s="23"/>
      <c r="T980" s="23"/>
      <c r="U980" s="23"/>
      <c r="V980" s="23"/>
      <c r="W980" s="23"/>
      <c r="X980" s="23"/>
      <c r="Y980" s="23"/>
    </row>
    <row r="981" spans="1:25" x14ac:dyDescent="0.2">
      <c r="A981" s="68" t="s">
        <v>91</v>
      </c>
      <c r="B981" s="68"/>
      <c r="C981" s="68"/>
      <c r="D981" s="68"/>
      <c r="E981" s="68"/>
      <c r="F981" s="68"/>
      <c r="I981" s="28"/>
      <c r="J981" s="28"/>
      <c r="K981" s="28"/>
      <c r="L981" s="69" t="str">
        <f>[94]Base_01!$B$17&amp;" "&amp;[94]Base_01!$C$4</f>
        <v>Koordinator Kota Sorong</v>
      </c>
      <c r="M981" s="69"/>
      <c r="N981" s="69"/>
      <c r="O981" s="69"/>
      <c r="P981" s="69"/>
      <c r="Q981" s="23"/>
      <c r="R981" s="23"/>
      <c r="S981" s="23"/>
      <c r="T981" s="23"/>
      <c r="U981" s="23"/>
      <c r="V981" s="23"/>
      <c r="W981" s="23"/>
      <c r="X981" s="23"/>
      <c r="Y981" s="23"/>
    </row>
    <row r="982" spans="1:25" x14ac:dyDescent="0.2">
      <c r="M982" s="27"/>
      <c r="Q982" s="23"/>
      <c r="R982" s="23"/>
      <c r="S982" s="23"/>
      <c r="T982" s="23"/>
      <c r="U982" s="23"/>
      <c r="V982" s="23"/>
      <c r="W982" s="23"/>
      <c r="X982" s="23"/>
      <c r="Y982" s="23"/>
    </row>
    <row r="983" spans="1:25" x14ac:dyDescent="0.2">
      <c r="M983" s="27"/>
      <c r="Q983" s="23"/>
      <c r="R983" s="23"/>
      <c r="S983" s="23"/>
      <c r="T983" s="23"/>
      <c r="U983" s="23"/>
      <c r="V983" s="23"/>
      <c r="W983" s="23"/>
      <c r="X983" s="23"/>
      <c r="Y983" s="23"/>
    </row>
    <row r="984" spans="1:25" x14ac:dyDescent="0.2">
      <c r="M984" s="27"/>
      <c r="Q984" s="23"/>
      <c r="R984" s="23"/>
      <c r="S984" s="23"/>
      <c r="T984" s="23"/>
      <c r="U984" s="23"/>
      <c r="V984" s="23"/>
      <c r="W984" s="23"/>
      <c r="X984" s="23"/>
      <c r="Y984" s="23"/>
    </row>
    <row r="985" spans="1:25" x14ac:dyDescent="0.2">
      <c r="M985" s="27"/>
      <c r="Q985" s="23"/>
      <c r="R985" s="23"/>
      <c r="S985" s="23"/>
      <c r="T985" s="23"/>
      <c r="U985" s="23"/>
      <c r="V985" s="23"/>
      <c r="W985" s="23"/>
      <c r="X985" s="23"/>
      <c r="Y985" s="23"/>
    </row>
    <row r="986" spans="1:25" x14ac:dyDescent="0.2">
      <c r="A986" s="68" t="str">
        <f>[94]Base_01!$C$20</f>
        <v>…...............         …...............</v>
      </c>
      <c r="B986" s="68"/>
      <c r="C986" s="68"/>
      <c r="D986" s="68"/>
      <c r="E986" s="68"/>
      <c r="F986" s="68"/>
      <c r="L986" s="68" t="str">
        <f>[94]Base_01!$C$17</f>
        <v>AfrIandi Yudhistira, S.T.</v>
      </c>
      <c r="M986" s="68"/>
      <c r="N986" s="68"/>
      <c r="O986" s="68"/>
      <c r="P986" s="68"/>
      <c r="Q986" s="23"/>
      <c r="R986" s="23"/>
      <c r="S986" s="23"/>
      <c r="T986" s="23"/>
      <c r="U986" s="23"/>
      <c r="V986" s="23"/>
      <c r="W986" s="23"/>
      <c r="X986" s="23"/>
      <c r="Y986" s="23"/>
    </row>
    <row r="987" spans="1:25" x14ac:dyDescent="0.2">
      <c r="A987" s="86" t="s">
        <v>149</v>
      </c>
      <c r="B987" s="86"/>
      <c r="C987" s="86"/>
      <c r="D987" s="86"/>
      <c r="E987" s="86"/>
      <c r="F987" s="86"/>
      <c r="G987" s="86"/>
      <c r="H987" s="86"/>
      <c r="I987" s="86"/>
      <c r="J987" s="86"/>
      <c r="K987" s="86"/>
      <c r="L987" s="86"/>
      <c r="M987" s="86"/>
      <c r="N987" s="86"/>
      <c r="O987" s="86"/>
      <c r="P987" s="86"/>
      <c r="Q987" s="23">
        <f>Q929+1</f>
        <v>18</v>
      </c>
      <c r="R987" s="23"/>
      <c r="S987" s="23"/>
      <c r="T987" s="23"/>
      <c r="U987" s="23"/>
      <c r="V987" s="23"/>
      <c r="W987" s="23"/>
      <c r="X987" s="23"/>
      <c r="Y987" s="23"/>
    </row>
    <row r="988" spans="1:25" x14ac:dyDescent="0.2">
      <c r="A988" s="71" t="s">
        <v>148</v>
      </c>
      <c r="B988" s="71"/>
      <c r="C988" s="71"/>
      <c r="D988" s="71"/>
      <c r="E988" s="71"/>
      <c r="F988" s="71"/>
      <c r="G988" s="71"/>
      <c r="H988" s="71"/>
      <c r="I988" s="71"/>
      <c r="J988" s="71"/>
      <c r="K988" s="71"/>
      <c r="L988" s="71"/>
      <c r="M988" s="71"/>
      <c r="N988" s="71"/>
      <c r="O988" s="71"/>
      <c r="P988" s="71"/>
      <c r="Q988" s="23"/>
      <c r="R988" s="23"/>
      <c r="S988" s="23"/>
      <c r="T988" s="23"/>
      <c r="U988" s="23"/>
      <c r="V988" s="23"/>
      <c r="W988" s="23"/>
      <c r="X988" s="23"/>
      <c r="Y988" s="23"/>
    </row>
    <row r="989" spans="1:25" x14ac:dyDescent="0.2">
      <c r="A989" s="25"/>
      <c r="B989" s="25"/>
      <c r="C989" s="25"/>
      <c r="D989" s="25"/>
      <c r="E989" s="25"/>
      <c r="F989" s="25"/>
      <c r="G989" s="25"/>
      <c r="H989" s="25"/>
      <c r="I989" s="23"/>
      <c r="J989" s="24"/>
      <c r="K989" s="24"/>
      <c r="L989" s="24"/>
      <c r="M989" s="24"/>
      <c r="N989" s="24"/>
      <c r="O989" s="24"/>
      <c r="P989" s="24"/>
      <c r="Q989" s="23"/>
      <c r="R989" s="23"/>
      <c r="S989" s="23"/>
      <c r="T989" s="23"/>
      <c r="U989" s="23"/>
      <c r="V989" s="23"/>
      <c r="W989" s="23"/>
      <c r="X989" s="23"/>
      <c r="Y989" s="23"/>
    </row>
    <row r="990" spans="1:25" x14ac:dyDescent="0.2">
      <c r="A990" s="73" t="s">
        <v>147</v>
      </c>
      <c r="B990" s="73"/>
      <c r="C990" s="73"/>
      <c r="D990" s="73"/>
      <c r="E990" s="35" t="str">
        <f>VLOOKUP(Q987,[94]Base_02!$A$5:$AD$24,2,0)</f>
        <v>000018</v>
      </c>
      <c r="F990" s="23"/>
      <c r="G990" s="23"/>
      <c r="H990" s="24"/>
      <c r="I990" s="23"/>
      <c r="J990" s="24"/>
      <c r="K990" s="24"/>
      <c r="L990" s="24"/>
      <c r="M990" s="24"/>
      <c r="N990" s="24"/>
      <c r="O990" s="24"/>
      <c r="P990" s="24"/>
      <c r="Q990" s="23"/>
      <c r="R990" s="23"/>
      <c r="S990" s="23"/>
      <c r="T990" s="23"/>
      <c r="U990" s="23"/>
      <c r="V990" s="23"/>
      <c r="W990" s="23"/>
      <c r="X990" s="23"/>
      <c r="Y990" s="23"/>
    </row>
    <row r="991" spans="1:25" x14ac:dyDescent="0.2">
      <c r="A991" s="73" t="s">
        <v>68</v>
      </c>
      <c r="B991" s="73"/>
      <c r="C991" s="73"/>
      <c r="D991" s="73"/>
      <c r="E991" s="35">
        <f>VLOOKUP(Q987,[94]Base_02!$A$5:$AD$24,14,0)</f>
        <v>0</v>
      </c>
      <c r="F991" s="23"/>
      <c r="G991" s="23"/>
      <c r="H991" s="24"/>
      <c r="I991" s="23"/>
      <c r="J991" s="24"/>
      <c r="K991" s="24"/>
      <c r="L991" s="24"/>
      <c r="M991" s="24"/>
      <c r="N991" s="24"/>
      <c r="O991" s="24"/>
      <c r="P991" s="24"/>
      <c r="Q991" s="23"/>
      <c r="R991" s="23"/>
      <c r="S991" s="23"/>
      <c r="T991" s="23"/>
      <c r="U991" s="23"/>
      <c r="V991" s="23"/>
      <c r="W991" s="23"/>
      <c r="X991" s="23"/>
      <c r="Y991" s="23"/>
    </row>
    <row r="992" spans="1:25" x14ac:dyDescent="0.2">
      <c r="A992" s="73" t="s">
        <v>150</v>
      </c>
      <c r="B992" s="73"/>
      <c r="C992" s="73"/>
      <c r="D992" s="73"/>
      <c r="E992" s="35" t="str">
        <f>VLOOKUP(Q987,[94]Base_02!$A$5:$AD$24,3,0)</f>
        <v>Nama PB 18</v>
      </c>
      <c r="F992" s="23"/>
      <c r="G992" s="23"/>
      <c r="H992" s="24"/>
      <c r="I992" s="23"/>
      <c r="J992" s="24"/>
      <c r="K992" s="24"/>
      <c r="L992" s="24"/>
      <c r="M992" s="24"/>
      <c r="N992" s="24"/>
      <c r="O992" s="24"/>
      <c r="P992" s="24"/>
      <c r="Q992" s="23"/>
      <c r="R992" s="23"/>
      <c r="S992" s="23"/>
      <c r="T992" s="23"/>
      <c r="U992" s="23"/>
      <c r="V992" s="23"/>
      <c r="W992" s="23"/>
      <c r="X992" s="23"/>
      <c r="Y992" s="23"/>
    </row>
    <row r="993" spans="1:25" x14ac:dyDescent="0.2">
      <c r="A993" s="73" t="s">
        <v>18</v>
      </c>
      <c r="B993" s="73"/>
      <c r="C993" s="73"/>
      <c r="D993" s="73"/>
      <c r="E993" s="35" t="str">
        <f>VLOOKUP(Q987,[94]Base_02!$A$5:$Z$24,11,FALSE)&amp;", RT "&amp;VLOOKUP(Q987,[94]Base_02!$A$5:$Z$24,12,FALSE)&amp;", RW "&amp;VLOOKUP(Q987,[94]Base_02!$A$5:$Z$24,13,FALSE)</f>
        <v>Jalan Kanal Victory, RT 1, RW 2</v>
      </c>
      <c r="F993" s="23"/>
      <c r="G993" s="23"/>
      <c r="H993" s="35"/>
      <c r="I993" s="23"/>
      <c r="J993" s="24"/>
      <c r="K993" s="24"/>
      <c r="L993" s="24"/>
      <c r="M993" s="24"/>
      <c r="N993" s="24"/>
      <c r="O993" s="24"/>
      <c r="P993" s="24"/>
      <c r="Q993" s="23"/>
      <c r="R993" s="23"/>
      <c r="S993" s="23"/>
      <c r="T993" s="23"/>
      <c r="U993" s="23"/>
      <c r="V993" s="23"/>
      <c r="W993" s="23"/>
      <c r="X993" s="23"/>
      <c r="Y993" s="23"/>
    </row>
    <row r="994" spans="1:25" x14ac:dyDescent="0.2">
      <c r="A994" s="73" t="str">
        <f>[94]Base_01!$B$2</f>
        <v>Kelurahan</v>
      </c>
      <c r="B994" s="73"/>
      <c r="C994" s="73"/>
      <c r="D994" s="73"/>
      <c r="E994" s="35" t="str">
        <f>[94]Base_01!$C$2</f>
        <v>Klasabi</v>
      </c>
      <c r="F994" s="23"/>
      <c r="G994" s="23"/>
      <c r="H994" s="24"/>
      <c r="I994" s="23"/>
      <c r="J994" s="24"/>
      <c r="K994" s="24"/>
      <c r="L994" s="24"/>
      <c r="M994" s="24"/>
      <c r="N994" s="24"/>
      <c r="O994" s="24"/>
      <c r="P994" s="24"/>
      <c r="Q994" s="23" t="s">
        <v>146</v>
      </c>
      <c r="R994" s="23"/>
      <c r="S994" s="23"/>
      <c r="T994" s="23"/>
      <c r="U994" s="23"/>
      <c r="V994" s="23"/>
      <c r="W994" s="23"/>
      <c r="X994" s="23"/>
      <c r="Y994" s="23"/>
    </row>
    <row r="995" spans="1:25" x14ac:dyDescent="0.2">
      <c r="A995" s="73" t="s">
        <v>19</v>
      </c>
      <c r="B995" s="73"/>
      <c r="C995" s="73"/>
      <c r="D995" s="73"/>
      <c r="E995" s="35" t="str">
        <f>[94]Base_01!$C$3</f>
        <v>Sorong Manoi</v>
      </c>
      <c r="F995" s="23"/>
      <c r="G995" s="23"/>
      <c r="H995" s="24"/>
      <c r="I995" s="23"/>
      <c r="J995" s="24"/>
      <c r="K995" s="24"/>
      <c r="L995" s="24"/>
      <c r="M995" s="24"/>
      <c r="N995" s="24"/>
      <c r="O995" s="24"/>
      <c r="P995" s="24"/>
      <c r="Q995" s="23" t="s">
        <v>145</v>
      </c>
      <c r="R995" s="23"/>
      <c r="S995" s="23"/>
      <c r="T995" s="23"/>
      <c r="U995" s="23"/>
      <c r="V995" s="23"/>
      <c r="W995" s="23"/>
      <c r="X995" s="23"/>
      <c r="Y995" s="23"/>
    </row>
    <row r="996" spans="1:25" x14ac:dyDescent="0.2">
      <c r="A996" s="73" t="str">
        <f>[94]Base_01!$B$4</f>
        <v>Kota</v>
      </c>
      <c r="B996" s="73"/>
      <c r="C996" s="73"/>
      <c r="D996" s="73"/>
      <c r="E996" s="35" t="str">
        <f>[94]Base_01!$C$4</f>
        <v>Sorong</v>
      </c>
      <c r="F996" s="23"/>
      <c r="G996" s="23"/>
      <c r="H996" s="24"/>
      <c r="I996" s="23"/>
      <c r="J996" s="24"/>
      <c r="K996" s="24"/>
      <c r="L996" s="24"/>
      <c r="M996" s="24"/>
      <c r="N996" s="24"/>
      <c r="O996" s="24"/>
      <c r="P996" s="24"/>
      <c r="Q996" s="23" t="s">
        <v>144</v>
      </c>
      <c r="R996" s="23"/>
      <c r="S996" s="23"/>
      <c r="T996" s="23"/>
      <c r="U996" s="23"/>
      <c r="V996" s="23"/>
      <c r="W996" s="23"/>
      <c r="X996" s="23"/>
      <c r="Y996" s="23"/>
    </row>
    <row r="997" spans="1:25" x14ac:dyDescent="0.2">
      <c r="A997" s="73" t="str">
        <f>[94]Base_01!$B$5</f>
        <v>Provinsi</v>
      </c>
      <c r="B997" s="73"/>
      <c r="C997" s="73"/>
      <c r="D997" s="73"/>
      <c r="E997" s="23" t="str">
        <f>[94]Base_01!$C$5</f>
        <v>Papua Barat Daya</v>
      </c>
      <c r="F997" s="23"/>
      <c r="G997" s="24"/>
      <c r="H997" s="24"/>
      <c r="I997" s="23"/>
      <c r="J997" s="24"/>
      <c r="K997" s="24"/>
      <c r="L997" s="24"/>
      <c r="M997" s="24"/>
      <c r="N997" s="24"/>
      <c r="O997" s="24"/>
      <c r="P997" s="24"/>
      <c r="Q997" s="23" t="s">
        <v>143</v>
      </c>
      <c r="R997" s="23"/>
      <c r="S997" s="23"/>
      <c r="T997" s="23"/>
      <c r="U997" s="23"/>
      <c r="V997" s="23"/>
      <c r="W997" s="23"/>
      <c r="X997" s="23"/>
      <c r="Y997" s="23"/>
    </row>
    <row r="998" spans="1:25" x14ac:dyDescent="0.2">
      <c r="A998" s="23"/>
      <c r="B998" s="23"/>
      <c r="C998" s="23"/>
      <c r="D998" s="23"/>
      <c r="E998" s="23"/>
      <c r="F998" s="23"/>
      <c r="G998" s="23"/>
      <c r="H998" s="23"/>
      <c r="I998" s="24"/>
      <c r="J998" s="24"/>
      <c r="K998" s="24"/>
      <c r="L998" s="24"/>
      <c r="M998" s="24"/>
      <c r="N998" s="24"/>
      <c r="O998" s="24"/>
      <c r="P998" s="24"/>
      <c r="Q998" s="23"/>
      <c r="R998" s="23"/>
      <c r="S998" s="23"/>
      <c r="T998" s="23"/>
      <c r="U998" s="23"/>
      <c r="V998" s="23"/>
      <c r="W998" s="23"/>
      <c r="X998" s="23"/>
      <c r="Y998" s="23"/>
    </row>
    <row r="999" spans="1:25" x14ac:dyDescent="0.2">
      <c r="A999" s="33"/>
      <c r="B999" s="33"/>
      <c r="C999" s="33"/>
      <c r="D999" s="33"/>
      <c r="E999" s="33"/>
      <c r="F999" s="33"/>
      <c r="G999" s="33"/>
      <c r="H999" s="33"/>
      <c r="I999" s="33"/>
      <c r="J999" s="33"/>
      <c r="K999" s="33"/>
      <c r="L999" s="33"/>
      <c r="M999" s="34"/>
      <c r="N999" s="33"/>
      <c r="O999" s="33"/>
      <c r="P999" s="33"/>
      <c r="Q999" s="23"/>
      <c r="R999" s="23"/>
      <c r="S999" s="23"/>
      <c r="T999" s="23"/>
      <c r="U999" s="23"/>
      <c r="V999" s="23"/>
      <c r="W999" s="23"/>
      <c r="X999" s="23"/>
      <c r="Y999" s="23"/>
    </row>
    <row r="1000" spans="1:25" x14ac:dyDescent="0.2">
      <c r="A1000" s="80" t="s">
        <v>142</v>
      </c>
      <c r="B1000" s="81"/>
      <c r="C1000" s="81"/>
      <c r="D1000" s="81"/>
      <c r="E1000" s="81"/>
      <c r="F1000" s="81"/>
      <c r="G1000" s="81"/>
      <c r="H1000" s="81"/>
      <c r="I1000" s="80" t="s">
        <v>151</v>
      </c>
      <c r="J1000" s="81"/>
      <c r="K1000" s="81"/>
      <c r="L1000" s="81"/>
      <c r="M1000" s="81"/>
      <c r="N1000" s="81"/>
      <c r="O1000" s="81"/>
      <c r="P1000" s="82"/>
      <c r="Q1000" s="23"/>
      <c r="R1000" s="23"/>
      <c r="S1000" s="23"/>
      <c r="T1000" s="23"/>
      <c r="U1000" s="23"/>
      <c r="V1000" s="21"/>
      <c r="W1000" s="21"/>
      <c r="X1000" s="21"/>
      <c r="Y1000" s="21"/>
    </row>
    <row r="1001" spans="1:25" x14ac:dyDescent="0.2">
      <c r="A1001" s="48"/>
      <c r="B1001" s="49"/>
      <c r="C1001" s="49"/>
      <c r="D1001" s="50"/>
      <c r="E1001" s="50"/>
      <c r="F1001" s="49"/>
      <c r="G1001" s="49"/>
      <c r="H1001" s="49"/>
      <c r="I1001" s="48"/>
      <c r="J1001" s="49"/>
      <c r="K1001" s="49"/>
      <c r="L1001" s="50"/>
      <c r="M1001" s="50"/>
      <c r="N1001" s="49"/>
      <c r="O1001" s="49"/>
      <c r="P1001" s="51"/>
      <c r="Q1001" s="23"/>
      <c r="R1001" s="23"/>
      <c r="S1001" s="23"/>
      <c r="T1001" s="23"/>
      <c r="U1001" s="23"/>
      <c r="V1001" s="21"/>
      <c r="W1001" s="21"/>
      <c r="X1001" s="21"/>
      <c r="Y1001" s="21"/>
    </row>
    <row r="1002" spans="1:25" ht="16" x14ac:dyDescent="0.2">
      <c r="A1002" s="36" t="s">
        <v>141</v>
      </c>
      <c r="B1002" s="23"/>
      <c r="C1002" s="26" t="s">
        <v>112</v>
      </c>
      <c r="D1002" s="83">
        <f>VLOOKUP(Q987,[95]Base_03!$A$5:$AS$24,5,0)</f>
        <v>36</v>
      </c>
      <c r="E1002" s="84"/>
      <c r="F1002" s="23" t="s">
        <v>140</v>
      </c>
      <c r="G1002" s="23"/>
      <c r="H1002" s="23"/>
      <c r="I1002" s="36" t="s">
        <v>141</v>
      </c>
      <c r="J1002" s="26"/>
      <c r="K1002" s="26" t="s">
        <v>119</v>
      </c>
      <c r="L1002" s="85">
        <f>VLOOKUP(Q987,[95]Base_04!$A$5:$AS$24,5,0)</f>
        <v>49</v>
      </c>
      <c r="M1002" s="85"/>
      <c r="N1002" s="30" t="s">
        <v>140</v>
      </c>
      <c r="O1002" s="23"/>
      <c r="P1002" s="37"/>
      <c r="Q1002" s="23"/>
      <c r="R1002" s="23"/>
      <c r="S1002" s="23"/>
      <c r="T1002" s="23"/>
      <c r="U1002" s="23"/>
      <c r="V1002" s="21"/>
      <c r="W1002" s="21"/>
      <c r="X1002" s="21"/>
      <c r="Y1002" s="21"/>
    </row>
    <row r="1003" spans="1:25" ht="15" customHeight="1" x14ac:dyDescent="0.2">
      <c r="A1003" s="38" t="s">
        <v>139</v>
      </c>
      <c r="B1003" s="23"/>
      <c r="C1003" s="26"/>
      <c r="D1003" s="79" t="s">
        <v>131</v>
      </c>
      <c r="E1003" s="79"/>
      <c r="F1003" s="79" t="s">
        <v>130</v>
      </c>
      <c r="G1003" s="79"/>
      <c r="H1003" s="23"/>
      <c r="I1003" s="38" t="s">
        <v>139</v>
      </c>
      <c r="J1003" s="23"/>
      <c r="K1003" s="26"/>
      <c r="L1003" s="79" t="s">
        <v>131</v>
      </c>
      <c r="M1003" s="79"/>
      <c r="N1003" s="79" t="s">
        <v>130</v>
      </c>
      <c r="O1003" s="79"/>
      <c r="P1003" s="52"/>
      <c r="Q1003" s="23"/>
      <c r="R1003" s="23"/>
      <c r="S1003" s="23"/>
      <c r="T1003" s="23"/>
      <c r="U1003" s="23"/>
      <c r="V1003" s="21"/>
      <c r="W1003" s="21"/>
      <c r="X1003" s="21"/>
      <c r="Y1003" s="21"/>
    </row>
    <row r="1004" spans="1:25" x14ac:dyDescent="0.2">
      <c r="A1004" s="39"/>
      <c r="B1004" s="23"/>
      <c r="C1004" s="26"/>
      <c r="D1004" s="79"/>
      <c r="E1004" s="79"/>
      <c r="F1004" s="79"/>
      <c r="G1004" s="79"/>
      <c r="H1004" s="23"/>
      <c r="I1004" s="39"/>
      <c r="J1004" s="23"/>
      <c r="K1004" s="26"/>
      <c r="L1004" s="79"/>
      <c r="M1004" s="79"/>
      <c r="N1004" s="79"/>
      <c r="O1004" s="79"/>
      <c r="P1004" s="52"/>
      <c r="Q1004" s="23"/>
      <c r="R1004" s="23"/>
      <c r="S1004" s="23"/>
      <c r="T1004" s="23"/>
      <c r="U1004" s="23"/>
      <c r="V1004" s="21"/>
      <c r="W1004" s="21"/>
      <c r="X1004" s="21"/>
      <c r="Y1004" s="21"/>
    </row>
    <row r="1005" spans="1:25" x14ac:dyDescent="0.2">
      <c r="A1005" s="72" t="s">
        <v>138</v>
      </c>
      <c r="B1005" s="73"/>
      <c r="C1005" s="73" t="s">
        <v>112</v>
      </c>
      <c r="D1005" s="78" t="str">
        <f>VLOOKUP(Q987,[95]Base_03!$A$5:$AS$24,6,0)</f>
        <v>BT 18</v>
      </c>
      <c r="E1005" s="78"/>
      <c r="F1005" s="77">
        <f>VLOOKUP(Q987,[95]Base_03!$A$5:$AS$24,12,0)</f>
        <v>0</v>
      </c>
      <c r="G1005" s="77"/>
      <c r="H1005" s="23" t="s">
        <v>134</v>
      </c>
      <c r="I1005" s="72" t="s">
        <v>138</v>
      </c>
      <c r="J1005" s="73"/>
      <c r="K1005" s="73"/>
      <c r="L1005" s="78" t="str">
        <f>VLOOKUP(Q987,[95]Base_04!$A$5:$AS$24,6,0)</f>
        <v>BT 18</v>
      </c>
      <c r="M1005" s="78"/>
      <c r="N1005" s="77">
        <f>VLOOKUP(Q987,[95]Base_04!$A$5:$AS$24,12,0)</f>
        <v>0</v>
      </c>
      <c r="O1005" s="77"/>
      <c r="P1005" s="37" t="s">
        <v>134</v>
      </c>
      <c r="Q1005" s="23" t="s">
        <v>123</v>
      </c>
      <c r="R1005" s="23"/>
      <c r="S1005" s="23"/>
      <c r="T1005" s="23"/>
      <c r="U1005" s="23"/>
      <c r="V1005" s="21"/>
      <c r="W1005" s="21"/>
      <c r="X1005" s="21"/>
      <c r="Y1005" s="21"/>
    </row>
    <row r="1006" spans="1:25" x14ac:dyDescent="0.2">
      <c r="A1006" s="72" t="s">
        <v>137</v>
      </c>
      <c r="B1006" s="73"/>
      <c r="C1006" s="73" t="s">
        <v>112</v>
      </c>
      <c r="D1006" s="78" t="str">
        <f>VLOOKUP(Q987,[95]Base_03!$A$5:$AS$24,13,0)</f>
        <v>S 18</v>
      </c>
      <c r="E1006" s="78"/>
      <c r="F1006" s="77">
        <f>VLOOKUP(Q987,[95]Base_03!$A$5:$AS$24,15,0)</f>
        <v>0</v>
      </c>
      <c r="G1006" s="77"/>
      <c r="H1006" s="23" t="s">
        <v>134</v>
      </c>
      <c r="I1006" s="72" t="s">
        <v>137</v>
      </c>
      <c r="J1006" s="73"/>
      <c r="K1006" s="73"/>
      <c r="L1006" s="78" t="str">
        <f>VLOOKUP(Q987,[95]Base_04!$A$5:$AS$24,13,0)</f>
        <v>S 18</v>
      </c>
      <c r="M1006" s="78"/>
      <c r="N1006" s="77">
        <f>VLOOKUP(Q987,[95]Base_04!$A$5:$AS$24,15,0)</f>
        <v>0</v>
      </c>
      <c r="O1006" s="77"/>
      <c r="P1006" s="37" t="s">
        <v>134</v>
      </c>
      <c r="Q1006" s="23" t="s">
        <v>123</v>
      </c>
      <c r="R1006" s="23"/>
      <c r="S1006" s="23"/>
      <c r="T1006" s="23"/>
      <c r="U1006" s="23"/>
      <c r="V1006" s="21"/>
      <c r="W1006" s="21"/>
      <c r="X1006" s="21"/>
      <c r="Y1006" s="21"/>
    </row>
    <row r="1007" spans="1:25" x14ac:dyDescent="0.2">
      <c r="A1007" s="72" t="s">
        <v>136</v>
      </c>
      <c r="B1007" s="73"/>
      <c r="C1007" s="73" t="s">
        <v>112</v>
      </c>
      <c r="D1007" s="78" t="str">
        <f>VLOOKUP(Q987,[95]Base_03!$A$5:$AS$24,16,0)</f>
        <v>B 18</v>
      </c>
      <c r="E1007" s="78"/>
      <c r="F1007" s="77">
        <f>VLOOKUP(Q987,[95]Base_03!$A$5:$AS$24,22,0)</f>
        <v>0</v>
      </c>
      <c r="G1007" s="77"/>
      <c r="H1007" s="23" t="s">
        <v>134</v>
      </c>
      <c r="I1007" s="72" t="s">
        <v>136</v>
      </c>
      <c r="J1007" s="73"/>
      <c r="K1007" s="73"/>
      <c r="L1007" s="78" t="str">
        <f>VLOOKUP(Q987,[95]Base_04!$A$5:$AS$24,16,0)</f>
        <v>B 18</v>
      </c>
      <c r="M1007" s="78"/>
      <c r="N1007" s="77">
        <f>VLOOKUP(Q987,[95]Base_04!$A$5:$AS$24,22,0)</f>
        <v>0</v>
      </c>
      <c r="O1007" s="77"/>
      <c r="P1007" s="37" t="s">
        <v>134</v>
      </c>
      <c r="Q1007" s="23" t="s">
        <v>123</v>
      </c>
      <c r="R1007" s="23"/>
      <c r="S1007" s="23"/>
      <c r="T1007" s="23"/>
      <c r="U1007" s="23"/>
      <c r="V1007" s="21"/>
      <c r="W1007" s="21"/>
      <c r="X1007" s="21"/>
      <c r="Y1007" s="21"/>
    </row>
    <row r="1008" spans="1:25" x14ac:dyDescent="0.2">
      <c r="A1008" s="72" t="s">
        <v>135</v>
      </c>
      <c r="B1008" s="73"/>
      <c r="C1008" s="73" t="s">
        <v>112</v>
      </c>
      <c r="D1008" s="78" t="str">
        <f>VLOOKUP(Q987,[95]Base_03!$A$5:$AS$24,23,0)</f>
        <v>K 18</v>
      </c>
      <c r="E1008" s="78"/>
      <c r="F1008" s="77">
        <f>VLOOKUP(Q987,[95]Base_03!$A$5:$AS$24,24,0)</f>
        <v>0</v>
      </c>
      <c r="G1008" s="77"/>
      <c r="H1008" s="23" t="s">
        <v>134</v>
      </c>
      <c r="I1008" s="72" t="s">
        <v>135</v>
      </c>
      <c r="J1008" s="73"/>
      <c r="K1008" s="73"/>
      <c r="L1008" s="78" t="str">
        <f>VLOOKUP(Q987,[95]Base_04!$A$5:$AS$24,23,0)</f>
        <v>K 18</v>
      </c>
      <c r="M1008" s="78"/>
      <c r="N1008" s="77">
        <f>VLOOKUP(Q987,[95]Base_04!$A$5:$AS$24,24,0)</f>
        <v>0</v>
      </c>
      <c r="O1008" s="77"/>
      <c r="P1008" s="37" t="s">
        <v>134</v>
      </c>
      <c r="Q1008" s="23" t="s">
        <v>123</v>
      </c>
      <c r="R1008" s="23"/>
      <c r="S1008" s="23"/>
      <c r="T1008" s="23"/>
      <c r="U1008" s="23"/>
      <c r="V1008" s="21"/>
      <c r="W1008" s="21"/>
      <c r="X1008" s="21"/>
      <c r="Y1008" s="21"/>
    </row>
    <row r="1009" spans="1:25" x14ac:dyDescent="0.2">
      <c r="A1009" s="72" t="s">
        <v>133</v>
      </c>
      <c r="B1009" s="73"/>
      <c r="C1009" s="73" t="s">
        <v>112</v>
      </c>
      <c r="D1009" s="78" t="str">
        <f>VLOOKUP(Q987,[95]Base_03!$A$5:$AS$24,25,0)</f>
        <v>K 18</v>
      </c>
      <c r="E1009" s="78"/>
      <c r="F1009" s="77">
        <f>VLOOKUP(Q987,[95]Base_03!$A$5:$AS$24,26,0)</f>
        <v>73.900834456272094</v>
      </c>
      <c r="G1009" s="77"/>
      <c r="H1009" s="23" t="s">
        <v>124</v>
      </c>
      <c r="I1009" s="72" t="s">
        <v>133</v>
      </c>
      <c r="J1009" s="73"/>
      <c r="K1009" s="73"/>
      <c r="L1009" s="78" t="str">
        <f>VLOOKUP(Q987,[95]Base_04!$A$5:$AS$24,25,0)</f>
        <v>K 18</v>
      </c>
      <c r="M1009" s="78"/>
      <c r="N1009" s="77">
        <f>VLOOKUP(Q987,[95]Base_04!$A$5:$AS$24,26,0)</f>
        <v>93.530743608719362</v>
      </c>
      <c r="O1009" s="77"/>
      <c r="P1009" s="37" t="s">
        <v>124</v>
      </c>
      <c r="Q1009" s="23" t="s">
        <v>123</v>
      </c>
      <c r="R1009" s="23"/>
      <c r="S1009" s="23"/>
      <c r="T1009" s="23"/>
      <c r="U1009" s="23"/>
      <c r="V1009" s="21"/>
      <c r="W1009" s="21"/>
      <c r="X1009" s="21"/>
      <c r="Y1009" s="21"/>
    </row>
    <row r="1010" spans="1:25" x14ac:dyDescent="0.2">
      <c r="A1010" s="40"/>
      <c r="B1010" s="31"/>
      <c r="C1010" s="31"/>
      <c r="D1010" s="41"/>
      <c r="E1010" s="41"/>
      <c r="F1010" s="30"/>
      <c r="G1010" s="23"/>
      <c r="H1010" s="23"/>
      <c r="I1010" s="40"/>
      <c r="J1010" s="31"/>
      <c r="K1010" s="31"/>
      <c r="L1010" s="41"/>
      <c r="M1010" s="41"/>
      <c r="N1010" s="30"/>
      <c r="O1010" s="23"/>
      <c r="P1010" s="37"/>
      <c r="Q1010" s="23"/>
      <c r="R1010" s="23"/>
      <c r="S1010" s="23"/>
      <c r="T1010" s="23"/>
      <c r="U1010" s="23"/>
      <c r="V1010" s="21"/>
      <c r="W1010" s="21"/>
      <c r="X1010" s="21"/>
      <c r="Y1010" s="21"/>
    </row>
    <row r="1011" spans="1:25" x14ac:dyDescent="0.2">
      <c r="A1011" s="38" t="s">
        <v>132</v>
      </c>
      <c r="B1011" s="23"/>
      <c r="C1011" s="26"/>
      <c r="D1011" s="79" t="s">
        <v>131</v>
      </c>
      <c r="E1011" s="79"/>
      <c r="F1011" s="79" t="s">
        <v>130</v>
      </c>
      <c r="G1011" s="79"/>
      <c r="H1011" s="23"/>
      <c r="I1011" s="38" t="s">
        <v>132</v>
      </c>
      <c r="J1011" s="23"/>
      <c r="K1011" s="26"/>
      <c r="L1011" s="79" t="s">
        <v>131</v>
      </c>
      <c r="M1011" s="79"/>
      <c r="N1011" s="79" t="s">
        <v>130</v>
      </c>
      <c r="O1011" s="79"/>
      <c r="P1011" s="52"/>
      <c r="Q1011" s="23"/>
      <c r="R1011" s="23"/>
      <c r="S1011" s="23"/>
      <c r="T1011" s="23"/>
      <c r="U1011" s="23"/>
      <c r="V1011" s="21"/>
      <c r="W1011" s="21"/>
      <c r="X1011" s="21"/>
      <c r="Y1011" s="21"/>
    </row>
    <row r="1012" spans="1:25" x14ac:dyDescent="0.2">
      <c r="A1012" s="39"/>
      <c r="B1012" s="23"/>
      <c r="C1012" s="26"/>
      <c r="D1012" s="79"/>
      <c r="E1012" s="79"/>
      <c r="F1012" s="79"/>
      <c r="G1012" s="79"/>
      <c r="H1012" s="23"/>
      <c r="I1012" s="39"/>
      <c r="J1012" s="23"/>
      <c r="K1012" s="26"/>
      <c r="L1012" s="79"/>
      <c r="M1012" s="79"/>
      <c r="N1012" s="79"/>
      <c r="O1012" s="79"/>
      <c r="P1012" s="52"/>
      <c r="Q1012" s="23"/>
      <c r="R1012" s="23"/>
      <c r="S1012" s="23"/>
      <c r="T1012" s="23"/>
      <c r="U1012" s="23"/>
      <c r="V1012" s="21"/>
      <c r="W1012" s="21"/>
      <c r="X1012" s="21"/>
      <c r="Y1012" s="21"/>
    </row>
    <row r="1013" spans="1:25" x14ac:dyDescent="0.2">
      <c r="A1013" s="72" t="s">
        <v>129</v>
      </c>
      <c r="B1013" s="73"/>
      <c r="C1013" s="73" t="s">
        <v>119</v>
      </c>
      <c r="D1013" s="78" t="str">
        <f>VLOOKUP(Q987,[95]Base_03!$A$5:$AS$24,28,0)</f>
        <v xml:space="preserve"> G 18</v>
      </c>
      <c r="E1013" s="78"/>
      <c r="F1013" s="77">
        <f>VLOOKUP(Q987,[95]Base_03!$A$5:$AS$24,30,0)</f>
        <v>55</v>
      </c>
      <c r="G1013" s="77"/>
      <c r="H1013" s="23" t="s">
        <v>124</v>
      </c>
      <c r="I1013" s="72" t="s">
        <v>129</v>
      </c>
      <c r="J1013" s="73"/>
      <c r="K1013" s="73" t="s">
        <v>119</v>
      </c>
      <c r="L1013" s="78" t="str">
        <f>VLOOKUP(Q987,[95]Base_04!$A$5:$AS$24,28,0)</f>
        <v xml:space="preserve"> G 18</v>
      </c>
      <c r="M1013" s="78"/>
      <c r="N1013" s="77">
        <f>VLOOKUP(Q987,[95]Base_04!$A$5:$AS$24,30,0)</f>
        <v>55</v>
      </c>
      <c r="O1013" s="77"/>
      <c r="P1013" s="37" t="s">
        <v>124</v>
      </c>
      <c r="Q1013" s="23" t="s">
        <v>123</v>
      </c>
      <c r="R1013" s="23"/>
      <c r="S1013" s="23"/>
      <c r="T1013" s="23"/>
      <c r="U1013" s="23"/>
      <c r="V1013" s="21"/>
      <c r="W1013" s="21"/>
      <c r="X1013" s="21"/>
      <c r="Y1013" s="21"/>
    </row>
    <row r="1014" spans="1:25" x14ac:dyDescent="0.2">
      <c r="A1014" s="72" t="s">
        <v>128</v>
      </c>
      <c r="B1014" s="73"/>
      <c r="C1014" s="73" t="s">
        <v>119</v>
      </c>
      <c r="D1014" s="78" t="str">
        <f>VLOOKUP(Q987,[95]Base_03!$A$5:$AS$24,31,0)</f>
        <v>H 18</v>
      </c>
      <c r="E1014" s="78"/>
      <c r="F1014" s="77">
        <f>VLOOKUP(Q987,[95]Base_03!$A$5:$AS$24,34,0)</f>
        <v>-5.76</v>
      </c>
      <c r="G1014" s="77"/>
      <c r="H1014" s="23" t="s">
        <v>124</v>
      </c>
      <c r="I1014" s="72" t="s">
        <v>128</v>
      </c>
      <c r="J1014" s="73"/>
      <c r="K1014" s="73" t="s">
        <v>119</v>
      </c>
      <c r="L1014" s="78" t="str">
        <f>VLOOKUP(Q987,[95]Base_04!$A$5:$AS$24,31,0)</f>
        <v>H 18</v>
      </c>
      <c r="M1014" s="78"/>
      <c r="N1014" s="77">
        <f>VLOOKUP(Q987,[95]Base_04!$A$5:$AS$24,34,0)</f>
        <v>-5.76</v>
      </c>
      <c r="O1014" s="77"/>
      <c r="P1014" s="37" t="s">
        <v>124</v>
      </c>
      <c r="Q1014" s="23" t="s">
        <v>123</v>
      </c>
      <c r="R1014" s="23"/>
      <c r="S1014" s="23"/>
      <c r="T1014" s="23"/>
      <c r="U1014" s="23"/>
      <c r="V1014" s="21"/>
      <c r="W1014" s="21"/>
      <c r="X1014" s="21"/>
      <c r="Y1014" s="21"/>
    </row>
    <row r="1015" spans="1:25" x14ac:dyDescent="0.2">
      <c r="A1015" s="89" t="s">
        <v>127</v>
      </c>
      <c r="B1015" s="90"/>
      <c r="C1015" s="90" t="s">
        <v>119</v>
      </c>
      <c r="D1015" s="91" t="str">
        <f>VLOOKUP(Q987,[95]Base_03!$A$5:$AS$24,35,0)</f>
        <v>Kayu</v>
      </c>
      <c r="E1015" s="91"/>
      <c r="F1015" s="92">
        <f>VLOOKUP(Q987,[95]Base_03!$A$5:$AS$24,36,0)</f>
        <v>5.76</v>
      </c>
      <c r="G1015" s="92"/>
      <c r="H1015" s="23" t="s">
        <v>124</v>
      </c>
      <c r="I1015" s="89" t="s">
        <v>127</v>
      </c>
      <c r="J1015" s="90"/>
      <c r="K1015" s="90" t="s">
        <v>119</v>
      </c>
      <c r="L1015" s="91" t="str">
        <f>VLOOKUP(Q987,[95]Base_04!$A$5:$AS$24,35,0)</f>
        <v>Kayu</v>
      </c>
      <c r="M1015" s="91"/>
      <c r="N1015" s="92">
        <f>VLOOKUP(Q987,[95]Base_04!$A$5:$AS$24,36,0)</f>
        <v>5.76</v>
      </c>
      <c r="O1015" s="92"/>
      <c r="P1015" s="37" t="s">
        <v>124</v>
      </c>
      <c r="Q1015" s="23" t="s">
        <v>123</v>
      </c>
      <c r="R1015" s="23"/>
      <c r="S1015" s="23"/>
      <c r="T1015" s="23"/>
      <c r="U1015" s="23"/>
      <c r="V1015" s="21"/>
      <c r="W1015" s="21"/>
      <c r="X1015" s="21"/>
      <c r="Y1015" s="21"/>
    </row>
    <row r="1016" spans="1:25" x14ac:dyDescent="0.2">
      <c r="A1016" s="74" t="s">
        <v>126</v>
      </c>
      <c r="B1016" s="75"/>
      <c r="C1016" s="75"/>
      <c r="D1016" s="91"/>
      <c r="E1016" s="91"/>
      <c r="F1016" s="92"/>
      <c r="G1016" s="92"/>
      <c r="H1016" s="23"/>
      <c r="I1016" s="74" t="s">
        <v>126</v>
      </c>
      <c r="J1016" s="75"/>
      <c r="K1016" s="75"/>
      <c r="L1016" s="91"/>
      <c r="M1016" s="91"/>
      <c r="N1016" s="92"/>
      <c r="O1016" s="92"/>
      <c r="P1016" s="37"/>
      <c r="Q1016" s="23"/>
      <c r="R1016" s="23"/>
      <c r="S1016" s="23"/>
      <c r="T1016" s="23"/>
      <c r="U1016" s="23"/>
      <c r="V1016" s="21"/>
      <c r="W1016" s="21"/>
      <c r="X1016" s="21"/>
      <c r="Y1016" s="21"/>
    </row>
    <row r="1017" spans="1:25" x14ac:dyDescent="0.2">
      <c r="A1017" s="72" t="s">
        <v>125</v>
      </c>
      <c r="B1017" s="73"/>
      <c r="C1017" s="73" t="s">
        <v>119</v>
      </c>
      <c r="D1017" s="78" t="str">
        <f>VLOOKUP(Q987,[95]Base_03!$A$5:$AS$24,39,0)</f>
        <v>R 18</v>
      </c>
      <c r="E1017" s="78"/>
      <c r="F1017" s="77">
        <f>VLOOKUP(Q987,[95]Base_03!$A$5:$AS$24,40,0)</f>
        <v>36</v>
      </c>
      <c r="G1017" s="77"/>
      <c r="H1017" s="23" t="s">
        <v>124</v>
      </c>
      <c r="I1017" s="72" t="s">
        <v>125</v>
      </c>
      <c r="J1017" s="73"/>
      <c r="K1017" s="73" t="s">
        <v>119</v>
      </c>
      <c r="L1017" s="78" t="str">
        <f>VLOOKUP(Q987,[95]Base_04!$A$5:$AS$24,39,0)</f>
        <v>R 18</v>
      </c>
      <c r="M1017" s="78"/>
      <c r="N1017" s="77">
        <f>VLOOKUP(Q987,[95]Base_04!$A$5:$AS$24,40,0)</f>
        <v>49</v>
      </c>
      <c r="O1017" s="77"/>
      <c r="P1017" s="37" t="s">
        <v>124</v>
      </c>
      <c r="Q1017" s="23" t="s">
        <v>123</v>
      </c>
      <c r="R1017" s="23"/>
      <c r="S1017" s="23"/>
      <c r="T1017" s="23"/>
      <c r="U1017" s="23"/>
      <c r="V1017" s="21"/>
      <c r="W1017" s="21"/>
      <c r="X1017" s="21"/>
      <c r="Y1017" s="21"/>
    </row>
    <row r="1018" spans="1:25" x14ac:dyDescent="0.2">
      <c r="A1018" s="39"/>
      <c r="B1018" s="23"/>
      <c r="C1018" s="23"/>
      <c r="D1018" s="23"/>
      <c r="E1018" s="23"/>
      <c r="F1018" s="23"/>
      <c r="G1018" s="23"/>
      <c r="H1018" s="23"/>
      <c r="I1018" s="39"/>
      <c r="J1018" s="45"/>
      <c r="K1018" s="45"/>
      <c r="L1018" s="45"/>
      <c r="M1018" s="23"/>
      <c r="N1018" s="30"/>
      <c r="O1018" s="23"/>
      <c r="P1018" s="37"/>
      <c r="Q1018" s="23"/>
      <c r="R1018" s="23"/>
      <c r="S1018" s="23"/>
      <c r="T1018" s="23"/>
      <c r="U1018" s="23"/>
      <c r="V1018" s="21"/>
      <c r="W1018" s="21"/>
      <c r="X1018" s="21"/>
      <c r="Y1018" s="21"/>
    </row>
    <row r="1019" spans="1:25" x14ac:dyDescent="0.2">
      <c r="A1019" s="72" t="s">
        <v>122</v>
      </c>
      <c r="B1019" s="73"/>
      <c r="C1019" s="73" t="s">
        <v>112</v>
      </c>
      <c r="D1019" s="76">
        <f>VLOOKUP(Q987,[95]Base_03!$A$5:$AS$24,42,0)</f>
        <v>6.666666666666667</v>
      </c>
      <c r="E1019" s="76"/>
      <c r="F1019" s="25" t="s">
        <v>118</v>
      </c>
      <c r="G1019" s="23"/>
      <c r="H1019" s="23"/>
      <c r="I1019" s="72" t="s">
        <v>122</v>
      </c>
      <c r="J1019" s="73"/>
      <c r="K1019" s="73" t="s">
        <v>112</v>
      </c>
      <c r="L1019" s="76">
        <f>VLOOKUP(Q987,[95]Base_04!$A$5:$AS$24,42,0)</f>
        <v>4.8979591836734695</v>
      </c>
      <c r="M1019" s="76"/>
      <c r="N1019" s="46" t="s">
        <v>118</v>
      </c>
      <c r="O1019" s="23"/>
      <c r="P1019" s="37"/>
      <c r="Q1019" s="32" t="s">
        <v>121</v>
      </c>
      <c r="R1019" s="23"/>
      <c r="S1019" s="23"/>
      <c r="T1019" s="23"/>
      <c r="U1019" s="23"/>
      <c r="V1019" s="21"/>
      <c r="W1019" s="21"/>
      <c r="X1019" s="21"/>
      <c r="Y1019" s="21"/>
    </row>
    <row r="1020" spans="1:25" x14ac:dyDescent="0.2">
      <c r="A1020" s="72" t="s">
        <v>120</v>
      </c>
      <c r="B1020" s="73"/>
      <c r="C1020" s="73" t="s">
        <v>119</v>
      </c>
      <c r="D1020" s="76">
        <f>VLOOKUP(Q987,[95]Base_03!$A$5:$AS$24,43,0)</f>
        <v>9.6666666666666661</v>
      </c>
      <c r="E1020" s="76"/>
      <c r="F1020" s="25" t="s">
        <v>118</v>
      </c>
      <c r="G1020" s="23"/>
      <c r="H1020" s="23"/>
      <c r="I1020" s="72" t="s">
        <v>120</v>
      </c>
      <c r="J1020" s="73"/>
      <c r="K1020" s="73" t="s">
        <v>119</v>
      </c>
      <c r="L1020" s="76">
        <f>VLOOKUP(Q987,[95]Base_04!$A$5:$AS$24,43,0)</f>
        <v>7.1020408163265314</v>
      </c>
      <c r="M1020" s="76"/>
      <c r="N1020" s="46" t="s">
        <v>118</v>
      </c>
      <c r="O1020" s="23"/>
      <c r="P1020" s="37"/>
      <c r="Q1020" s="32" t="s">
        <v>117</v>
      </c>
      <c r="R1020" s="23"/>
      <c r="S1020" s="23"/>
      <c r="T1020" s="23"/>
      <c r="U1020" s="23"/>
      <c r="V1020" s="21"/>
      <c r="W1020" s="21"/>
      <c r="X1020" s="21"/>
      <c r="Y1020" s="21"/>
    </row>
    <row r="1021" spans="1:25" x14ac:dyDescent="0.2">
      <c r="A1021" s="72" t="s">
        <v>115</v>
      </c>
      <c r="B1021" s="73"/>
      <c r="C1021" s="73"/>
      <c r="D1021" s="71" t="str">
        <f>VLOOKUP(Q987,[95]Base_03!$A$5:$AS$24,44,0)</f>
        <v>(Ada) Baik</v>
      </c>
      <c r="E1021" s="71"/>
      <c r="F1021" s="23"/>
      <c r="G1021" s="23"/>
      <c r="H1021" s="23"/>
      <c r="I1021" s="72" t="s">
        <v>115</v>
      </c>
      <c r="J1021" s="73"/>
      <c r="K1021" s="73"/>
      <c r="L1021" s="71" t="str">
        <f>VLOOKUP(Q987,[95]Base_04!$A$5:$AS$24,44,0)</f>
        <v>(Ada) Baik</v>
      </c>
      <c r="M1021" s="71"/>
      <c r="N1021" s="30"/>
      <c r="O1021" s="23"/>
      <c r="P1021" s="37"/>
      <c r="Q1021" s="23"/>
      <c r="R1021" s="23"/>
      <c r="S1021" s="23"/>
      <c r="T1021" s="23"/>
      <c r="U1021" s="23"/>
      <c r="V1021" s="21"/>
      <c r="W1021" s="21"/>
      <c r="X1021" s="21"/>
      <c r="Y1021" s="21"/>
    </row>
    <row r="1022" spans="1:25" x14ac:dyDescent="0.2">
      <c r="A1022" s="74" t="s">
        <v>116</v>
      </c>
      <c r="B1022" s="75"/>
      <c r="C1022" s="26"/>
      <c r="D1022" s="25"/>
      <c r="E1022" s="25"/>
      <c r="F1022" s="23"/>
      <c r="G1022" s="23"/>
      <c r="H1022" s="23"/>
      <c r="I1022" s="74" t="s">
        <v>116</v>
      </c>
      <c r="J1022" s="75"/>
      <c r="K1022" s="26"/>
      <c r="L1022" s="25"/>
      <c r="M1022" s="25"/>
      <c r="N1022" s="30"/>
      <c r="O1022" s="23"/>
      <c r="P1022" s="37"/>
      <c r="Q1022" s="23"/>
      <c r="R1022" s="23"/>
      <c r="S1022" s="23"/>
      <c r="T1022" s="23"/>
      <c r="U1022" s="23"/>
      <c r="V1022" s="21"/>
      <c r="W1022" s="21"/>
      <c r="X1022" s="21"/>
      <c r="Y1022" s="21"/>
    </row>
    <row r="1023" spans="1:25" x14ac:dyDescent="0.2">
      <c r="A1023" s="72" t="s">
        <v>115</v>
      </c>
      <c r="B1023" s="73"/>
      <c r="C1023" s="73"/>
      <c r="D1023" s="71" t="str">
        <f>VLOOKUP(Q987,[95]Base_03!$A$5:$AS$24,45,0)</f>
        <v>Air Pam (Baik)</v>
      </c>
      <c r="E1023" s="71"/>
      <c r="F1023" s="23"/>
      <c r="G1023" s="23"/>
      <c r="H1023" s="23"/>
      <c r="I1023" s="72" t="s">
        <v>115</v>
      </c>
      <c r="J1023" s="73"/>
      <c r="K1023" s="73"/>
      <c r="L1023" s="71" t="str">
        <f>VLOOKUP(Q987,[95]Base_04!$A$5:$AS$24,45,0)</f>
        <v>Air Pam (Baik)</v>
      </c>
      <c r="M1023" s="71"/>
      <c r="N1023" s="30"/>
      <c r="O1023" s="23"/>
      <c r="P1023" s="37"/>
      <c r="Q1023" s="23"/>
      <c r="R1023" s="23"/>
      <c r="S1023" s="23"/>
      <c r="T1023" s="23"/>
      <c r="U1023" s="23"/>
      <c r="V1023" s="21"/>
      <c r="W1023" s="21"/>
      <c r="X1023" s="21"/>
      <c r="Y1023" s="21"/>
    </row>
    <row r="1024" spans="1:25" x14ac:dyDescent="0.2">
      <c r="A1024" s="74" t="s">
        <v>114</v>
      </c>
      <c r="B1024" s="75"/>
      <c r="C1024" s="26"/>
      <c r="D1024" s="25"/>
      <c r="E1024" s="25"/>
      <c r="F1024" s="23"/>
      <c r="G1024" s="23"/>
      <c r="H1024" s="23"/>
      <c r="I1024" s="74" t="s">
        <v>114</v>
      </c>
      <c r="J1024" s="75"/>
      <c r="K1024" s="26"/>
      <c r="L1024" s="25"/>
      <c r="M1024" s="25"/>
      <c r="N1024" s="30"/>
      <c r="O1024" s="23"/>
      <c r="P1024" s="37"/>
      <c r="Q1024" s="23"/>
      <c r="R1024" s="23"/>
      <c r="S1024" s="23"/>
      <c r="T1024" s="23"/>
      <c r="U1024" s="23"/>
      <c r="V1024" s="21"/>
      <c r="W1024" s="21"/>
      <c r="X1024" s="21"/>
      <c r="Y1024" s="21"/>
    </row>
    <row r="1025" spans="1:25" x14ac:dyDescent="0.2">
      <c r="A1025" s="36" t="s">
        <v>113</v>
      </c>
      <c r="B1025" s="23"/>
      <c r="C1025" s="26" t="s">
        <v>112</v>
      </c>
      <c r="D1025" s="71">
        <f>VLOOKUP(Q987,[94]Base_02!$A$5:$S$24,18,0)</f>
        <v>0</v>
      </c>
      <c r="E1025" s="71"/>
      <c r="F1025" s="23" t="str">
        <f>IF(D1025&gt;0,"LU","LS")</f>
        <v>LS</v>
      </c>
      <c r="G1025" s="23"/>
      <c r="H1025" s="23"/>
      <c r="I1025" s="36" t="s">
        <v>113</v>
      </c>
      <c r="J1025" s="26"/>
      <c r="K1025" s="26" t="s">
        <v>112</v>
      </c>
      <c r="L1025" s="71">
        <f>D1025</f>
        <v>0</v>
      </c>
      <c r="M1025" s="71"/>
      <c r="N1025" s="23" t="str">
        <f>IF(L1025&gt;0,"LU","LS")</f>
        <v>LS</v>
      </c>
      <c r="O1025" s="23"/>
      <c r="P1025" s="37"/>
      <c r="Q1025" s="23"/>
      <c r="R1025" s="23"/>
      <c r="S1025" s="23"/>
      <c r="T1025" s="23"/>
      <c r="U1025" s="23"/>
      <c r="V1025" s="21"/>
      <c r="W1025" s="21"/>
      <c r="X1025" s="21"/>
      <c r="Y1025" s="21"/>
    </row>
    <row r="1026" spans="1:25" x14ac:dyDescent="0.2">
      <c r="A1026" s="42"/>
      <c r="B1026" s="43"/>
      <c r="C1026" s="44" t="s">
        <v>111</v>
      </c>
      <c r="D1026" s="70">
        <f>VLOOKUP(Q987,[94]Base_02!$A$5:$S$24,19,0)</f>
        <v>0</v>
      </c>
      <c r="E1026" s="70"/>
      <c r="F1026" s="43" t="s">
        <v>110</v>
      </c>
      <c r="G1026" s="43"/>
      <c r="H1026" s="43"/>
      <c r="I1026" s="42"/>
      <c r="J1026" s="43"/>
      <c r="K1026" s="43"/>
      <c r="L1026" s="70">
        <f>D1026</f>
        <v>0</v>
      </c>
      <c r="M1026" s="70"/>
      <c r="N1026" s="47" t="s">
        <v>110</v>
      </c>
      <c r="O1026" s="44"/>
      <c r="P1026" s="53"/>
      <c r="Q1026" s="23"/>
      <c r="R1026" s="23"/>
      <c r="S1026" s="23"/>
      <c r="T1026" s="23"/>
      <c r="U1026" s="23"/>
      <c r="V1026" s="21"/>
      <c r="W1026" s="21"/>
      <c r="X1026" s="21"/>
      <c r="Y1026" s="21"/>
    </row>
    <row r="1027" spans="1:25" x14ac:dyDescent="0.2">
      <c r="A1027" s="23"/>
      <c r="B1027" s="23"/>
      <c r="C1027" s="26"/>
      <c r="D1027" s="23"/>
      <c r="E1027" s="23"/>
      <c r="F1027" s="23"/>
      <c r="G1027" s="23"/>
      <c r="H1027" s="23"/>
      <c r="I1027" s="23"/>
      <c r="J1027" s="23"/>
      <c r="K1027" s="25"/>
      <c r="L1027" s="25"/>
      <c r="M1027" s="30"/>
      <c r="N1027" s="23"/>
      <c r="O1027" s="23"/>
      <c r="P1027" s="23"/>
      <c r="Q1027" s="23"/>
      <c r="R1027" s="23"/>
      <c r="S1027" s="23"/>
      <c r="T1027" s="23"/>
      <c r="U1027" s="23"/>
      <c r="V1027" s="23"/>
      <c r="W1027" s="23"/>
      <c r="X1027" s="23"/>
      <c r="Y1027" s="23"/>
    </row>
    <row r="1028" spans="1:25" x14ac:dyDescent="0.2">
      <c r="A1028" s="23"/>
      <c r="B1028" s="23"/>
      <c r="C1028" s="23"/>
      <c r="D1028" s="23"/>
      <c r="E1028" s="23"/>
      <c r="F1028" s="23"/>
      <c r="G1028" s="23"/>
      <c r="H1028" s="23"/>
      <c r="I1028" s="23"/>
      <c r="J1028" s="23"/>
      <c r="K1028" s="23"/>
      <c r="L1028" s="23"/>
      <c r="M1028" s="30"/>
      <c r="N1028" s="23"/>
      <c r="O1028" s="23"/>
      <c r="P1028" s="23"/>
      <c r="Q1028" s="23"/>
      <c r="R1028" s="23"/>
      <c r="S1028" s="23"/>
      <c r="T1028" s="23"/>
      <c r="U1028" s="23"/>
      <c r="V1028" s="23"/>
      <c r="W1028" s="23"/>
      <c r="X1028" s="23"/>
      <c r="Y1028" s="23"/>
    </row>
    <row r="1029" spans="1:25" x14ac:dyDescent="0.2">
      <c r="A1029" s="23"/>
      <c r="B1029" s="23"/>
      <c r="C1029" s="23"/>
      <c r="D1029" s="23"/>
      <c r="E1029" s="23"/>
      <c r="F1029" s="23"/>
      <c r="G1029" s="23"/>
      <c r="H1029" s="23"/>
      <c r="I1029" s="23"/>
      <c r="J1029" s="23"/>
      <c r="K1029" s="23"/>
      <c r="L1029" s="71" t="str">
        <f>[94]Base_01!$C$4&amp;", …..  …........................  2026"</f>
        <v>Sorong, …..  …........................  2026</v>
      </c>
      <c r="M1029" s="71"/>
      <c r="N1029" s="71"/>
      <c r="O1029" s="71"/>
      <c r="P1029" s="71"/>
      <c r="Q1029" s="23"/>
      <c r="R1029" s="23"/>
      <c r="S1029" s="23"/>
      <c r="T1029" s="23"/>
      <c r="U1029" s="23"/>
      <c r="V1029" s="23"/>
      <c r="W1029" s="23"/>
      <c r="X1029" s="23"/>
      <c r="Y1029" s="23"/>
    </row>
    <row r="1030" spans="1:25" x14ac:dyDescent="0.2">
      <c r="A1030" s="71" t="s">
        <v>108</v>
      </c>
      <c r="B1030" s="71"/>
      <c r="C1030" s="71"/>
      <c r="D1030" s="71"/>
      <c r="E1030" s="71"/>
      <c r="F1030" s="71"/>
      <c r="G1030" s="23"/>
      <c r="H1030" s="23"/>
      <c r="I1030" s="23"/>
      <c r="J1030" s="23"/>
      <c r="K1030" s="23"/>
      <c r="L1030" s="71" t="s">
        <v>152</v>
      </c>
      <c r="M1030" s="71"/>
      <c r="N1030" s="71"/>
      <c r="O1030" s="71"/>
      <c r="P1030" s="71"/>
      <c r="Q1030" s="23"/>
      <c r="R1030" s="23"/>
      <c r="S1030" s="23"/>
      <c r="T1030" s="23"/>
      <c r="U1030" s="23"/>
      <c r="V1030" s="23"/>
      <c r="W1030" s="23"/>
      <c r="X1030" s="23"/>
      <c r="Y1030" s="23"/>
    </row>
    <row r="1031" spans="1:25" x14ac:dyDescent="0.2">
      <c r="A1031" s="71" t="s">
        <v>153</v>
      </c>
      <c r="B1031" s="71"/>
      <c r="C1031" s="71"/>
      <c r="D1031" s="71"/>
      <c r="E1031" s="71"/>
      <c r="F1031" s="71"/>
      <c r="G1031" s="23"/>
      <c r="H1031" s="23"/>
      <c r="I1031" s="23"/>
      <c r="J1031" s="23"/>
      <c r="K1031" s="23"/>
      <c r="L1031" s="71" t="s">
        <v>107</v>
      </c>
      <c r="M1031" s="71"/>
      <c r="N1031" s="71"/>
      <c r="O1031" s="71"/>
      <c r="P1031" s="71"/>
      <c r="Q1031" s="23"/>
      <c r="R1031" s="23"/>
      <c r="S1031" s="23"/>
      <c r="T1031" s="23"/>
      <c r="U1031" s="23"/>
      <c r="V1031" s="23"/>
      <c r="W1031" s="23"/>
      <c r="X1031" s="23"/>
      <c r="Y1031" s="23"/>
    </row>
    <row r="1032" spans="1:25" x14ac:dyDescent="0.2">
      <c r="A1032" s="23"/>
      <c r="B1032" s="23"/>
      <c r="C1032" s="23"/>
      <c r="D1032" s="23"/>
      <c r="E1032" s="23"/>
      <c r="F1032" s="23"/>
      <c r="G1032" s="23"/>
      <c r="H1032" s="23"/>
      <c r="I1032" s="23"/>
      <c r="J1032" s="23"/>
      <c r="K1032" s="23"/>
      <c r="L1032" s="23"/>
      <c r="M1032" s="30"/>
      <c r="N1032" s="23"/>
      <c r="O1032" s="23"/>
      <c r="P1032" s="23"/>
      <c r="Q1032" s="23"/>
      <c r="R1032" s="23"/>
      <c r="S1032" s="23"/>
      <c r="T1032" s="23"/>
      <c r="U1032" s="23"/>
      <c r="V1032" s="23"/>
      <c r="W1032" s="23"/>
      <c r="X1032" s="23"/>
      <c r="Y1032" s="23"/>
    </row>
    <row r="1033" spans="1:25" x14ac:dyDescent="0.2">
      <c r="A1033" s="23"/>
      <c r="B1033" s="23"/>
      <c r="C1033" s="23"/>
      <c r="D1033" s="23"/>
      <c r="E1033" s="23"/>
      <c r="F1033" s="23"/>
      <c r="G1033" s="23"/>
      <c r="H1033" s="23"/>
      <c r="I1033" s="23"/>
      <c r="J1033" s="23"/>
      <c r="K1033" s="23"/>
      <c r="L1033" s="23"/>
      <c r="M1033" s="30"/>
      <c r="N1033" s="23"/>
      <c r="O1033" s="23"/>
      <c r="P1033" s="23"/>
      <c r="Q1033" s="23"/>
      <c r="R1033" s="23"/>
      <c r="S1033" s="23"/>
      <c r="T1033" s="23"/>
      <c r="U1033" s="23"/>
      <c r="V1033" s="23"/>
      <c r="W1033" s="23"/>
      <c r="X1033" s="23"/>
      <c r="Y1033" s="23"/>
    </row>
    <row r="1034" spans="1:25" x14ac:dyDescent="0.2">
      <c r="A1034" s="23"/>
      <c r="B1034" s="23"/>
      <c r="C1034" s="23"/>
      <c r="D1034" s="23"/>
      <c r="E1034" s="23"/>
      <c r="F1034" s="23"/>
      <c r="G1034" s="23"/>
      <c r="H1034" s="23"/>
      <c r="I1034" s="23"/>
      <c r="J1034" s="23"/>
      <c r="K1034" s="23"/>
      <c r="L1034" s="23"/>
      <c r="M1034" s="30"/>
      <c r="N1034" s="23"/>
      <c r="O1034" s="23"/>
      <c r="P1034" s="23"/>
      <c r="Q1034" s="23"/>
      <c r="R1034" s="23"/>
      <c r="S1034" s="23"/>
      <c r="T1034" s="23"/>
      <c r="U1034" s="23"/>
      <c r="V1034" s="23"/>
      <c r="W1034" s="23"/>
      <c r="X1034" s="23"/>
      <c r="Y1034" s="23"/>
    </row>
    <row r="1035" spans="1:25" x14ac:dyDescent="0.2">
      <c r="A1035" s="23"/>
      <c r="B1035" s="23"/>
      <c r="C1035" s="23"/>
      <c r="D1035" s="23"/>
      <c r="E1035" s="23"/>
      <c r="F1035" s="23"/>
      <c r="G1035" s="23"/>
      <c r="H1035" s="23"/>
      <c r="I1035" s="23"/>
      <c r="J1035" s="23"/>
      <c r="K1035" s="23"/>
      <c r="L1035" s="23"/>
      <c r="M1035" s="30"/>
      <c r="N1035" s="23"/>
      <c r="O1035" s="23"/>
      <c r="P1035" s="23"/>
      <c r="Q1035" s="23"/>
      <c r="R1035" s="23"/>
      <c r="S1035" s="23"/>
      <c r="T1035" s="23"/>
      <c r="U1035" s="23"/>
      <c r="V1035" s="23"/>
      <c r="W1035" s="23"/>
      <c r="X1035" s="23"/>
      <c r="Y1035" s="23"/>
    </row>
    <row r="1036" spans="1:25" x14ac:dyDescent="0.2">
      <c r="A1036" s="87" t="str">
        <f>[94]Base_02!$C$28</f>
        <v>Nama PB 1</v>
      </c>
      <c r="B1036" s="87"/>
      <c r="C1036" s="87"/>
      <c r="D1036" s="87"/>
      <c r="E1036" s="87"/>
      <c r="F1036" s="87"/>
      <c r="G1036" s="23"/>
      <c r="H1036" s="23"/>
      <c r="I1036" s="23"/>
      <c r="J1036" s="23"/>
      <c r="K1036" s="23"/>
      <c r="L1036" s="71" t="str">
        <f>E992</f>
        <v>Nama PB 18</v>
      </c>
      <c r="M1036" s="71"/>
      <c r="N1036" s="71"/>
      <c r="O1036" s="71"/>
      <c r="P1036" s="71"/>
      <c r="Q1036" s="23"/>
      <c r="R1036" s="23"/>
      <c r="S1036" s="23"/>
      <c r="T1036" s="23"/>
      <c r="U1036" s="23"/>
      <c r="V1036" s="23"/>
      <c r="W1036" s="23"/>
      <c r="X1036" s="23"/>
      <c r="Y1036" s="23"/>
    </row>
    <row r="1037" spans="1:25" x14ac:dyDescent="0.2">
      <c r="A1037" s="23"/>
      <c r="B1037" s="23"/>
      <c r="C1037" s="23"/>
      <c r="D1037" s="23"/>
      <c r="E1037" s="23"/>
      <c r="F1037" s="23"/>
      <c r="G1037" s="23"/>
      <c r="H1037" s="23"/>
      <c r="I1037" s="23"/>
      <c r="J1037" s="23"/>
      <c r="K1037" s="23"/>
      <c r="L1037" s="23"/>
      <c r="M1037" s="30"/>
      <c r="N1037" s="23"/>
      <c r="O1037" s="23"/>
      <c r="P1037" s="23"/>
      <c r="Q1037" s="23"/>
      <c r="R1037" s="23"/>
      <c r="S1037" s="23"/>
      <c r="T1037" s="23"/>
      <c r="U1037" s="23"/>
      <c r="V1037" s="23"/>
      <c r="W1037" s="23"/>
      <c r="X1037" s="23"/>
      <c r="Y1037" s="23"/>
    </row>
    <row r="1038" spans="1:25" x14ac:dyDescent="0.2">
      <c r="A1038" s="87" t="s">
        <v>109</v>
      </c>
      <c r="B1038" s="87"/>
      <c r="C1038" s="87"/>
      <c r="D1038" s="87"/>
      <c r="E1038" s="87"/>
      <c r="F1038" s="87"/>
      <c r="G1038" s="23"/>
      <c r="H1038" s="23"/>
      <c r="I1038" s="29"/>
      <c r="J1038" s="24"/>
      <c r="K1038" s="24"/>
      <c r="L1038" s="88" t="s">
        <v>92</v>
      </c>
      <c r="M1038" s="88"/>
      <c r="N1038" s="88"/>
      <c r="O1038" s="88"/>
      <c r="P1038" s="88"/>
      <c r="Q1038" s="23"/>
      <c r="R1038" s="23"/>
      <c r="S1038" s="23"/>
      <c r="T1038" s="23"/>
      <c r="U1038" s="23"/>
      <c r="V1038" s="23"/>
      <c r="W1038" s="23"/>
      <c r="X1038" s="23"/>
      <c r="Y1038" s="23"/>
    </row>
    <row r="1039" spans="1:25" x14ac:dyDescent="0.2">
      <c r="A1039" s="68" t="s">
        <v>91</v>
      </c>
      <c r="B1039" s="68"/>
      <c r="C1039" s="68"/>
      <c r="D1039" s="68"/>
      <c r="E1039" s="68"/>
      <c r="F1039" s="68"/>
      <c r="I1039" s="28"/>
      <c r="J1039" s="28"/>
      <c r="K1039" s="28"/>
      <c r="L1039" s="69" t="str">
        <f>[94]Base_01!$B$17&amp;" "&amp;[94]Base_01!$C$4</f>
        <v>Koordinator Kota Sorong</v>
      </c>
      <c r="M1039" s="69"/>
      <c r="N1039" s="69"/>
      <c r="O1039" s="69"/>
      <c r="P1039" s="69"/>
      <c r="Q1039" s="23"/>
      <c r="R1039" s="23"/>
      <c r="S1039" s="23"/>
      <c r="T1039" s="23"/>
      <c r="U1039" s="23"/>
      <c r="V1039" s="23"/>
      <c r="W1039" s="23"/>
      <c r="X1039" s="23"/>
      <c r="Y1039" s="23"/>
    </row>
    <row r="1040" spans="1:25" x14ac:dyDescent="0.2">
      <c r="M1040" s="27"/>
      <c r="Q1040" s="23"/>
      <c r="R1040" s="23"/>
      <c r="S1040" s="23"/>
      <c r="T1040" s="23"/>
      <c r="U1040" s="23"/>
      <c r="V1040" s="23"/>
      <c r="W1040" s="23"/>
      <c r="X1040" s="23"/>
      <c r="Y1040" s="23"/>
    </row>
    <row r="1041" spans="1:25" x14ac:dyDescent="0.2">
      <c r="M1041" s="27"/>
      <c r="Q1041" s="23"/>
      <c r="R1041" s="23"/>
      <c r="S1041" s="23"/>
      <c r="T1041" s="23"/>
      <c r="U1041" s="23"/>
      <c r="V1041" s="23"/>
      <c r="W1041" s="23"/>
      <c r="X1041" s="23"/>
      <c r="Y1041" s="23"/>
    </row>
    <row r="1042" spans="1:25" x14ac:dyDescent="0.2">
      <c r="M1042" s="27"/>
      <c r="Q1042" s="23"/>
      <c r="R1042" s="23"/>
      <c r="S1042" s="23"/>
      <c r="T1042" s="23"/>
      <c r="U1042" s="23"/>
      <c r="V1042" s="23"/>
      <c r="W1042" s="23"/>
      <c r="X1042" s="23"/>
      <c r="Y1042" s="23"/>
    </row>
    <row r="1043" spans="1:25" x14ac:dyDescent="0.2">
      <c r="M1043" s="27"/>
      <c r="Q1043" s="23"/>
      <c r="R1043" s="23"/>
      <c r="S1043" s="23"/>
      <c r="T1043" s="23"/>
      <c r="U1043" s="23"/>
      <c r="V1043" s="23"/>
      <c r="W1043" s="23"/>
      <c r="X1043" s="23"/>
      <c r="Y1043" s="23"/>
    </row>
    <row r="1044" spans="1:25" x14ac:dyDescent="0.2">
      <c r="A1044" s="68" t="str">
        <f>[94]Base_01!$C$20</f>
        <v>…...............         …...............</v>
      </c>
      <c r="B1044" s="68"/>
      <c r="C1044" s="68"/>
      <c r="D1044" s="68"/>
      <c r="E1044" s="68"/>
      <c r="F1044" s="68"/>
      <c r="L1044" s="68" t="str">
        <f>[94]Base_01!$C$17</f>
        <v>AfrIandi Yudhistira, S.T.</v>
      </c>
      <c r="M1044" s="68"/>
      <c r="N1044" s="68"/>
      <c r="O1044" s="68"/>
      <c r="P1044" s="68"/>
      <c r="Q1044" s="23"/>
      <c r="R1044" s="23"/>
      <c r="S1044" s="23"/>
      <c r="T1044" s="23"/>
      <c r="U1044" s="23"/>
      <c r="V1044" s="23"/>
      <c r="W1044" s="23"/>
      <c r="X1044" s="23"/>
      <c r="Y1044" s="23"/>
    </row>
    <row r="1045" spans="1:25" x14ac:dyDescent="0.2">
      <c r="A1045" s="86" t="s">
        <v>149</v>
      </c>
      <c r="B1045" s="86"/>
      <c r="C1045" s="86"/>
      <c r="D1045" s="86"/>
      <c r="E1045" s="86"/>
      <c r="F1045" s="86"/>
      <c r="G1045" s="86"/>
      <c r="H1045" s="86"/>
      <c r="I1045" s="86"/>
      <c r="J1045" s="86"/>
      <c r="K1045" s="86"/>
      <c r="L1045" s="86"/>
      <c r="M1045" s="86"/>
      <c r="N1045" s="86"/>
      <c r="O1045" s="86"/>
      <c r="P1045" s="86"/>
      <c r="Q1045" s="23">
        <f>Q987+1</f>
        <v>19</v>
      </c>
      <c r="R1045" s="23"/>
      <c r="S1045" s="23"/>
      <c r="T1045" s="23"/>
      <c r="U1045" s="23"/>
      <c r="V1045" s="23"/>
      <c r="W1045" s="23"/>
      <c r="X1045" s="23"/>
      <c r="Y1045" s="23"/>
    </row>
    <row r="1046" spans="1:25" x14ac:dyDescent="0.2">
      <c r="A1046" s="71" t="s">
        <v>148</v>
      </c>
      <c r="B1046" s="71"/>
      <c r="C1046" s="71"/>
      <c r="D1046" s="71"/>
      <c r="E1046" s="71"/>
      <c r="F1046" s="71"/>
      <c r="G1046" s="71"/>
      <c r="H1046" s="71"/>
      <c r="I1046" s="71"/>
      <c r="J1046" s="71"/>
      <c r="K1046" s="71"/>
      <c r="L1046" s="71"/>
      <c r="M1046" s="71"/>
      <c r="N1046" s="71"/>
      <c r="O1046" s="71"/>
      <c r="P1046" s="71"/>
      <c r="Q1046" s="23"/>
      <c r="R1046" s="23"/>
      <c r="S1046" s="23"/>
      <c r="T1046" s="23"/>
      <c r="U1046" s="23"/>
      <c r="V1046" s="23"/>
      <c r="W1046" s="23"/>
      <c r="X1046" s="23"/>
      <c r="Y1046" s="23"/>
    </row>
    <row r="1047" spans="1:25" x14ac:dyDescent="0.2">
      <c r="A1047" s="25"/>
      <c r="B1047" s="25"/>
      <c r="C1047" s="25"/>
      <c r="D1047" s="25"/>
      <c r="E1047" s="25"/>
      <c r="F1047" s="25"/>
      <c r="G1047" s="25"/>
      <c r="H1047" s="25"/>
      <c r="I1047" s="23"/>
      <c r="J1047" s="24"/>
      <c r="K1047" s="24"/>
      <c r="L1047" s="24"/>
      <c r="M1047" s="24"/>
      <c r="N1047" s="24"/>
      <c r="O1047" s="24"/>
      <c r="P1047" s="24"/>
      <c r="Q1047" s="23"/>
      <c r="R1047" s="23"/>
      <c r="S1047" s="23"/>
      <c r="T1047" s="23"/>
      <c r="U1047" s="23"/>
      <c r="V1047" s="23"/>
      <c r="W1047" s="23"/>
      <c r="X1047" s="23"/>
      <c r="Y1047" s="23"/>
    </row>
    <row r="1048" spans="1:25" x14ac:dyDescent="0.2">
      <c r="A1048" s="73" t="s">
        <v>147</v>
      </c>
      <c r="B1048" s="73"/>
      <c r="C1048" s="73"/>
      <c r="D1048" s="73"/>
      <c r="E1048" s="35" t="str">
        <f>VLOOKUP(Q1045,[94]Base_02!$A$5:$AD$24,2,0)</f>
        <v>000019</v>
      </c>
      <c r="F1048" s="23"/>
      <c r="G1048" s="23"/>
      <c r="H1048" s="24"/>
      <c r="I1048" s="23"/>
      <c r="J1048" s="24"/>
      <c r="K1048" s="24"/>
      <c r="L1048" s="24"/>
      <c r="M1048" s="24"/>
      <c r="N1048" s="24"/>
      <c r="O1048" s="24"/>
      <c r="P1048" s="24"/>
      <c r="Q1048" s="23"/>
      <c r="R1048" s="23"/>
      <c r="S1048" s="23"/>
      <c r="T1048" s="23"/>
      <c r="U1048" s="23"/>
      <c r="V1048" s="23"/>
      <c r="W1048" s="23"/>
      <c r="X1048" s="23"/>
      <c r="Y1048" s="23"/>
    </row>
    <row r="1049" spans="1:25" x14ac:dyDescent="0.2">
      <c r="A1049" s="73" t="s">
        <v>68</v>
      </c>
      <c r="B1049" s="73"/>
      <c r="C1049" s="73"/>
      <c r="D1049" s="73"/>
      <c r="E1049" s="35">
        <f>VLOOKUP(Q1045,[94]Base_02!$A$5:$AD$24,14,0)</f>
        <v>0</v>
      </c>
      <c r="F1049" s="23"/>
      <c r="G1049" s="23"/>
      <c r="H1049" s="24"/>
      <c r="I1049" s="23"/>
      <c r="J1049" s="24"/>
      <c r="K1049" s="24"/>
      <c r="L1049" s="24"/>
      <c r="M1049" s="24"/>
      <c r="N1049" s="24"/>
      <c r="O1049" s="24"/>
      <c r="P1049" s="24"/>
      <c r="Q1049" s="23"/>
      <c r="R1049" s="23"/>
      <c r="S1049" s="23"/>
      <c r="T1049" s="23"/>
      <c r="U1049" s="23"/>
      <c r="V1049" s="23"/>
      <c r="W1049" s="23"/>
      <c r="X1049" s="23"/>
      <c r="Y1049" s="23"/>
    </row>
    <row r="1050" spans="1:25" x14ac:dyDescent="0.2">
      <c r="A1050" s="73" t="s">
        <v>150</v>
      </c>
      <c r="B1050" s="73"/>
      <c r="C1050" s="73"/>
      <c r="D1050" s="73"/>
      <c r="E1050" s="35" t="str">
        <f>VLOOKUP(Q1045,[94]Base_02!$A$5:$AD$24,3,0)</f>
        <v>Nama PB 19</v>
      </c>
      <c r="F1050" s="23"/>
      <c r="G1050" s="23"/>
      <c r="H1050" s="24"/>
      <c r="I1050" s="23"/>
      <c r="J1050" s="24"/>
      <c r="K1050" s="24"/>
      <c r="L1050" s="24"/>
      <c r="M1050" s="24"/>
      <c r="N1050" s="24"/>
      <c r="O1050" s="24"/>
      <c r="P1050" s="24"/>
      <c r="Q1050" s="23"/>
      <c r="R1050" s="23"/>
      <c r="S1050" s="23"/>
      <c r="T1050" s="23"/>
      <c r="U1050" s="23"/>
      <c r="V1050" s="23"/>
      <c r="W1050" s="23"/>
      <c r="X1050" s="23"/>
      <c r="Y1050" s="23"/>
    </row>
    <row r="1051" spans="1:25" x14ac:dyDescent="0.2">
      <c r="A1051" s="73" t="s">
        <v>18</v>
      </c>
      <c r="B1051" s="73"/>
      <c r="C1051" s="73"/>
      <c r="D1051" s="73"/>
      <c r="E1051" s="35" t="str">
        <f>VLOOKUP(Q1045,[94]Base_02!$A$5:$Z$24,11,FALSE)&amp;", RT "&amp;VLOOKUP(Q1045,[94]Base_02!$A$5:$Z$24,12,FALSE)&amp;", RW "&amp;VLOOKUP(Q1045,[94]Base_02!$A$5:$Z$24,13,FALSE)</f>
        <v>Jalan Kanal Victory, RT 1, RW 2</v>
      </c>
      <c r="F1051" s="23"/>
      <c r="G1051" s="23"/>
      <c r="H1051" s="35"/>
      <c r="I1051" s="23"/>
      <c r="J1051" s="24"/>
      <c r="K1051" s="24"/>
      <c r="L1051" s="24"/>
      <c r="M1051" s="24"/>
      <c r="N1051" s="24"/>
      <c r="O1051" s="24"/>
      <c r="P1051" s="24"/>
      <c r="Q1051" s="23"/>
      <c r="R1051" s="23"/>
      <c r="S1051" s="23"/>
      <c r="T1051" s="23"/>
      <c r="U1051" s="23"/>
      <c r="V1051" s="23"/>
      <c r="W1051" s="23"/>
      <c r="X1051" s="23"/>
      <c r="Y1051" s="23"/>
    </row>
    <row r="1052" spans="1:25" x14ac:dyDescent="0.2">
      <c r="A1052" s="73" t="str">
        <f>[94]Base_01!$B$2</f>
        <v>Kelurahan</v>
      </c>
      <c r="B1052" s="73"/>
      <c r="C1052" s="73"/>
      <c r="D1052" s="73"/>
      <c r="E1052" s="35" t="str">
        <f>[94]Base_01!$C$2</f>
        <v>Klasabi</v>
      </c>
      <c r="F1052" s="23"/>
      <c r="G1052" s="23"/>
      <c r="H1052" s="24"/>
      <c r="I1052" s="23"/>
      <c r="J1052" s="24"/>
      <c r="K1052" s="24"/>
      <c r="L1052" s="24"/>
      <c r="M1052" s="24"/>
      <c r="N1052" s="24"/>
      <c r="O1052" s="24"/>
      <c r="P1052" s="24"/>
      <c r="Q1052" s="23" t="s">
        <v>146</v>
      </c>
      <c r="R1052" s="23"/>
      <c r="S1052" s="23"/>
      <c r="T1052" s="23"/>
      <c r="U1052" s="23"/>
      <c r="V1052" s="23"/>
      <c r="W1052" s="23"/>
      <c r="X1052" s="23"/>
      <c r="Y1052" s="23"/>
    </row>
    <row r="1053" spans="1:25" x14ac:dyDescent="0.2">
      <c r="A1053" s="73" t="s">
        <v>19</v>
      </c>
      <c r="B1053" s="73"/>
      <c r="C1053" s="73"/>
      <c r="D1053" s="73"/>
      <c r="E1053" s="35" t="str">
        <f>[94]Base_01!$C$3</f>
        <v>Sorong Manoi</v>
      </c>
      <c r="F1053" s="23"/>
      <c r="G1053" s="23"/>
      <c r="H1053" s="24"/>
      <c r="I1053" s="23"/>
      <c r="J1053" s="24"/>
      <c r="K1053" s="24"/>
      <c r="L1053" s="24"/>
      <c r="M1053" s="24"/>
      <c r="N1053" s="24"/>
      <c r="O1053" s="24"/>
      <c r="P1053" s="24"/>
      <c r="Q1053" s="23" t="s">
        <v>145</v>
      </c>
      <c r="R1053" s="23"/>
      <c r="S1053" s="23"/>
      <c r="T1053" s="23"/>
      <c r="U1053" s="23"/>
      <c r="V1053" s="23"/>
      <c r="W1053" s="23"/>
      <c r="X1053" s="23"/>
      <c r="Y1053" s="23"/>
    </row>
    <row r="1054" spans="1:25" x14ac:dyDescent="0.2">
      <c r="A1054" s="73" t="str">
        <f>[94]Base_01!$B$4</f>
        <v>Kota</v>
      </c>
      <c r="B1054" s="73"/>
      <c r="C1054" s="73"/>
      <c r="D1054" s="73"/>
      <c r="E1054" s="35" t="str">
        <f>[94]Base_01!$C$4</f>
        <v>Sorong</v>
      </c>
      <c r="F1054" s="23"/>
      <c r="G1054" s="23"/>
      <c r="H1054" s="24"/>
      <c r="I1054" s="23"/>
      <c r="J1054" s="24"/>
      <c r="K1054" s="24"/>
      <c r="L1054" s="24"/>
      <c r="M1054" s="24"/>
      <c r="N1054" s="24"/>
      <c r="O1054" s="24"/>
      <c r="P1054" s="24"/>
      <c r="Q1054" s="23" t="s">
        <v>144</v>
      </c>
      <c r="R1054" s="23"/>
      <c r="S1054" s="23"/>
      <c r="T1054" s="23"/>
      <c r="U1054" s="23"/>
      <c r="V1054" s="23"/>
      <c r="W1054" s="23"/>
      <c r="X1054" s="23"/>
      <c r="Y1054" s="23"/>
    </row>
    <row r="1055" spans="1:25" x14ac:dyDescent="0.2">
      <c r="A1055" s="73" t="str">
        <f>[94]Base_01!$B$5</f>
        <v>Provinsi</v>
      </c>
      <c r="B1055" s="73"/>
      <c r="C1055" s="73"/>
      <c r="D1055" s="73"/>
      <c r="E1055" s="23" t="str">
        <f>[94]Base_01!$C$5</f>
        <v>Papua Barat Daya</v>
      </c>
      <c r="F1055" s="23"/>
      <c r="G1055" s="24"/>
      <c r="H1055" s="24"/>
      <c r="I1055" s="23"/>
      <c r="J1055" s="24"/>
      <c r="K1055" s="24"/>
      <c r="L1055" s="24"/>
      <c r="M1055" s="24"/>
      <c r="N1055" s="24"/>
      <c r="O1055" s="24"/>
      <c r="P1055" s="24"/>
      <c r="Q1055" s="23" t="s">
        <v>143</v>
      </c>
      <c r="R1055" s="23"/>
      <c r="S1055" s="23"/>
      <c r="T1055" s="23"/>
      <c r="U1055" s="23"/>
      <c r="V1055" s="23"/>
      <c r="W1055" s="23"/>
      <c r="X1055" s="23"/>
      <c r="Y1055" s="23"/>
    </row>
    <row r="1056" spans="1:25" x14ac:dyDescent="0.2">
      <c r="A1056" s="23"/>
      <c r="B1056" s="23"/>
      <c r="C1056" s="23"/>
      <c r="D1056" s="23"/>
      <c r="E1056" s="23"/>
      <c r="F1056" s="23"/>
      <c r="G1056" s="23"/>
      <c r="H1056" s="23"/>
      <c r="I1056" s="24"/>
      <c r="J1056" s="24"/>
      <c r="K1056" s="24"/>
      <c r="L1056" s="24"/>
      <c r="M1056" s="24"/>
      <c r="N1056" s="24"/>
      <c r="O1056" s="24"/>
      <c r="P1056" s="24"/>
      <c r="Q1056" s="23"/>
      <c r="R1056" s="23"/>
      <c r="S1056" s="23"/>
      <c r="T1056" s="23"/>
      <c r="U1056" s="23"/>
      <c r="V1056" s="23"/>
      <c r="W1056" s="23"/>
      <c r="X1056" s="23"/>
      <c r="Y1056" s="23"/>
    </row>
    <row r="1057" spans="1:25" x14ac:dyDescent="0.2">
      <c r="A1057" s="33"/>
      <c r="B1057" s="33"/>
      <c r="C1057" s="33"/>
      <c r="D1057" s="33"/>
      <c r="E1057" s="33"/>
      <c r="F1057" s="33"/>
      <c r="G1057" s="33"/>
      <c r="H1057" s="33"/>
      <c r="I1057" s="33"/>
      <c r="J1057" s="33"/>
      <c r="K1057" s="33"/>
      <c r="L1057" s="33"/>
      <c r="M1057" s="34"/>
      <c r="N1057" s="33"/>
      <c r="O1057" s="33"/>
      <c r="P1057" s="33"/>
      <c r="Q1057" s="23"/>
      <c r="R1057" s="23"/>
      <c r="S1057" s="23"/>
      <c r="T1057" s="23"/>
      <c r="U1057" s="23"/>
      <c r="V1057" s="23"/>
      <c r="W1057" s="23"/>
      <c r="X1057" s="23"/>
      <c r="Y1057" s="23"/>
    </row>
    <row r="1058" spans="1:25" x14ac:dyDescent="0.2">
      <c r="A1058" s="80" t="s">
        <v>142</v>
      </c>
      <c r="B1058" s="81"/>
      <c r="C1058" s="81"/>
      <c r="D1058" s="81"/>
      <c r="E1058" s="81"/>
      <c r="F1058" s="81"/>
      <c r="G1058" s="81"/>
      <c r="H1058" s="81"/>
      <c r="I1058" s="80" t="s">
        <v>151</v>
      </c>
      <c r="J1058" s="81"/>
      <c r="K1058" s="81"/>
      <c r="L1058" s="81"/>
      <c r="M1058" s="81"/>
      <c r="N1058" s="81"/>
      <c r="O1058" s="81"/>
      <c r="P1058" s="82"/>
      <c r="Q1058" s="23"/>
      <c r="R1058" s="23"/>
      <c r="S1058" s="23"/>
      <c r="T1058" s="23"/>
      <c r="U1058" s="23"/>
      <c r="V1058" s="21"/>
      <c r="W1058" s="21"/>
      <c r="X1058" s="21"/>
      <c r="Y1058" s="21"/>
    </row>
    <row r="1059" spans="1:25" x14ac:dyDescent="0.2">
      <c r="A1059" s="48"/>
      <c r="B1059" s="49"/>
      <c r="C1059" s="49"/>
      <c r="D1059" s="50"/>
      <c r="E1059" s="50"/>
      <c r="F1059" s="49"/>
      <c r="G1059" s="49"/>
      <c r="H1059" s="49"/>
      <c r="I1059" s="48"/>
      <c r="J1059" s="49"/>
      <c r="K1059" s="49"/>
      <c r="L1059" s="50"/>
      <c r="M1059" s="50"/>
      <c r="N1059" s="49"/>
      <c r="O1059" s="49"/>
      <c r="P1059" s="51"/>
      <c r="Q1059" s="23"/>
      <c r="R1059" s="23"/>
      <c r="S1059" s="23"/>
      <c r="T1059" s="23"/>
      <c r="U1059" s="23"/>
      <c r="V1059" s="21"/>
      <c r="W1059" s="21"/>
      <c r="X1059" s="21"/>
      <c r="Y1059" s="21"/>
    </row>
    <row r="1060" spans="1:25" ht="16" x14ac:dyDescent="0.2">
      <c r="A1060" s="36" t="s">
        <v>141</v>
      </c>
      <c r="B1060" s="23"/>
      <c r="C1060" s="26" t="s">
        <v>112</v>
      </c>
      <c r="D1060" s="83">
        <f>VLOOKUP(Q1045,[95]Base_03!$A$5:$AS$24,5,0)</f>
        <v>36</v>
      </c>
      <c r="E1060" s="84"/>
      <c r="F1060" s="23" t="s">
        <v>140</v>
      </c>
      <c r="G1060" s="23"/>
      <c r="H1060" s="23"/>
      <c r="I1060" s="36" t="s">
        <v>141</v>
      </c>
      <c r="J1060" s="26"/>
      <c r="K1060" s="26" t="s">
        <v>119</v>
      </c>
      <c r="L1060" s="85">
        <f>VLOOKUP(Q1045,[95]Base_04!$A$5:$AS$24,5,0)</f>
        <v>49</v>
      </c>
      <c r="M1060" s="85"/>
      <c r="N1060" s="30" t="s">
        <v>140</v>
      </c>
      <c r="O1060" s="23"/>
      <c r="P1060" s="37"/>
      <c r="Q1060" s="23"/>
      <c r="R1060" s="23"/>
      <c r="S1060" s="23"/>
      <c r="T1060" s="23"/>
      <c r="U1060" s="23"/>
      <c r="V1060" s="21"/>
      <c r="W1060" s="21"/>
      <c r="X1060" s="21"/>
      <c r="Y1060" s="21"/>
    </row>
    <row r="1061" spans="1:25" ht="15" customHeight="1" x14ac:dyDescent="0.2">
      <c r="A1061" s="38" t="s">
        <v>139</v>
      </c>
      <c r="B1061" s="23"/>
      <c r="C1061" s="26"/>
      <c r="D1061" s="79" t="s">
        <v>131</v>
      </c>
      <c r="E1061" s="79"/>
      <c r="F1061" s="79" t="s">
        <v>130</v>
      </c>
      <c r="G1061" s="79"/>
      <c r="H1061" s="23"/>
      <c r="I1061" s="38" t="s">
        <v>139</v>
      </c>
      <c r="J1061" s="23"/>
      <c r="K1061" s="26"/>
      <c r="L1061" s="79" t="s">
        <v>131</v>
      </c>
      <c r="M1061" s="79"/>
      <c r="N1061" s="79" t="s">
        <v>130</v>
      </c>
      <c r="O1061" s="79"/>
      <c r="P1061" s="52"/>
      <c r="Q1061" s="23"/>
      <c r="R1061" s="23"/>
      <c r="S1061" s="23"/>
      <c r="T1061" s="23"/>
      <c r="U1061" s="23"/>
      <c r="V1061" s="21"/>
      <c r="W1061" s="21"/>
      <c r="X1061" s="21"/>
      <c r="Y1061" s="21"/>
    </row>
    <row r="1062" spans="1:25" x14ac:dyDescent="0.2">
      <c r="A1062" s="39"/>
      <c r="B1062" s="23"/>
      <c r="C1062" s="26"/>
      <c r="D1062" s="79"/>
      <c r="E1062" s="79"/>
      <c r="F1062" s="79"/>
      <c r="G1062" s="79"/>
      <c r="H1062" s="23"/>
      <c r="I1062" s="39"/>
      <c r="J1062" s="23"/>
      <c r="K1062" s="26"/>
      <c r="L1062" s="79"/>
      <c r="M1062" s="79"/>
      <c r="N1062" s="79"/>
      <c r="O1062" s="79"/>
      <c r="P1062" s="52"/>
      <c r="Q1062" s="23"/>
      <c r="R1062" s="23"/>
      <c r="S1062" s="23"/>
      <c r="T1062" s="23"/>
      <c r="U1062" s="23"/>
      <c r="V1062" s="21"/>
      <c r="W1062" s="21"/>
      <c r="X1062" s="21"/>
      <c r="Y1062" s="21"/>
    </row>
    <row r="1063" spans="1:25" x14ac:dyDescent="0.2">
      <c r="A1063" s="72" t="s">
        <v>138</v>
      </c>
      <c r="B1063" s="73"/>
      <c r="C1063" s="73" t="s">
        <v>112</v>
      </c>
      <c r="D1063" s="78" t="str">
        <f>VLOOKUP(Q1045,[95]Base_03!$A$5:$AS$24,6,0)</f>
        <v>BT 19</v>
      </c>
      <c r="E1063" s="78"/>
      <c r="F1063" s="77">
        <f>VLOOKUP(Q1045,[95]Base_03!$A$5:$AS$24,12,0)</f>
        <v>0</v>
      </c>
      <c r="G1063" s="77"/>
      <c r="H1063" s="23" t="s">
        <v>134</v>
      </c>
      <c r="I1063" s="72" t="s">
        <v>138</v>
      </c>
      <c r="J1063" s="73"/>
      <c r="K1063" s="73"/>
      <c r="L1063" s="78" t="str">
        <f>VLOOKUP(Q1045,[95]Base_04!$A$5:$AS$24,6,0)</f>
        <v>BT 19</v>
      </c>
      <c r="M1063" s="78"/>
      <c r="N1063" s="77">
        <f>VLOOKUP(Q1045,[95]Base_04!$A$5:$AS$24,12,0)</f>
        <v>0</v>
      </c>
      <c r="O1063" s="77"/>
      <c r="P1063" s="37" t="s">
        <v>134</v>
      </c>
      <c r="Q1063" s="23" t="s">
        <v>123</v>
      </c>
      <c r="R1063" s="23"/>
      <c r="S1063" s="23"/>
      <c r="T1063" s="23"/>
      <c r="U1063" s="23"/>
      <c r="V1063" s="21"/>
      <c r="W1063" s="21"/>
      <c r="X1063" s="21"/>
      <c r="Y1063" s="21"/>
    </row>
    <row r="1064" spans="1:25" x14ac:dyDescent="0.2">
      <c r="A1064" s="72" t="s">
        <v>137</v>
      </c>
      <c r="B1064" s="73"/>
      <c r="C1064" s="73" t="s">
        <v>112</v>
      </c>
      <c r="D1064" s="78" t="str">
        <f>VLOOKUP(Q1045,[95]Base_03!$A$5:$AS$24,13,0)</f>
        <v>S 19</v>
      </c>
      <c r="E1064" s="78"/>
      <c r="F1064" s="77">
        <f>VLOOKUP(Q1045,[95]Base_03!$A$5:$AS$24,15,0)</f>
        <v>0</v>
      </c>
      <c r="G1064" s="77"/>
      <c r="H1064" s="23" t="s">
        <v>134</v>
      </c>
      <c r="I1064" s="72" t="s">
        <v>137</v>
      </c>
      <c r="J1064" s="73"/>
      <c r="K1064" s="73"/>
      <c r="L1064" s="78" t="str">
        <f>VLOOKUP(Q1045,[95]Base_04!$A$5:$AS$24,13,0)</f>
        <v>S 19</v>
      </c>
      <c r="M1064" s="78"/>
      <c r="N1064" s="77">
        <f>VLOOKUP(Q1045,[95]Base_04!$A$5:$AS$24,15,0)</f>
        <v>0</v>
      </c>
      <c r="O1064" s="77"/>
      <c r="P1064" s="37" t="s">
        <v>134</v>
      </c>
      <c r="Q1064" s="23" t="s">
        <v>123</v>
      </c>
      <c r="R1064" s="23"/>
      <c r="S1064" s="23"/>
      <c r="T1064" s="23"/>
      <c r="U1064" s="23"/>
      <c r="V1064" s="21"/>
      <c r="W1064" s="21"/>
      <c r="X1064" s="21"/>
      <c r="Y1064" s="21"/>
    </row>
    <row r="1065" spans="1:25" x14ac:dyDescent="0.2">
      <c r="A1065" s="72" t="s">
        <v>136</v>
      </c>
      <c r="B1065" s="73"/>
      <c r="C1065" s="73" t="s">
        <v>112</v>
      </c>
      <c r="D1065" s="78" t="str">
        <f>VLOOKUP(Q1045,[95]Base_03!$A$5:$AS$24,16,0)</f>
        <v>B 19</v>
      </c>
      <c r="E1065" s="78"/>
      <c r="F1065" s="77">
        <f>VLOOKUP(Q1045,[95]Base_03!$A$5:$AS$24,22,0)</f>
        <v>0</v>
      </c>
      <c r="G1065" s="77"/>
      <c r="H1065" s="23" t="s">
        <v>134</v>
      </c>
      <c r="I1065" s="72" t="s">
        <v>136</v>
      </c>
      <c r="J1065" s="73"/>
      <c r="K1065" s="73"/>
      <c r="L1065" s="78" t="str">
        <f>VLOOKUP(Q1045,[95]Base_04!$A$5:$AS$24,16,0)</f>
        <v>B 19</v>
      </c>
      <c r="M1065" s="78"/>
      <c r="N1065" s="77">
        <f>VLOOKUP(Q1045,[95]Base_04!$A$5:$AS$24,22,0)</f>
        <v>0</v>
      </c>
      <c r="O1065" s="77"/>
      <c r="P1065" s="37" t="s">
        <v>134</v>
      </c>
      <c r="Q1065" s="23" t="s">
        <v>123</v>
      </c>
      <c r="R1065" s="23"/>
      <c r="S1065" s="23"/>
      <c r="T1065" s="23"/>
      <c r="U1065" s="23"/>
      <c r="V1065" s="21"/>
      <c r="W1065" s="21"/>
      <c r="X1065" s="21"/>
      <c r="Y1065" s="21"/>
    </row>
    <row r="1066" spans="1:25" x14ac:dyDescent="0.2">
      <c r="A1066" s="72" t="s">
        <v>135</v>
      </c>
      <c r="B1066" s="73"/>
      <c r="C1066" s="73" t="s">
        <v>112</v>
      </c>
      <c r="D1066" s="78" t="str">
        <f>VLOOKUP(Q1045,[95]Base_03!$A$5:$AS$24,23,0)</f>
        <v>K 19</v>
      </c>
      <c r="E1066" s="78"/>
      <c r="F1066" s="77">
        <f>VLOOKUP(Q1045,[95]Base_03!$A$5:$AS$24,24,0)</f>
        <v>0</v>
      </c>
      <c r="G1066" s="77"/>
      <c r="H1066" s="23" t="s">
        <v>134</v>
      </c>
      <c r="I1066" s="72" t="s">
        <v>135</v>
      </c>
      <c r="J1066" s="73"/>
      <c r="K1066" s="73"/>
      <c r="L1066" s="78" t="str">
        <f>VLOOKUP(Q1045,[95]Base_04!$A$5:$AS$24,23,0)</f>
        <v>K 19</v>
      </c>
      <c r="M1066" s="78"/>
      <c r="N1066" s="77">
        <f>VLOOKUP(Q1045,[95]Base_04!$A$5:$AS$24,24,0)</f>
        <v>0</v>
      </c>
      <c r="O1066" s="77"/>
      <c r="P1066" s="37" t="s">
        <v>134</v>
      </c>
      <c r="Q1066" s="23" t="s">
        <v>123</v>
      </c>
      <c r="R1066" s="23"/>
      <c r="S1066" s="23"/>
      <c r="T1066" s="23"/>
      <c r="U1066" s="23"/>
      <c r="V1066" s="21"/>
      <c r="W1066" s="21"/>
      <c r="X1066" s="21"/>
      <c r="Y1066" s="21"/>
    </row>
    <row r="1067" spans="1:25" x14ac:dyDescent="0.2">
      <c r="A1067" s="72" t="s">
        <v>133</v>
      </c>
      <c r="B1067" s="73"/>
      <c r="C1067" s="73" t="s">
        <v>112</v>
      </c>
      <c r="D1067" s="78" t="str">
        <f>VLOOKUP(Q1045,[95]Base_03!$A$5:$AS$24,25,0)</f>
        <v>K 19</v>
      </c>
      <c r="E1067" s="78"/>
      <c r="F1067" s="77">
        <f>VLOOKUP(Q1045,[95]Base_03!$A$5:$AS$24,26,0)</f>
        <v>73.900834456272094</v>
      </c>
      <c r="G1067" s="77"/>
      <c r="H1067" s="23" t="s">
        <v>124</v>
      </c>
      <c r="I1067" s="72" t="s">
        <v>133</v>
      </c>
      <c r="J1067" s="73"/>
      <c r="K1067" s="73"/>
      <c r="L1067" s="78" t="str">
        <f>VLOOKUP(Q1045,[95]Base_04!$A$5:$AS$24,25,0)</f>
        <v>K 19</v>
      </c>
      <c r="M1067" s="78"/>
      <c r="N1067" s="77">
        <f>VLOOKUP(Q1045,[95]Base_04!$A$5:$AS$24,26,0)</f>
        <v>93.530743608719362</v>
      </c>
      <c r="O1067" s="77"/>
      <c r="P1067" s="37" t="s">
        <v>124</v>
      </c>
      <c r="Q1067" s="23" t="s">
        <v>123</v>
      </c>
      <c r="R1067" s="23"/>
      <c r="S1067" s="23"/>
      <c r="T1067" s="23"/>
      <c r="U1067" s="23"/>
      <c r="V1067" s="21"/>
      <c r="W1067" s="21"/>
      <c r="X1067" s="21"/>
      <c r="Y1067" s="21"/>
    </row>
    <row r="1068" spans="1:25" x14ac:dyDescent="0.2">
      <c r="A1068" s="40"/>
      <c r="B1068" s="31"/>
      <c r="C1068" s="31"/>
      <c r="D1068" s="41"/>
      <c r="E1068" s="41"/>
      <c r="F1068" s="30"/>
      <c r="G1068" s="23"/>
      <c r="H1068" s="23"/>
      <c r="I1068" s="40"/>
      <c r="J1068" s="31"/>
      <c r="K1068" s="31"/>
      <c r="L1068" s="41"/>
      <c r="M1068" s="41"/>
      <c r="N1068" s="30"/>
      <c r="O1068" s="23"/>
      <c r="P1068" s="37"/>
      <c r="Q1068" s="23"/>
      <c r="R1068" s="23"/>
      <c r="S1068" s="23"/>
      <c r="T1068" s="23"/>
      <c r="U1068" s="23"/>
      <c r="V1068" s="21"/>
      <c r="W1068" s="21"/>
      <c r="X1068" s="21"/>
      <c r="Y1068" s="21"/>
    </row>
    <row r="1069" spans="1:25" x14ac:dyDescent="0.2">
      <c r="A1069" s="38" t="s">
        <v>132</v>
      </c>
      <c r="B1069" s="23"/>
      <c r="C1069" s="26"/>
      <c r="D1069" s="79" t="s">
        <v>131</v>
      </c>
      <c r="E1069" s="79"/>
      <c r="F1069" s="79" t="s">
        <v>130</v>
      </c>
      <c r="G1069" s="79"/>
      <c r="H1069" s="23"/>
      <c r="I1069" s="38" t="s">
        <v>132</v>
      </c>
      <c r="J1069" s="23"/>
      <c r="K1069" s="26"/>
      <c r="L1069" s="79" t="s">
        <v>131</v>
      </c>
      <c r="M1069" s="79"/>
      <c r="N1069" s="79" t="s">
        <v>130</v>
      </c>
      <c r="O1069" s="79"/>
      <c r="P1069" s="52"/>
      <c r="Q1069" s="23"/>
      <c r="R1069" s="23"/>
      <c r="S1069" s="23"/>
      <c r="T1069" s="23"/>
      <c r="U1069" s="23"/>
      <c r="V1069" s="21"/>
      <c r="W1069" s="21"/>
      <c r="X1069" s="21"/>
      <c r="Y1069" s="21"/>
    </row>
    <row r="1070" spans="1:25" x14ac:dyDescent="0.2">
      <c r="A1070" s="39"/>
      <c r="B1070" s="23"/>
      <c r="C1070" s="26"/>
      <c r="D1070" s="79"/>
      <c r="E1070" s="79"/>
      <c r="F1070" s="79"/>
      <c r="G1070" s="79"/>
      <c r="H1070" s="23"/>
      <c r="I1070" s="39"/>
      <c r="J1070" s="23"/>
      <c r="K1070" s="26"/>
      <c r="L1070" s="79"/>
      <c r="M1070" s="79"/>
      <c r="N1070" s="79"/>
      <c r="O1070" s="79"/>
      <c r="P1070" s="52"/>
      <c r="Q1070" s="23"/>
      <c r="R1070" s="23"/>
      <c r="S1070" s="23"/>
      <c r="T1070" s="23"/>
      <c r="U1070" s="23"/>
      <c r="V1070" s="21"/>
      <c r="W1070" s="21"/>
      <c r="X1070" s="21"/>
      <c r="Y1070" s="21"/>
    </row>
    <row r="1071" spans="1:25" x14ac:dyDescent="0.2">
      <c r="A1071" s="72" t="s">
        <v>129</v>
      </c>
      <c r="B1071" s="73"/>
      <c r="C1071" s="73" t="s">
        <v>119</v>
      </c>
      <c r="D1071" s="78" t="str">
        <f>VLOOKUP(Q1045,[95]Base_03!$A$5:$AS$24,28,0)</f>
        <v xml:space="preserve"> G 19</v>
      </c>
      <c r="E1071" s="78"/>
      <c r="F1071" s="77">
        <f>VLOOKUP(Q1045,[95]Base_03!$A$5:$AS$24,30,0)</f>
        <v>55</v>
      </c>
      <c r="G1071" s="77"/>
      <c r="H1071" s="23" t="s">
        <v>124</v>
      </c>
      <c r="I1071" s="72" t="s">
        <v>129</v>
      </c>
      <c r="J1071" s="73"/>
      <c r="K1071" s="73" t="s">
        <v>119</v>
      </c>
      <c r="L1071" s="78" t="str">
        <f>VLOOKUP(Q1045,[95]Base_04!$A$5:$AS$24,28,0)</f>
        <v xml:space="preserve"> G 19</v>
      </c>
      <c r="M1071" s="78"/>
      <c r="N1071" s="77">
        <f>VLOOKUP(Q1045,[95]Base_04!$A$5:$AS$24,30,0)</f>
        <v>55</v>
      </c>
      <c r="O1071" s="77"/>
      <c r="P1071" s="37" t="s">
        <v>124</v>
      </c>
      <c r="Q1071" s="23" t="s">
        <v>123</v>
      </c>
      <c r="R1071" s="23"/>
      <c r="S1071" s="23"/>
      <c r="T1071" s="23"/>
      <c r="U1071" s="23"/>
      <c r="V1071" s="21"/>
      <c r="W1071" s="21"/>
      <c r="X1071" s="21"/>
      <c r="Y1071" s="21"/>
    </row>
    <row r="1072" spans="1:25" x14ac:dyDescent="0.2">
      <c r="A1072" s="72" t="s">
        <v>128</v>
      </c>
      <c r="B1072" s="73"/>
      <c r="C1072" s="73" t="s">
        <v>119</v>
      </c>
      <c r="D1072" s="78" t="str">
        <f>VLOOKUP(Q1045,[95]Base_03!$A$5:$AS$24,31,0)</f>
        <v>H 19</v>
      </c>
      <c r="E1072" s="78"/>
      <c r="F1072" s="77">
        <f>VLOOKUP(Q1045,[95]Base_03!$A$5:$AS$24,34,0)</f>
        <v>-5.76</v>
      </c>
      <c r="G1072" s="77"/>
      <c r="H1072" s="23" t="s">
        <v>124</v>
      </c>
      <c r="I1072" s="72" t="s">
        <v>128</v>
      </c>
      <c r="J1072" s="73"/>
      <c r="K1072" s="73" t="s">
        <v>119</v>
      </c>
      <c r="L1072" s="78" t="str">
        <f>VLOOKUP(Q1045,[95]Base_04!$A$5:$AS$24,31,0)</f>
        <v>H 19</v>
      </c>
      <c r="M1072" s="78"/>
      <c r="N1072" s="77">
        <f>VLOOKUP(Q1045,[95]Base_04!$A$5:$AS$24,34,0)</f>
        <v>-5.76</v>
      </c>
      <c r="O1072" s="77"/>
      <c r="P1072" s="37" t="s">
        <v>124</v>
      </c>
      <c r="Q1072" s="23" t="s">
        <v>123</v>
      </c>
      <c r="R1072" s="23"/>
      <c r="S1072" s="23"/>
      <c r="T1072" s="23"/>
      <c r="U1072" s="23"/>
      <c r="V1072" s="21"/>
      <c r="W1072" s="21"/>
      <c r="X1072" s="21"/>
      <c r="Y1072" s="21"/>
    </row>
    <row r="1073" spans="1:25" x14ac:dyDescent="0.2">
      <c r="A1073" s="89" t="s">
        <v>127</v>
      </c>
      <c r="B1073" s="90"/>
      <c r="C1073" s="90" t="s">
        <v>119</v>
      </c>
      <c r="D1073" s="91" t="str">
        <f>VLOOKUP(Q1045,[95]Base_03!$A$5:$AS$24,35,0)</f>
        <v>Kayu</v>
      </c>
      <c r="E1073" s="91"/>
      <c r="F1073" s="92">
        <f>VLOOKUP(Q1045,[95]Base_03!$A$5:$AS$24,36,0)</f>
        <v>5.76</v>
      </c>
      <c r="G1073" s="92"/>
      <c r="H1073" s="23" t="s">
        <v>124</v>
      </c>
      <c r="I1073" s="89" t="s">
        <v>127</v>
      </c>
      <c r="J1073" s="90"/>
      <c r="K1073" s="90" t="s">
        <v>119</v>
      </c>
      <c r="L1073" s="91" t="str">
        <f>VLOOKUP(Q1045,[95]Base_04!$A$5:$AS$24,35,0)</f>
        <v>Kayu</v>
      </c>
      <c r="M1073" s="91"/>
      <c r="N1073" s="92">
        <f>VLOOKUP(Q1045,[95]Base_04!$A$5:$AS$24,36,0)</f>
        <v>5.76</v>
      </c>
      <c r="O1073" s="92"/>
      <c r="P1073" s="37" t="s">
        <v>124</v>
      </c>
      <c r="Q1073" s="23" t="s">
        <v>123</v>
      </c>
      <c r="R1073" s="23"/>
      <c r="S1073" s="23"/>
      <c r="T1073" s="23"/>
      <c r="U1073" s="23"/>
      <c r="V1073" s="21"/>
      <c r="W1073" s="21"/>
      <c r="X1073" s="21"/>
      <c r="Y1073" s="21"/>
    </row>
    <row r="1074" spans="1:25" x14ac:dyDescent="0.2">
      <c r="A1074" s="74" t="s">
        <v>126</v>
      </c>
      <c r="B1074" s="75"/>
      <c r="C1074" s="75"/>
      <c r="D1074" s="91"/>
      <c r="E1074" s="91"/>
      <c r="F1074" s="92"/>
      <c r="G1074" s="92"/>
      <c r="H1074" s="23"/>
      <c r="I1074" s="74" t="s">
        <v>126</v>
      </c>
      <c r="J1074" s="75"/>
      <c r="K1074" s="75"/>
      <c r="L1074" s="91"/>
      <c r="M1074" s="91"/>
      <c r="N1074" s="92"/>
      <c r="O1074" s="92"/>
      <c r="P1074" s="37"/>
      <c r="Q1074" s="23"/>
      <c r="R1074" s="23"/>
      <c r="S1074" s="23"/>
      <c r="T1074" s="23"/>
      <c r="U1074" s="23"/>
      <c r="V1074" s="21"/>
      <c r="W1074" s="21"/>
      <c r="X1074" s="21"/>
      <c r="Y1074" s="21"/>
    </row>
    <row r="1075" spans="1:25" x14ac:dyDescent="0.2">
      <c r="A1075" s="72" t="s">
        <v>125</v>
      </c>
      <c r="B1075" s="73"/>
      <c r="C1075" s="73" t="s">
        <v>119</v>
      </c>
      <c r="D1075" s="78" t="str">
        <f>VLOOKUP(Q1045,[95]Base_03!$A$5:$AS$24,39,0)</f>
        <v>R 19</v>
      </c>
      <c r="E1075" s="78"/>
      <c r="F1075" s="77">
        <f>VLOOKUP(Q1045,[95]Base_03!$A$5:$AS$24,40,0)</f>
        <v>36</v>
      </c>
      <c r="G1075" s="77"/>
      <c r="H1075" s="23" t="s">
        <v>124</v>
      </c>
      <c r="I1075" s="72" t="s">
        <v>125</v>
      </c>
      <c r="J1075" s="73"/>
      <c r="K1075" s="73" t="s">
        <v>119</v>
      </c>
      <c r="L1075" s="78" t="str">
        <f>VLOOKUP(Q1045,[95]Base_04!$A$5:$AS$24,39,0)</f>
        <v>R 19</v>
      </c>
      <c r="M1075" s="78"/>
      <c r="N1075" s="77">
        <f>VLOOKUP(Q1045,[95]Base_04!$A$5:$AS$24,40,0)</f>
        <v>49</v>
      </c>
      <c r="O1075" s="77"/>
      <c r="P1075" s="37" t="s">
        <v>124</v>
      </c>
      <c r="Q1075" s="23" t="s">
        <v>123</v>
      </c>
      <c r="R1075" s="23"/>
      <c r="S1075" s="23"/>
      <c r="T1075" s="23"/>
      <c r="U1075" s="23"/>
      <c r="V1075" s="21"/>
      <c r="W1075" s="21"/>
      <c r="X1075" s="21"/>
      <c r="Y1075" s="21"/>
    </row>
    <row r="1076" spans="1:25" x14ac:dyDescent="0.2">
      <c r="A1076" s="39"/>
      <c r="B1076" s="23"/>
      <c r="C1076" s="23"/>
      <c r="D1076" s="23"/>
      <c r="E1076" s="23"/>
      <c r="F1076" s="23"/>
      <c r="G1076" s="23"/>
      <c r="H1076" s="23"/>
      <c r="I1076" s="39"/>
      <c r="J1076" s="45"/>
      <c r="K1076" s="45"/>
      <c r="L1076" s="45"/>
      <c r="M1076" s="23"/>
      <c r="N1076" s="30"/>
      <c r="O1076" s="23"/>
      <c r="P1076" s="37"/>
      <c r="Q1076" s="23"/>
      <c r="R1076" s="23"/>
      <c r="S1076" s="23"/>
      <c r="T1076" s="23"/>
      <c r="U1076" s="23"/>
      <c r="V1076" s="21"/>
      <c r="W1076" s="21"/>
      <c r="X1076" s="21"/>
      <c r="Y1076" s="21"/>
    </row>
    <row r="1077" spans="1:25" x14ac:dyDescent="0.2">
      <c r="A1077" s="72" t="s">
        <v>122</v>
      </c>
      <c r="B1077" s="73"/>
      <c r="C1077" s="73" t="s">
        <v>112</v>
      </c>
      <c r="D1077" s="76">
        <f>VLOOKUP(Q1045,[95]Base_03!$A$5:$AS$24,42,0)</f>
        <v>6.666666666666667</v>
      </c>
      <c r="E1077" s="76"/>
      <c r="F1077" s="25" t="s">
        <v>118</v>
      </c>
      <c r="G1077" s="23"/>
      <c r="H1077" s="23"/>
      <c r="I1077" s="72" t="s">
        <v>122</v>
      </c>
      <c r="J1077" s="73"/>
      <c r="K1077" s="73" t="s">
        <v>112</v>
      </c>
      <c r="L1077" s="76">
        <f>VLOOKUP(Q1045,[95]Base_04!$A$5:$AS$24,42,0)</f>
        <v>4.8979591836734695</v>
      </c>
      <c r="M1077" s="76"/>
      <c r="N1077" s="46" t="s">
        <v>118</v>
      </c>
      <c r="O1077" s="23"/>
      <c r="P1077" s="37"/>
      <c r="Q1077" s="32" t="s">
        <v>121</v>
      </c>
      <c r="R1077" s="23"/>
      <c r="S1077" s="23"/>
      <c r="T1077" s="23"/>
      <c r="U1077" s="23"/>
      <c r="V1077" s="21"/>
      <c r="W1077" s="21"/>
      <c r="X1077" s="21"/>
      <c r="Y1077" s="21"/>
    </row>
    <row r="1078" spans="1:25" x14ac:dyDescent="0.2">
      <c r="A1078" s="72" t="s">
        <v>120</v>
      </c>
      <c r="B1078" s="73"/>
      <c r="C1078" s="73" t="s">
        <v>119</v>
      </c>
      <c r="D1078" s="76">
        <f>VLOOKUP(Q1045,[95]Base_03!$A$5:$AS$24,43,0)</f>
        <v>9.6666666666666661</v>
      </c>
      <c r="E1078" s="76"/>
      <c r="F1078" s="25" t="s">
        <v>118</v>
      </c>
      <c r="G1078" s="23"/>
      <c r="H1078" s="23"/>
      <c r="I1078" s="72" t="s">
        <v>120</v>
      </c>
      <c r="J1078" s="73"/>
      <c r="K1078" s="73" t="s">
        <v>119</v>
      </c>
      <c r="L1078" s="76">
        <f>VLOOKUP(Q1045,[95]Base_04!$A$5:$AS$24,43,0)</f>
        <v>7.1020408163265314</v>
      </c>
      <c r="M1078" s="76"/>
      <c r="N1078" s="46" t="s">
        <v>118</v>
      </c>
      <c r="O1078" s="23"/>
      <c r="P1078" s="37"/>
      <c r="Q1078" s="32" t="s">
        <v>117</v>
      </c>
      <c r="R1078" s="23"/>
      <c r="S1078" s="23"/>
      <c r="T1078" s="23"/>
      <c r="U1078" s="23"/>
      <c r="V1078" s="21"/>
      <c r="W1078" s="21"/>
      <c r="X1078" s="21"/>
      <c r="Y1078" s="21"/>
    </row>
    <row r="1079" spans="1:25" x14ac:dyDescent="0.2">
      <c r="A1079" s="72" t="s">
        <v>115</v>
      </c>
      <c r="B1079" s="73"/>
      <c r="C1079" s="73"/>
      <c r="D1079" s="71" t="str">
        <f>VLOOKUP(Q1045,[95]Base_03!$A$5:$AS$24,44,0)</f>
        <v>(Ada) Baik</v>
      </c>
      <c r="E1079" s="71"/>
      <c r="F1079" s="23"/>
      <c r="G1079" s="23"/>
      <c r="H1079" s="23"/>
      <c r="I1079" s="72" t="s">
        <v>115</v>
      </c>
      <c r="J1079" s="73"/>
      <c r="K1079" s="73"/>
      <c r="L1079" s="71" t="str">
        <f>VLOOKUP(Q1045,[95]Base_04!$A$5:$AS$24,44,0)</f>
        <v>(Ada) Baik</v>
      </c>
      <c r="M1079" s="71"/>
      <c r="N1079" s="30"/>
      <c r="O1079" s="23"/>
      <c r="P1079" s="37"/>
      <c r="Q1079" s="23"/>
      <c r="R1079" s="23"/>
      <c r="S1079" s="23"/>
      <c r="T1079" s="23"/>
      <c r="U1079" s="23"/>
      <c r="V1079" s="21"/>
      <c r="W1079" s="21"/>
      <c r="X1079" s="21"/>
      <c r="Y1079" s="21"/>
    </row>
    <row r="1080" spans="1:25" x14ac:dyDescent="0.2">
      <c r="A1080" s="74" t="s">
        <v>116</v>
      </c>
      <c r="B1080" s="75"/>
      <c r="C1080" s="26"/>
      <c r="D1080" s="25"/>
      <c r="E1080" s="25"/>
      <c r="F1080" s="23"/>
      <c r="G1080" s="23"/>
      <c r="H1080" s="23"/>
      <c r="I1080" s="74" t="s">
        <v>116</v>
      </c>
      <c r="J1080" s="75"/>
      <c r="K1080" s="26"/>
      <c r="L1080" s="25"/>
      <c r="M1080" s="25"/>
      <c r="N1080" s="30"/>
      <c r="O1080" s="23"/>
      <c r="P1080" s="37"/>
      <c r="Q1080" s="23"/>
      <c r="R1080" s="23"/>
      <c r="S1080" s="23"/>
      <c r="T1080" s="23"/>
      <c r="U1080" s="23"/>
      <c r="V1080" s="21"/>
      <c r="W1080" s="21"/>
      <c r="X1080" s="21"/>
      <c r="Y1080" s="21"/>
    </row>
    <row r="1081" spans="1:25" x14ac:dyDescent="0.2">
      <c r="A1081" s="72" t="s">
        <v>115</v>
      </c>
      <c r="B1081" s="73"/>
      <c r="C1081" s="73"/>
      <c r="D1081" s="71" t="str">
        <f>VLOOKUP(Q1045,[95]Base_03!$A$5:$AS$24,45,0)</f>
        <v>Air Pam (Baik)</v>
      </c>
      <c r="E1081" s="71"/>
      <c r="F1081" s="23"/>
      <c r="G1081" s="23"/>
      <c r="H1081" s="23"/>
      <c r="I1081" s="72" t="s">
        <v>115</v>
      </c>
      <c r="J1081" s="73"/>
      <c r="K1081" s="73"/>
      <c r="L1081" s="71" t="str">
        <f>VLOOKUP(Q1045,[95]Base_04!$A$5:$AS$24,45,0)</f>
        <v>Air Pam (Baik)</v>
      </c>
      <c r="M1081" s="71"/>
      <c r="N1081" s="30"/>
      <c r="O1081" s="23"/>
      <c r="P1081" s="37"/>
      <c r="Q1081" s="23"/>
      <c r="R1081" s="23"/>
      <c r="S1081" s="23"/>
      <c r="T1081" s="23"/>
      <c r="U1081" s="23"/>
      <c r="V1081" s="21"/>
      <c r="W1081" s="21"/>
      <c r="X1081" s="21"/>
      <c r="Y1081" s="21"/>
    </row>
    <row r="1082" spans="1:25" x14ac:dyDescent="0.2">
      <c r="A1082" s="74" t="s">
        <v>114</v>
      </c>
      <c r="B1082" s="75"/>
      <c r="C1082" s="26"/>
      <c r="D1082" s="25"/>
      <c r="E1082" s="25"/>
      <c r="F1082" s="23"/>
      <c r="G1082" s="23"/>
      <c r="H1082" s="23"/>
      <c r="I1082" s="74" t="s">
        <v>114</v>
      </c>
      <c r="J1082" s="75"/>
      <c r="K1082" s="26"/>
      <c r="L1082" s="25"/>
      <c r="M1082" s="25"/>
      <c r="N1082" s="30"/>
      <c r="O1082" s="23"/>
      <c r="P1082" s="37"/>
      <c r="Q1082" s="23"/>
      <c r="R1082" s="23"/>
      <c r="S1082" s="23"/>
      <c r="T1082" s="23"/>
      <c r="U1082" s="23"/>
      <c r="V1082" s="21"/>
      <c r="W1082" s="21"/>
      <c r="X1082" s="21"/>
      <c r="Y1082" s="21"/>
    </row>
    <row r="1083" spans="1:25" x14ac:dyDescent="0.2">
      <c r="A1083" s="36" t="s">
        <v>113</v>
      </c>
      <c r="B1083" s="23"/>
      <c r="C1083" s="26" t="s">
        <v>112</v>
      </c>
      <c r="D1083" s="71">
        <f>VLOOKUP(Q1045,[94]Base_02!$A$5:$S$24,18,0)</f>
        <v>0</v>
      </c>
      <c r="E1083" s="71"/>
      <c r="F1083" s="23" t="str">
        <f>IF(D1083&gt;0,"LU","LS")</f>
        <v>LS</v>
      </c>
      <c r="G1083" s="23"/>
      <c r="H1083" s="23"/>
      <c r="I1083" s="36" t="s">
        <v>113</v>
      </c>
      <c r="J1083" s="26"/>
      <c r="K1083" s="26" t="s">
        <v>112</v>
      </c>
      <c r="L1083" s="71">
        <f>D1083</f>
        <v>0</v>
      </c>
      <c r="M1083" s="71"/>
      <c r="N1083" s="23" t="str">
        <f>IF(L1083&gt;0,"LU","LS")</f>
        <v>LS</v>
      </c>
      <c r="O1083" s="23"/>
      <c r="P1083" s="37"/>
      <c r="Q1083" s="23"/>
      <c r="R1083" s="23"/>
      <c r="S1083" s="23"/>
      <c r="T1083" s="23"/>
      <c r="U1083" s="23"/>
      <c r="V1083" s="21"/>
      <c r="W1083" s="21"/>
      <c r="X1083" s="21"/>
      <c r="Y1083" s="21"/>
    </row>
    <row r="1084" spans="1:25" x14ac:dyDescent="0.2">
      <c r="A1084" s="42"/>
      <c r="B1084" s="43"/>
      <c r="C1084" s="44" t="s">
        <v>111</v>
      </c>
      <c r="D1084" s="70">
        <f>VLOOKUP(Q1045,[94]Base_02!$A$5:$S$24,19,0)</f>
        <v>0</v>
      </c>
      <c r="E1084" s="70"/>
      <c r="F1084" s="43" t="s">
        <v>110</v>
      </c>
      <c r="G1084" s="43"/>
      <c r="H1084" s="43"/>
      <c r="I1084" s="42"/>
      <c r="J1084" s="43"/>
      <c r="K1084" s="43"/>
      <c r="L1084" s="70">
        <f>D1084</f>
        <v>0</v>
      </c>
      <c r="M1084" s="70"/>
      <c r="N1084" s="47" t="s">
        <v>110</v>
      </c>
      <c r="O1084" s="44"/>
      <c r="P1084" s="53"/>
      <c r="Q1084" s="23"/>
      <c r="R1084" s="23"/>
      <c r="S1084" s="23"/>
      <c r="T1084" s="23"/>
      <c r="U1084" s="23"/>
      <c r="V1084" s="21"/>
      <c r="W1084" s="21"/>
      <c r="X1084" s="21"/>
      <c r="Y1084" s="21"/>
    </row>
    <row r="1085" spans="1:25" x14ac:dyDescent="0.2">
      <c r="A1085" s="23"/>
      <c r="B1085" s="23"/>
      <c r="C1085" s="26"/>
      <c r="D1085" s="23"/>
      <c r="E1085" s="23"/>
      <c r="F1085" s="23"/>
      <c r="G1085" s="23"/>
      <c r="H1085" s="23"/>
      <c r="I1085" s="23"/>
      <c r="J1085" s="23"/>
      <c r="K1085" s="25"/>
      <c r="L1085" s="25"/>
      <c r="M1085" s="30"/>
      <c r="N1085" s="23"/>
      <c r="O1085" s="23"/>
      <c r="P1085" s="23"/>
      <c r="Q1085" s="23"/>
      <c r="R1085" s="23"/>
      <c r="S1085" s="23"/>
      <c r="T1085" s="23"/>
      <c r="U1085" s="23"/>
      <c r="V1085" s="23"/>
      <c r="W1085" s="23"/>
      <c r="X1085" s="23"/>
      <c r="Y1085" s="23"/>
    </row>
    <row r="1086" spans="1:25" x14ac:dyDescent="0.2">
      <c r="A1086" s="23"/>
      <c r="B1086" s="23"/>
      <c r="C1086" s="23"/>
      <c r="D1086" s="23"/>
      <c r="E1086" s="23"/>
      <c r="F1086" s="23"/>
      <c r="G1086" s="23"/>
      <c r="H1086" s="23"/>
      <c r="I1086" s="23"/>
      <c r="J1086" s="23"/>
      <c r="K1086" s="23"/>
      <c r="L1086" s="23"/>
      <c r="M1086" s="30"/>
      <c r="N1086" s="23"/>
      <c r="O1086" s="23"/>
      <c r="P1086" s="23"/>
      <c r="Q1086" s="23"/>
      <c r="R1086" s="23"/>
      <c r="S1086" s="23"/>
      <c r="T1086" s="23"/>
      <c r="U1086" s="23"/>
      <c r="V1086" s="23"/>
      <c r="W1086" s="23"/>
      <c r="X1086" s="23"/>
      <c r="Y1086" s="23"/>
    </row>
    <row r="1087" spans="1:25" x14ac:dyDescent="0.2">
      <c r="A1087" s="23"/>
      <c r="B1087" s="23"/>
      <c r="C1087" s="23"/>
      <c r="D1087" s="23"/>
      <c r="E1087" s="23"/>
      <c r="F1087" s="23"/>
      <c r="G1087" s="23"/>
      <c r="H1087" s="23"/>
      <c r="I1087" s="23"/>
      <c r="J1087" s="23"/>
      <c r="K1087" s="23"/>
      <c r="L1087" s="71" t="str">
        <f>[94]Base_01!$C$4&amp;", …..  …........................  2026"</f>
        <v>Sorong, …..  …........................  2026</v>
      </c>
      <c r="M1087" s="71"/>
      <c r="N1087" s="71"/>
      <c r="O1087" s="71"/>
      <c r="P1087" s="71"/>
      <c r="Q1087" s="23"/>
      <c r="R1087" s="23"/>
      <c r="S1087" s="23"/>
      <c r="T1087" s="23"/>
      <c r="U1087" s="23"/>
      <c r="V1087" s="23"/>
      <c r="W1087" s="23"/>
      <c r="X1087" s="23"/>
      <c r="Y1087" s="23"/>
    </row>
    <row r="1088" spans="1:25" x14ac:dyDescent="0.2">
      <c r="A1088" s="71" t="s">
        <v>108</v>
      </c>
      <c r="B1088" s="71"/>
      <c r="C1088" s="71"/>
      <c r="D1088" s="71"/>
      <c r="E1088" s="71"/>
      <c r="F1088" s="71"/>
      <c r="G1088" s="23"/>
      <c r="H1088" s="23"/>
      <c r="I1088" s="23"/>
      <c r="J1088" s="23"/>
      <c r="K1088" s="23"/>
      <c r="L1088" s="71" t="s">
        <v>152</v>
      </c>
      <c r="M1088" s="71"/>
      <c r="N1088" s="71"/>
      <c r="O1088" s="71"/>
      <c r="P1088" s="71"/>
      <c r="Q1088" s="23"/>
      <c r="R1088" s="23"/>
      <c r="S1088" s="23"/>
      <c r="T1088" s="23"/>
      <c r="U1088" s="23"/>
      <c r="V1088" s="23"/>
      <c r="W1088" s="23"/>
      <c r="X1088" s="23"/>
      <c r="Y1088" s="23"/>
    </row>
    <row r="1089" spans="1:25" x14ac:dyDescent="0.2">
      <c r="A1089" s="71" t="s">
        <v>153</v>
      </c>
      <c r="B1089" s="71"/>
      <c r="C1089" s="71"/>
      <c r="D1089" s="71"/>
      <c r="E1089" s="71"/>
      <c r="F1089" s="71"/>
      <c r="G1089" s="23"/>
      <c r="H1089" s="23"/>
      <c r="I1089" s="23"/>
      <c r="J1089" s="23"/>
      <c r="K1089" s="23"/>
      <c r="L1089" s="71" t="s">
        <v>107</v>
      </c>
      <c r="M1089" s="71"/>
      <c r="N1089" s="71"/>
      <c r="O1089" s="71"/>
      <c r="P1089" s="71"/>
      <c r="Q1089" s="23"/>
      <c r="R1089" s="23"/>
      <c r="S1089" s="23"/>
      <c r="T1089" s="23"/>
      <c r="U1089" s="23"/>
      <c r="V1089" s="23"/>
      <c r="W1089" s="23"/>
      <c r="X1089" s="23"/>
      <c r="Y1089" s="23"/>
    </row>
    <row r="1090" spans="1:25" x14ac:dyDescent="0.2">
      <c r="A1090" s="23"/>
      <c r="B1090" s="23"/>
      <c r="C1090" s="23"/>
      <c r="D1090" s="23"/>
      <c r="E1090" s="23"/>
      <c r="F1090" s="23"/>
      <c r="G1090" s="23"/>
      <c r="H1090" s="23"/>
      <c r="I1090" s="23"/>
      <c r="J1090" s="23"/>
      <c r="K1090" s="23"/>
      <c r="L1090" s="23"/>
      <c r="M1090" s="30"/>
      <c r="N1090" s="23"/>
      <c r="O1090" s="23"/>
      <c r="P1090" s="23"/>
      <c r="Q1090" s="23"/>
      <c r="R1090" s="23"/>
      <c r="S1090" s="23"/>
      <c r="T1090" s="23"/>
      <c r="U1090" s="23"/>
      <c r="V1090" s="23"/>
      <c r="W1090" s="23"/>
      <c r="X1090" s="23"/>
      <c r="Y1090" s="23"/>
    </row>
    <row r="1091" spans="1:25" x14ac:dyDescent="0.2">
      <c r="A1091" s="23"/>
      <c r="B1091" s="23"/>
      <c r="C1091" s="23"/>
      <c r="D1091" s="23"/>
      <c r="E1091" s="23"/>
      <c r="F1091" s="23"/>
      <c r="G1091" s="23"/>
      <c r="H1091" s="23"/>
      <c r="I1091" s="23"/>
      <c r="J1091" s="23"/>
      <c r="K1091" s="23"/>
      <c r="L1091" s="23"/>
      <c r="M1091" s="30"/>
      <c r="N1091" s="23"/>
      <c r="O1091" s="23"/>
      <c r="P1091" s="23"/>
      <c r="Q1091" s="23"/>
      <c r="R1091" s="23"/>
      <c r="S1091" s="23"/>
      <c r="T1091" s="23"/>
      <c r="U1091" s="23"/>
      <c r="V1091" s="23"/>
      <c r="W1091" s="23"/>
      <c r="X1091" s="23"/>
      <c r="Y1091" s="23"/>
    </row>
    <row r="1092" spans="1:25" x14ac:dyDescent="0.2">
      <c r="A1092" s="23"/>
      <c r="B1092" s="23"/>
      <c r="C1092" s="23"/>
      <c r="D1092" s="23"/>
      <c r="E1092" s="23"/>
      <c r="F1092" s="23"/>
      <c r="G1092" s="23"/>
      <c r="H1092" s="23"/>
      <c r="I1092" s="23"/>
      <c r="J1092" s="23"/>
      <c r="K1092" s="23"/>
      <c r="L1092" s="23"/>
      <c r="M1092" s="30"/>
      <c r="N1092" s="23"/>
      <c r="O1092" s="23"/>
      <c r="P1092" s="23"/>
      <c r="Q1092" s="23"/>
      <c r="R1092" s="23"/>
      <c r="S1092" s="23"/>
      <c r="T1092" s="23"/>
      <c r="U1092" s="23"/>
      <c r="V1092" s="23"/>
      <c r="W1092" s="23"/>
      <c r="X1092" s="23"/>
      <c r="Y1092" s="23"/>
    </row>
    <row r="1093" spans="1:25" x14ac:dyDescent="0.2">
      <c r="A1093" s="23"/>
      <c r="B1093" s="23"/>
      <c r="C1093" s="23"/>
      <c r="D1093" s="23"/>
      <c r="E1093" s="23"/>
      <c r="F1093" s="23"/>
      <c r="G1093" s="23"/>
      <c r="H1093" s="23"/>
      <c r="I1093" s="23"/>
      <c r="J1093" s="23"/>
      <c r="K1093" s="23"/>
      <c r="L1093" s="23"/>
      <c r="M1093" s="30"/>
      <c r="N1093" s="23"/>
      <c r="O1093" s="23"/>
      <c r="P1093" s="23"/>
      <c r="Q1093" s="23"/>
      <c r="R1093" s="23"/>
      <c r="S1093" s="23"/>
      <c r="T1093" s="23"/>
      <c r="U1093" s="23"/>
      <c r="V1093" s="23"/>
      <c r="W1093" s="23"/>
      <c r="X1093" s="23"/>
      <c r="Y1093" s="23"/>
    </row>
    <row r="1094" spans="1:25" x14ac:dyDescent="0.2">
      <c r="A1094" s="87" t="str">
        <f>[94]Base_02!$C$28</f>
        <v>Nama PB 1</v>
      </c>
      <c r="B1094" s="87"/>
      <c r="C1094" s="87"/>
      <c r="D1094" s="87"/>
      <c r="E1094" s="87"/>
      <c r="F1094" s="87"/>
      <c r="G1094" s="23"/>
      <c r="H1094" s="23"/>
      <c r="I1094" s="23"/>
      <c r="J1094" s="23"/>
      <c r="K1094" s="23"/>
      <c r="L1094" s="71" t="str">
        <f>E1050</f>
        <v>Nama PB 19</v>
      </c>
      <c r="M1094" s="71"/>
      <c r="N1094" s="71"/>
      <c r="O1094" s="71"/>
      <c r="P1094" s="71"/>
      <c r="Q1094" s="23"/>
      <c r="R1094" s="23"/>
      <c r="S1094" s="23"/>
      <c r="T1094" s="23"/>
      <c r="U1094" s="23"/>
      <c r="V1094" s="23"/>
      <c r="W1094" s="23"/>
      <c r="X1094" s="23"/>
      <c r="Y1094" s="23"/>
    </row>
    <row r="1095" spans="1:25" x14ac:dyDescent="0.2">
      <c r="A1095" s="23"/>
      <c r="B1095" s="23"/>
      <c r="C1095" s="23"/>
      <c r="D1095" s="23"/>
      <c r="E1095" s="23"/>
      <c r="F1095" s="23"/>
      <c r="G1095" s="23"/>
      <c r="H1095" s="23"/>
      <c r="I1095" s="23"/>
      <c r="J1095" s="23"/>
      <c r="K1095" s="23"/>
      <c r="L1095" s="23"/>
      <c r="M1095" s="30"/>
      <c r="N1095" s="23"/>
      <c r="O1095" s="23"/>
      <c r="P1095" s="23"/>
      <c r="Q1095" s="23"/>
      <c r="R1095" s="23"/>
      <c r="S1095" s="23"/>
      <c r="T1095" s="23"/>
      <c r="U1095" s="23"/>
      <c r="V1095" s="23"/>
      <c r="W1095" s="23"/>
      <c r="X1095" s="23"/>
      <c r="Y1095" s="23"/>
    </row>
    <row r="1096" spans="1:25" x14ac:dyDescent="0.2">
      <c r="A1096" s="87" t="s">
        <v>109</v>
      </c>
      <c r="B1096" s="87"/>
      <c r="C1096" s="87"/>
      <c r="D1096" s="87"/>
      <c r="E1096" s="87"/>
      <c r="F1096" s="87"/>
      <c r="G1096" s="23"/>
      <c r="H1096" s="23"/>
      <c r="I1096" s="29"/>
      <c r="J1096" s="24"/>
      <c r="K1096" s="24"/>
      <c r="L1096" s="88" t="s">
        <v>92</v>
      </c>
      <c r="M1096" s="88"/>
      <c r="N1096" s="88"/>
      <c r="O1096" s="88"/>
      <c r="P1096" s="88"/>
      <c r="Q1096" s="23"/>
      <c r="R1096" s="23"/>
      <c r="S1096" s="23"/>
      <c r="T1096" s="23"/>
      <c r="U1096" s="23"/>
      <c r="V1096" s="23"/>
      <c r="W1096" s="23"/>
      <c r="X1096" s="23"/>
      <c r="Y1096" s="23"/>
    </row>
    <row r="1097" spans="1:25" x14ac:dyDescent="0.2">
      <c r="A1097" s="68" t="s">
        <v>91</v>
      </c>
      <c r="B1097" s="68"/>
      <c r="C1097" s="68"/>
      <c r="D1097" s="68"/>
      <c r="E1097" s="68"/>
      <c r="F1097" s="68"/>
      <c r="I1097" s="28"/>
      <c r="J1097" s="28"/>
      <c r="K1097" s="28"/>
      <c r="L1097" s="69" t="str">
        <f>[94]Base_01!$B$17&amp;" "&amp;[94]Base_01!$C$4</f>
        <v>Koordinator Kota Sorong</v>
      </c>
      <c r="M1097" s="69"/>
      <c r="N1097" s="69"/>
      <c r="O1097" s="69"/>
      <c r="P1097" s="69"/>
      <c r="Q1097" s="23"/>
      <c r="R1097" s="23"/>
      <c r="S1097" s="23"/>
      <c r="T1097" s="23"/>
      <c r="U1097" s="23"/>
      <c r="V1097" s="23"/>
      <c r="W1097" s="23"/>
      <c r="X1097" s="23"/>
      <c r="Y1097" s="23"/>
    </row>
    <row r="1098" spans="1:25" x14ac:dyDescent="0.2">
      <c r="M1098" s="27"/>
      <c r="Q1098" s="23"/>
      <c r="R1098" s="23"/>
      <c r="S1098" s="23"/>
      <c r="T1098" s="23"/>
      <c r="U1098" s="23"/>
      <c r="V1098" s="23"/>
      <c r="W1098" s="23"/>
      <c r="X1098" s="23"/>
      <c r="Y1098" s="23"/>
    </row>
    <row r="1099" spans="1:25" x14ac:dyDescent="0.2">
      <c r="M1099" s="27"/>
      <c r="Q1099" s="23"/>
      <c r="R1099" s="23"/>
      <c r="S1099" s="23"/>
      <c r="T1099" s="23"/>
      <c r="U1099" s="23"/>
      <c r="V1099" s="23"/>
      <c r="W1099" s="23"/>
      <c r="X1099" s="23"/>
      <c r="Y1099" s="23"/>
    </row>
    <row r="1100" spans="1:25" x14ac:dyDescent="0.2">
      <c r="M1100" s="27"/>
      <c r="Q1100" s="23"/>
      <c r="R1100" s="23"/>
      <c r="S1100" s="23"/>
      <c r="T1100" s="23"/>
      <c r="U1100" s="23"/>
      <c r="V1100" s="23"/>
      <c r="W1100" s="23"/>
      <c r="X1100" s="23"/>
      <c r="Y1100" s="23"/>
    </row>
    <row r="1101" spans="1:25" x14ac:dyDescent="0.2">
      <c r="M1101" s="27"/>
      <c r="Q1101" s="23"/>
      <c r="R1101" s="23"/>
      <c r="S1101" s="23"/>
      <c r="T1101" s="23"/>
      <c r="U1101" s="23"/>
      <c r="V1101" s="23"/>
      <c r="W1101" s="23"/>
      <c r="X1101" s="23"/>
      <c r="Y1101" s="23"/>
    </row>
    <row r="1102" spans="1:25" x14ac:dyDescent="0.2">
      <c r="A1102" s="68" t="str">
        <f>[94]Base_01!$C$20</f>
        <v>…...............         …...............</v>
      </c>
      <c r="B1102" s="68"/>
      <c r="C1102" s="68"/>
      <c r="D1102" s="68"/>
      <c r="E1102" s="68"/>
      <c r="F1102" s="68"/>
      <c r="L1102" s="68" t="str">
        <f>[94]Base_01!$C$17</f>
        <v>AfrIandi Yudhistira, S.T.</v>
      </c>
      <c r="M1102" s="68"/>
      <c r="N1102" s="68"/>
      <c r="O1102" s="68"/>
      <c r="P1102" s="68"/>
      <c r="Q1102" s="23"/>
      <c r="R1102" s="23"/>
      <c r="S1102" s="23"/>
      <c r="T1102" s="23"/>
      <c r="U1102" s="23"/>
      <c r="V1102" s="23"/>
      <c r="W1102" s="23"/>
      <c r="X1102" s="23"/>
      <c r="Y1102" s="23"/>
    </row>
    <row r="1103" spans="1:25" x14ac:dyDescent="0.2">
      <c r="A1103" s="86" t="s">
        <v>149</v>
      </c>
      <c r="B1103" s="86"/>
      <c r="C1103" s="86"/>
      <c r="D1103" s="86"/>
      <c r="E1103" s="86"/>
      <c r="F1103" s="86"/>
      <c r="G1103" s="86"/>
      <c r="H1103" s="86"/>
      <c r="I1103" s="86"/>
      <c r="J1103" s="86"/>
      <c r="K1103" s="86"/>
      <c r="L1103" s="86"/>
      <c r="M1103" s="86"/>
      <c r="N1103" s="86"/>
      <c r="O1103" s="86"/>
      <c r="P1103" s="86"/>
      <c r="Q1103" s="23">
        <f>Q1045+1</f>
        <v>20</v>
      </c>
      <c r="R1103" s="23"/>
      <c r="S1103" s="23"/>
      <c r="T1103" s="23"/>
      <c r="U1103" s="23"/>
      <c r="V1103" s="23"/>
      <c r="W1103" s="23"/>
      <c r="X1103" s="23"/>
      <c r="Y1103" s="23"/>
    </row>
    <row r="1104" spans="1:25" x14ac:dyDescent="0.2">
      <c r="A1104" s="71" t="s">
        <v>148</v>
      </c>
      <c r="B1104" s="71"/>
      <c r="C1104" s="71"/>
      <c r="D1104" s="71"/>
      <c r="E1104" s="71"/>
      <c r="F1104" s="71"/>
      <c r="G1104" s="71"/>
      <c r="H1104" s="71"/>
      <c r="I1104" s="71"/>
      <c r="J1104" s="71"/>
      <c r="K1104" s="71"/>
      <c r="L1104" s="71"/>
      <c r="M1104" s="71"/>
      <c r="N1104" s="71"/>
      <c r="O1104" s="71"/>
      <c r="P1104" s="71"/>
      <c r="Q1104" s="23"/>
      <c r="R1104" s="23"/>
      <c r="S1104" s="23"/>
      <c r="T1104" s="23"/>
      <c r="U1104" s="23"/>
      <c r="V1104" s="23"/>
      <c r="W1104" s="23"/>
      <c r="X1104" s="23"/>
      <c r="Y1104" s="23"/>
    </row>
    <row r="1105" spans="1:25" x14ac:dyDescent="0.2">
      <c r="A1105" s="25"/>
      <c r="B1105" s="25"/>
      <c r="C1105" s="25"/>
      <c r="D1105" s="25"/>
      <c r="E1105" s="25"/>
      <c r="F1105" s="25"/>
      <c r="G1105" s="25"/>
      <c r="H1105" s="25"/>
      <c r="I1105" s="23"/>
      <c r="J1105" s="24"/>
      <c r="K1105" s="24"/>
      <c r="L1105" s="24"/>
      <c r="M1105" s="24"/>
      <c r="N1105" s="24"/>
      <c r="O1105" s="24"/>
      <c r="P1105" s="24"/>
      <c r="Q1105" s="23"/>
      <c r="R1105" s="23"/>
      <c r="S1105" s="23"/>
      <c r="T1105" s="23"/>
      <c r="U1105" s="23"/>
      <c r="V1105" s="23"/>
      <c r="W1105" s="23"/>
      <c r="X1105" s="23"/>
      <c r="Y1105" s="23"/>
    </row>
    <row r="1106" spans="1:25" x14ac:dyDescent="0.2">
      <c r="A1106" s="73" t="s">
        <v>147</v>
      </c>
      <c r="B1106" s="73"/>
      <c r="C1106" s="73"/>
      <c r="D1106" s="73"/>
      <c r="E1106" s="35" t="str">
        <f>VLOOKUP(Q1103,[94]Base_02!$A$5:$AD$24,2,0)</f>
        <v>000020</v>
      </c>
      <c r="F1106" s="23"/>
      <c r="G1106" s="23"/>
      <c r="H1106" s="24"/>
      <c r="I1106" s="23"/>
      <c r="J1106" s="24"/>
      <c r="K1106" s="24"/>
      <c r="L1106" s="24"/>
      <c r="M1106" s="24"/>
      <c r="N1106" s="24"/>
      <c r="O1106" s="24"/>
      <c r="P1106" s="24"/>
      <c r="Q1106" s="23"/>
      <c r="R1106" s="23"/>
      <c r="S1106" s="23"/>
      <c r="T1106" s="23"/>
      <c r="U1106" s="23"/>
      <c r="V1106" s="23"/>
      <c r="W1106" s="23"/>
      <c r="X1106" s="23"/>
      <c r="Y1106" s="23"/>
    </row>
    <row r="1107" spans="1:25" x14ac:dyDescent="0.2">
      <c r="A1107" s="73" t="s">
        <v>68</v>
      </c>
      <c r="B1107" s="73"/>
      <c r="C1107" s="73"/>
      <c r="D1107" s="73"/>
      <c r="E1107" s="35">
        <f>VLOOKUP(Q1103,[94]Base_02!$A$5:$AD$24,14,0)</f>
        <v>0</v>
      </c>
      <c r="F1107" s="23"/>
      <c r="G1107" s="23"/>
      <c r="H1107" s="24"/>
      <c r="I1107" s="23"/>
      <c r="J1107" s="24"/>
      <c r="K1107" s="24"/>
      <c r="L1107" s="24"/>
      <c r="M1107" s="24"/>
      <c r="N1107" s="24"/>
      <c r="O1107" s="24"/>
      <c r="P1107" s="24"/>
      <c r="Q1107" s="23"/>
      <c r="R1107" s="23"/>
      <c r="S1107" s="23"/>
      <c r="T1107" s="23"/>
      <c r="U1107" s="23"/>
      <c r="V1107" s="23"/>
      <c r="W1107" s="23"/>
      <c r="X1107" s="23"/>
      <c r="Y1107" s="23"/>
    </row>
    <row r="1108" spans="1:25" x14ac:dyDescent="0.2">
      <c r="A1108" s="73" t="s">
        <v>150</v>
      </c>
      <c r="B1108" s="73"/>
      <c r="C1108" s="73"/>
      <c r="D1108" s="73"/>
      <c r="E1108" s="35" t="str">
        <f>VLOOKUP(Q1103,[94]Base_02!$A$5:$AD$24,3,0)</f>
        <v>Nama PB 20</v>
      </c>
      <c r="F1108" s="23"/>
      <c r="G1108" s="23"/>
      <c r="H1108" s="24"/>
      <c r="I1108" s="23"/>
      <c r="J1108" s="24"/>
      <c r="K1108" s="24"/>
      <c r="L1108" s="24"/>
      <c r="M1108" s="24"/>
      <c r="N1108" s="24"/>
      <c r="O1108" s="24"/>
      <c r="P1108" s="24"/>
      <c r="Q1108" s="23"/>
      <c r="R1108" s="23"/>
      <c r="S1108" s="23"/>
      <c r="T1108" s="23"/>
      <c r="U1108" s="23"/>
      <c r="V1108" s="23"/>
      <c r="W1108" s="23"/>
      <c r="X1108" s="23"/>
      <c r="Y1108" s="23"/>
    </row>
    <row r="1109" spans="1:25" x14ac:dyDescent="0.2">
      <c r="A1109" s="73" t="s">
        <v>18</v>
      </c>
      <c r="B1109" s="73"/>
      <c r="C1109" s="73"/>
      <c r="D1109" s="73"/>
      <c r="E1109" s="35" t="str">
        <f>VLOOKUP(Q1103,[94]Base_02!$A$5:$Z$24,11,FALSE)&amp;", RT "&amp;VLOOKUP(Q1103,[94]Base_02!$A$5:$Z$24,12,FALSE)&amp;", RW "&amp;VLOOKUP(Q1103,[94]Base_02!$A$5:$Z$24,13,FALSE)</f>
        <v>Jalan Kanal Victory, RT 1, RW 2</v>
      </c>
      <c r="F1109" s="23"/>
      <c r="G1109" s="23"/>
      <c r="H1109" s="35"/>
      <c r="I1109" s="23"/>
      <c r="J1109" s="24"/>
      <c r="K1109" s="24"/>
      <c r="L1109" s="24"/>
      <c r="M1109" s="24"/>
      <c r="N1109" s="24"/>
      <c r="O1109" s="24"/>
      <c r="P1109" s="24"/>
      <c r="Q1109" s="23"/>
      <c r="R1109" s="23"/>
      <c r="S1109" s="23"/>
      <c r="T1109" s="23"/>
      <c r="U1109" s="23"/>
      <c r="V1109" s="23"/>
      <c r="W1109" s="23"/>
      <c r="X1109" s="23"/>
      <c r="Y1109" s="23"/>
    </row>
    <row r="1110" spans="1:25" x14ac:dyDescent="0.2">
      <c r="A1110" s="73" t="str">
        <f>[94]Base_01!$B$2</f>
        <v>Kelurahan</v>
      </c>
      <c r="B1110" s="73"/>
      <c r="C1110" s="73"/>
      <c r="D1110" s="73"/>
      <c r="E1110" s="35" t="str">
        <f>[94]Base_01!$C$2</f>
        <v>Klasabi</v>
      </c>
      <c r="F1110" s="23"/>
      <c r="G1110" s="23"/>
      <c r="H1110" s="24"/>
      <c r="I1110" s="23"/>
      <c r="J1110" s="24"/>
      <c r="K1110" s="24"/>
      <c r="L1110" s="24"/>
      <c r="M1110" s="24"/>
      <c r="N1110" s="24"/>
      <c r="O1110" s="24"/>
      <c r="P1110" s="24"/>
      <c r="Q1110" s="23" t="s">
        <v>146</v>
      </c>
      <c r="R1110" s="23"/>
      <c r="S1110" s="23"/>
      <c r="T1110" s="23"/>
      <c r="U1110" s="23"/>
      <c r="V1110" s="23"/>
      <c r="W1110" s="23"/>
      <c r="X1110" s="23"/>
      <c r="Y1110" s="23"/>
    </row>
    <row r="1111" spans="1:25" x14ac:dyDescent="0.2">
      <c r="A1111" s="73" t="s">
        <v>19</v>
      </c>
      <c r="B1111" s="73"/>
      <c r="C1111" s="73"/>
      <c r="D1111" s="73"/>
      <c r="E1111" s="35" t="str">
        <f>[94]Base_01!$C$3</f>
        <v>Sorong Manoi</v>
      </c>
      <c r="F1111" s="23"/>
      <c r="G1111" s="23"/>
      <c r="H1111" s="24"/>
      <c r="I1111" s="23"/>
      <c r="J1111" s="24"/>
      <c r="K1111" s="24"/>
      <c r="L1111" s="24"/>
      <c r="M1111" s="24"/>
      <c r="N1111" s="24"/>
      <c r="O1111" s="24"/>
      <c r="P1111" s="24"/>
      <c r="Q1111" s="23" t="s">
        <v>145</v>
      </c>
      <c r="R1111" s="23"/>
      <c r="S1111" s="23"/>
      <c r="T1111" s="23"/>
      <c r="U1111" s="23"/>
      <c r="V1111" s="23"/>
      <c r="W1111" s="23"/>
      <c r="X1111" s="23"/>
      <c r="Y1111" s="23"/>
    </row>
    <row r="1112" spans="1:25" x14ac:dyDescent="0.2">
      <c r="A1112" s="73" t="str">
        <f>[94]Base_01!$B$4</f>
        <v>Kota</v>
      </c>
      <c r="B1112" s="73"/>
      <c r="C1112" s="73"/>
      <c r="D1112" s="73"/>
      <c r="E1112" s="35" t="str">
        <f>[94]Base_01!$C$4</f>
        <v>Sorong</v>
      </c>
      <c r="F1112" s="23"/>
      <c r="G1112" s="23"/>
      <c r="H1112" s="24"/>
      <c r="I1112" s="23"/>
      <c r="J1112" s="24"/>
      <c r="K1112" s="24"/>
      <c r="L1112" s="24"/>
      <c r="M1112" s="24"/>
      <c r="N1112" s="24"/>
      <c r="O1112" s="24"/>
      <c r="P1112" s="24"/>
      <c r="Q1112" s="23" t="s">
        <v>144</v>
      </c>
      <c r="R1112" s="23"/>
      <c r="S1112" s="23"/>
      <c r="T1112" s="23"/>
      <c r="U1112" s="23"/>
      <c r="V1112" s="23"/>
      <c r="W1112" s="23"/>
      <c r="X1112" s="23"/>
      <c r="Y1112" s="23"/>
    </row>
    <row r="1113" spans="1:25" x14ac:dyDescent="0.2">
      <c r="A1113" s="73" t="str">
        <f>[94]Base_01!$B$5</f>
        <v>Provinsi</v>
      </c>
      <c r="B1113" s="73"/>
      <c r="C1113" s="73"/>
      <c r="D1113" s="73"/>
      <c r="E1113" s="23" t="str">
        <f>[94]Base_01!$C$5</f>
        <v>Papua Barat Daya</v>
      </c>
      <c r="F1113" s="23"/>
      <c r="G1113" s="24"/>
      <c r="H1113" s="24"/>
      <c r="I1113" s="23"/>
      <c r="J1113" s="24"/>
      <c r="K1113" s="24"/>
      <c r="L1113" s="24"/>
      <c r="M1113" s="24"/>
      <c r="N1113" s="24"/>
      <c r="O1113" s="24"/>
      <c r="P1113" s="24"/>
      <c r="Q1113" s="23" t="s">
        <v>143</v>
      </c>
      <c r="R1113" s="23"/>
      <c r="S1113" s="23"/>
      <c r="T1113" s="23"/>
      <c r="U1113" s="23"/>
      <c r="V1113" s="23"/>
      <c r="W1113" s="23"/>
      <c r="X1113" s="23"/>
      <c r="Y1113" s="23"/>
    </row>
    <row r="1114" spans="1:25" x14ac:dyDescent="0.2">
      <c r="A1114" s="23"/>
      <c r="B1114" s="23"/>
      <c r="C1114" s="23"/>
      <c r="D1114" s="23"/>
      <c r="E1114" s="23"/>
      <c r="F1114" s="23"/>
      <c r="G1114" s="23"/>
      <c r="H1114" s="23"/>
      <c r="I1114" s="24"/>
      <c r="J1114" s="24"/>
      <c r="K1114" s="24"/>
      <c r="L1114" s="24"/>
      <c r="M1114" s="24"/>
      <c r="N1114" s="24"/>
      <c r="O1114" s="24"/>
      <c r="P1114" s="24"/>
      <c r="Q1114" s="23"/>
      <c r="R1114" s="23"/>
      <c r="S1114" s="23"/>
      <c r="T1114" s="23"/>
      <c r="U1114" s="23"/>
      <c r="V1114" s="23"/>
      <c r="W1114" s="23"/>
      <c r="X1114" s="23"/>
      <c r="Y1114" s="23"/>
    </row>
    <row r="1115" spans="1:25" x14ac:dyDescent="0.2">
      <c r="A1115" s="33"/>
      <c r="B1115" s="33"/>
      <c r="C1115" s="33"/>
      <c r="D1115" s="33"/>
      <c r="E1115" s="33"/>
      <c r="F1115" s="33"/>
      <c r="G1115" s="33"/>
      <c r="H1115" s="33"/>
      <c r="I1115" s="33"/>
      <c r="J1115" s="33"/>
      <c r="K1115" s="33"/>
      <c r="L1115" s="33"/>
      <c r="M1115" s="34"/>
      <c r="N1115" s="33"/>
      <c r="O1115" s="33"/>
      <c r="P1115" s="33"/>
      <c r="Q1115" s="23"/>
      <c r="R1115" s="23"/>
      <c r="S1115" s="23"/>
      <c r="T1115" s="23"/>
      <c r="U1115" s="23"/>
      <c r="V1115" s="23"/>
      <c r="W1115" s="23"/>
      <c r="X1115" s="23"/>
      <c r="Y1115" s="23"/>
    </row>
    <row r="1116" spans="1:25" x14ac:dyDescent="0.2">
      <c r="A1116" s="80" t="s">
        <v>142</v>
      </c>
      <c r="B1116" s="81"/>
      <c r="C1116" s="81"/>
      <c r="D1116" s="81"/>
      <c r="E1116" s="81"/>
      <c r="F1116" s="81"/>
      <c r="G1116" s="81"/>
      <c r="H1116" s="81"/>
      <c r="I1116" s="80" t="s">
        <v>151</v>
      </c>
      <c r="J1116" s="81"/>
      <c r="K1116" s="81"/>
      <c r="L1116" s="81"/>
      <c r="M1116" s="81"/>
      <c r="N1116" s="81"/>
      <c r="O1116" s="81"/>
      <c r="P1116" s="82"/>
      <c r="Q1116" s="23"/>
      <c r="R1116" s="23"/>
      <c r="S1116" s="23"/>
      <c r="T1116" s="23"/>
      <c r="U1116" s="23"/>
      <c r="V1116" s="21"/>
      <c r="W1116" s="21"/>
      <c r="X1116" s="21"/>
      <c r="Y1116" s="21"/>
    </row>
    <row r="1117" spans="1:25" x14ac:dyDescent="0.2">
      <c r="A1117" s="48"/>
      <c r="B1117" s="49"/>
      <c r="C1117" s="49"/>
      <c r="D1117" s="50"/>
      <c r="E1117" s="50"/>
      <c r="F1117" s="49"/>
      <c r="G1117" s="49"/>
      <c r="H1117" s="49"/>
      <c r="I1117" s="48"/>
      <c r="J1117" s="49"/>
      <c r="K1117" s="49"/>
      <c r="L1117" s="50"/>
      <c r="M1117" s="50"/>
      <c r="N1117" s="49"/>
      <c r="O1117" s="49"/>
      <c r="P1117" s="51"/>
      <c r="Q1117" s="23"/>
      <c r="R1117" s="23"/>
      <c r="S1117" s="23"/>
      <c r="T1117" s="23"/>
      <c r="U1117" s="23"/>
      <c r="V1117" s="21"/>
      <c r="W1117" s="21"/>
      <c r="X1117" s="21"/>
      <c r="Y1117" s="21"/>
    </row>
    <row r="1118" spans="1:25" ht="16" x14ac:dyDescent="0.2">
      <c r="A1118" s="36" t="s">
        <v>141</v>
      </c>
      <c r="B1118" s="23"/>
      <c r="C1118" s="26" t="s">
        <v>112</v>
      </c>
      <c r="D1118" s="83">
        <f>VLOOKUP(Q1103,[95]Base_03!$A$5:$AS$24,5,0)</f>
        <v>36</v>
      </c>
      <c r="E1118" s="84"/>
      <c r="F1118" s="23" t="s">
        <v>140</v>
      </c>
      <c r="G1118" s="23"/>
      <c r="H1118" s="23"/>
      <c r="I1118" s="36" t="s">
        <v>141</v>
      </c>
      <c r="J1118" s="26"/>
      <c r="K1118" s="26" t="s">
        <v>119</v>
      </c>
      <c r="L1118" s="85">
        <f>VLOOKUP(Q1103,[95]Base_04!$A$5:$AS$24,5,0)</f>
        <v>49</v>
      </c>
      <c r="M1118" s="85"/>
      <c r="N1118" s="30" t="s">
        <v>140</v>
      </c>
      <c r="O1118" s="23"/>
      <c r="P1118" s="37"/>
      <c r="Q1118" s="23"/>
      <c r="R1118" s="23"/>
      <c r="S1118" s="23"/>
      <c r="T1118" s="23"/>
      <c r="U1118" s="23"/>
      <c r="V1118" s="21"/>
      <c r="W1118" s="21"/>
      <c r="X1118" s="21"/>
      <c r="Y1118" s="21"/>
    </row>
    <row r="1119" spans="1:25" ht="15" customHeight="1" x14ac:dyDescent="0.2">
      <c r="A1119" s="38" t="s">
        <v>139</v>
      </c>
      <c r="B1119" s="23"/>
      <c r="C1119" s="26"/>
      <c r="D1119" s="79" t="s">
        <v>131</v>
      </c>
      <c r="E1119" s="79"/>
      <c r="F1119" s="79" t="s">
        <v>130</v>
      </c>
      <c r="G1119" s="79"/>
      <c r="H1119" s="23"/>
      <c r="I1119" s="38" t="s">
        <v>139</v>
      </c>
      <c r="J1119" s="23"/>
      <c r="K1119" s="26"/>
      <c r="L1119" s="79" t="s">
        <v>131</v>
      </c>
      <c r="M1119" s="79"/>
      <c r="N1119" s="79" t="s">
        <v>130</v>
      </c>
      <c r="O1119" s="79"/>
      <c r="P1119" s="52"/>
      <c r="Q1119" s="23"/>
      <c r="R1119" s="23"/>
      <c r="S1119" s="23"/>
      <c r="T1119" s="23"/>
      <c r="U1119" s="23"/>
      <c r="V1119" s="21"/>
      <c r="W1119" s="21"/>
      <c r="X1119" s="21"/>
      <c r="Y1119" s="21"/>
    </row>
    <row r="1120" spans="1:25" x14ac:dyDescent="0.2">
      <c r="A1120" s="39"/>
      <c r="B1120" s="23"/>
      <c r="C1120" s="26"/>
      <c r="D1120" s="79"/>
      <c r="E1120" s="79"/>
      <c r="F1120" s="79"/>
      <c r="G1120" s="79"/>
      <c r="H1120" s="23"/>
      <c r="I1120" s="39"/>
      <c r="J1120" s="23"/>
      <c r="K1120" s="26"/>
      <c r="L1120" s="79"/>
      <c r="M1120" s="79"/>
      <c r="N1120" s="79"/>
      <c r="O1120" s="79"/>
      <c r="P1120" s="52"/>
      <c r="Q1120" s="23"/>
      <c r="R1120" s="23"/>
      <c r="S1120" s="23"/>
      <c r="T1120" s="23"/>
      <c r="U1120" s="23"/>
      <c r="V1120" s="21"/>
      <c r="W1120" s="21"/>
      <c r="X1120" s="21"/>
      <c r="Y1120" s="21"/>
    </row>
    <row r="1121" spans="1:25" x14ac:dyDescent="0.2">
      <c r="A1121" s="72" t="s">
        <v>138</v>
      </c>
      <c r="B1121" s="73"/>
      <c r="C1121" s="73" t="s">
        <v>112</v>
      </c>
      <c r="D1121" s="78" t="str">
        <f>VLOOKUP(Q1103,[95]Base_03!$A$5:$AS$24,6,0)</f>
        <v>BT 20</v>
      </c>
      <c r="E1121" s="78"/>
      <c r="F1121" s="77">
        <f>VLOOKUP(Q1103,[95]Base_03!$A$5:$AS$24,12,0)</f>
        <v>0</v>
      </c>
      <c r="G1121" s="77"/>
      <c r="H1121" s="23" t="s">
        <v>134</v>
      </c>
      <c r="I1121" s="72" t="s">
        <v>138</v>
      </c>
      <c r="J1121" s="73"/>
      <c r="K1121" s="73"/>
      <c r="L1121" s="78" t="str">
        <f>VLOOKUP(Q1103,[95]Base_04!$A$5:$AS$24,6,0)</f>
        <v>BT 20</v>
      </c>
      <c r="M1121" s="78"/>
      <c r="N1121" s="77">
        <f>VLOOKUP(Q1103,[95]Base_04!$A$5:$AS$24,12,0)</f>
        <v>0</v>
      </c>
      <c r="O1121" s="77"/>
      <c r="P1121" s="37" t="s">
        <v>134</v>
      </c>
      <c r="Q1121" s="23" t="s">
        <v>123</v>
      </c>
      <c r="R1121" s="23"/>
      <c r="S1121" s="23"/>
      <c r="T1121" s="23"/>
      <c r="U1121" s="23"/>
      <c r="V1121" s="21"/>
      <c r="W1121" s="21"/>
      <c r="X1121" s="21"/>
      <c r="Y1121" s="21"/>
    </row>
    <row r="1122" spans="1:25" x14ac:dyDescent="0.2">
      <c r="A1122" s="72" t="s">
        <v>137</v>
      </c>
      <c r="B1122" s="73"/>
      <c r="C1122" s="73" t="s">
        <v>112</v>
      </c>
      <c r="D1122" s="78" t="str">
        <f>VLOOKUP(Q1103,[95]Base_03!$A$5:$AS$24,13,0)</f>
        <v>S 20</v>
      </c>
      <c r="E1122" s="78"/>
      <c r="F1122" s="77">
        <f>VLOOKUP(Q1103,[95]Base_03!$A$5:$AS$24,15,0)</f>
        <v>0</v>
      </c>
      <c r="G1122" s="77"/>
      <c r="H1122" s="23" t="s">
        <v>134</v>
      </c>
      <c r="I1122" s="72" t="s">
        <v>137</v>
      </c>
      <c r="J1122" s="73"/>
      <c r="K1122" s="73"/>
      <c r="L1122" s="78" t="str">
        <f>VLOOKUP(Q1103,[95]Base_04!$A$5:$AS$24,13,0)</f>
        <v>S 20</v>
      </c>
      <c r="M1122" s="78"/>
      <c r="N1122" s="77">
        <f>VLOOKUP(Q1103,[95]Base_04!$A$5:$AS$24,15,0)</f>
        <v>0</v>
      </c>
      <c r="O1122" s="77"/>
      <c r="P1122" s="37" t="s">
        <v>134</v>
      </c>
      <c r="Q1122" s="23" t="s">
        <v>123</v>
      </c>
      <c r="R1122" s="23"/>
      <c r="S1122" s="23"/>
      <c r="T1122" s="23"/>
      <c r="U1122" s="23"/>
      <c r="V1122" s="21"/>
      <c r="W1122" s="21"/>
      <c r="X1122" s="21"/>
      <c r="Y1122" s="21"/>
    </row>
    <row r="1123" spans="1:25" x14ac:dyDescent="0.2">
      <c r="A1123" s="72" t="s">
        <v>136</v>
      </c>
      <c r="B1123" s="73"/>
      <c r="C1123" s="73" t="s">
        <v>112</v>
      </c>
      <c r="D1123" s="78" t="str">
        <f>VLOOKUP(Q1103,[95]Base_03!$A$5:$AS$24,16,0)</f>
        <v>B 20</v>
      </c>
      <c r="E1123" s="78"/>
      <c r="F1123" s="77">
        <f>VLOOKUP(Q1103,[95]Base_03!$A$5:$AS$24,22,0)</f>
        <v>0</v>
      </c>
      <c r="G1123" s="77"/>
      <c r="H1123" s="23" t="s">
        <v>134</v>
      </c>
      <c r="I1123" s="72" t="s">
        <v>136</v>
      </c>
      <c r="J1123" s="73"/>
      <c r="K1123" s="73"/>
      <c r="L1123" s="78" t="str">
        <f>VLOOKUP(Q1103,[95]Base_04!$A$5:$AS$24,16,0)</f>
        <v>B 20</v>
      </c>
      <c r="M1123" s="78"/>
      <c r="N1123" s="77">
        <f>VLOOKUP(Q1103,[95]Base_04!$A$5:$AS$24,22,0)</f>
        <v>0</v>
      </c>
      <c r="O1123" s="77"/>
      <c r="P1123" s="37" t="s">
        <v>134</v>
      </c>
      <c r="Q1123" s="23" t="s">
        <v>123</v>
      </c>
      <c r="R1123" s="23"/>
      <c r="S1123" s="23"/>
      <c r="T1123" s="23"/>
      <c r="U1123" s="23"/>
      <c r="V1123" s="21"/>
      <c r="W1123" s="21"/>
      <c r="X1123" s="21"/>
      <c r="Y1123" s="21"/>
    </row>
    <row r="1124" spans="1:25" x14ac:dyDescent="0.2">
      <c r="A1124" s="72" t="s">
        <v>135</v>
      </c>
      <c r="B1124" s="73"/>
      <c r="C1124" s="73" t="s">
        <v>112</v>
      </c>
      <c r="D1124" s="78" t="str">
        <f>VLOOKUP(Q1103,[95]Base_03!$A$5:$AS$24,23,0)</f>
        <v>K 20</v>
      </c>
      <c r="E1124" s="78"/>
      <c r="F1124" s="77">
        <f>VLOOKUP(Q1103,[95]Base_03!$A$5:$AS$24,24,0)</f>
        <v>0</v>
      </c>
      <c r="G1124" s="77"/>
      <c r="H1124" s="23" t="s">
        <v>134</v>
      </c>
      <c r="I1124" s="72" t="s">
        <v>135</v>
      </c>
      <c r="J1124" s="73"/>
      <c r="K1124" s="73"/>
      <c r="L1124" s="78" t="str">
        <f>VLOOKUP(Q1103,[95]Base_04!$A$5:$AS$24,23,0)</f>
        <v>K 20</v>
      </c>
      <c r="M1124" s="78"/>
      <c r="N1124" s="77">
        <f>VLOOKUP(Q1103,[95]Base_04!$A$5:$AS$24,24,0)</f>
        <v>0</v>
      </c>
      <c r="O1124" s="77"/>
      <c r="P1124" s="37" t="s">
        <v>134</v>
      </c>
      <c r="Q1124" s="23" t="s">
        <v>123</v>
      </c>
      <c r="R1124" s="23"/>
      <c r="S1124" s="23"/>
      <c r="T1124" s="23"/>
      <c r="U1124" s="23"/>
      <c r="V1124" s="21"/>
      <c r="W1124" s="21"/>
      <c r="X1124" s="21"/>
      <c r="Y1124" s="21"/>
    </row>
    <row r="1125" spans="1:25" x14ac:dyDescent="0.2">
      <c r="A1125" s="72" t="s">
        <v>133</v>
      </c>
      <c r="B1125" s="73"/>
      <c r="C1125" s="73" t="s">
        <v>112</v>
      </c>
      <c r="D1125" s="78" t="str">
        <f>VLOOKUP(Q1103,[95]Base_03!$A$5:$AS$24,25,0)</f>
        <v>K 20</v>
      </c>
      <c r="E1125" s="78"/>
      <c r="F1125" s="77">
        <f>VLOOKUP(Q1103,[95]Base_03!$A$5:$AS$24,26,0)</f>
        <v>73.900834456272094</v>
      </c>
      <c r="G1125" s="77"/>
      <c r="H1125" s="23" t="s">
        <v>124</v>
      </c>
      <c r="I1125" s="72" t="s">
        <v>133</v>
      </c>
      <c r="J1125" s="73"/>
      <c r="K1125" s="73"/>
      <c r="L1125" s="78" t="str">
        <f>VLOOKUP(Q1103,[95]Base_04!$A$5:$AS$24,25,0)</f>
        <v>K 20</v>
      </c>
      <c r="M1125" s="78"/>
      <c r="N1125" s="77">
        <f>VLOOKUP(Q1103,[95]Base_04!$A$5:$AS$24,26,0)</f>
        <v>93.530743608719362</v>
      </c>
      <c r="O1125" s="77"/>
      <c r="P1125" s="37" t="s">
        <v>124</v>
      </c>
      <c r="Q1125" s="23" t="s">
        <v>123</v>
      </c>
      <c r="R1125" s="23"/>
      <c r="S1125" s="23"/>
      <c r="T1125" s="23"/>
      <c r="U1125" s="23"/>
      <c r="V1125" s="21"/>
      <c r="W1125" s="21"/>
      <c r="X1125" s="21"/>
      <c r="Y1125" s="21"/>
    </row>
    <row r="1126" spans="1:25" x14ac:dyDescent="0.2">
      <c r="A1126" s="40"/>
      <c r="B1126" s="31"/>
      <c r="C1126" s="31"/>
      <c r="D1126" s="41"/>
      <c r="E1126" s="41"/>
      <c r="F1126" s="30"/>
      <c r="G1126" s="23"/>
      <c r="H1126" s="23"/>
      <c r="I1126" s="40"/>
      <c r="J1126" s="31"/>
      <c r="K1126" s="31"/>
      <c r="L1126" s="41"/>
      <c r="M1126" s="41"/>
      <c r="N1126" s="30"/>
      <c r="O1126" s="23"/>
      <c r="P1126" s="37"/>
      <c r="Q1126" s="23"/>
      <c r="R1126" s="23"/>
      <c r="S1126" s="23"/>
      <c r="T1126" s="23"/>
      <c r="U1126" s="23"/>
      <c r="V1126" s="21"/>
      <c r="W1126" s="21"/>
      <c r="X1126" s="21"/>
      <c r="Y1126" s="21"/>
    </row>
    <row r="1127" spans="1:25" x14ac:dyDescent="0.2">
      <c r="A1127" s="38" t="s">
        <v>132</v>
      </c>
      <c r="B1127" s="23"/>
      <c r="C1127" s="26"/>
      <c r="D1127" s="79" t="s">
        <v>131</v>
      </c>
      <c r="E1127" s="79"/>
      <c r="F1127" s="79" t="s">
        <v>130</v>
      </c>
      <c r="G1127" s="79"/>
      <c r="H1127" s="23"/>
      <c r="I1127" s="38" t="s">
        <v>132</v>
      </c>
      <c r="J1127" s="23"/>
      <c r="K1127" s="26"/>
      <c r="L1127" s="79" t="s">
        <v>131</v>
      </c>
      <c r="M1127" s="79"/>
      <c r="N1127" s="79" t="s">
        <v>130</v>
      </c>
      <c r="O1127" s="79"/>
      <c r="P1127" s="52"/>
      <c r="Q1127" s="23"/>
      <c r="R1127" s="23"/>
      <c r="S1127" s="23"/>
      <c r="T1127" s="23"/>
      <c r="U1127" s="23"/>
      <c r="V1127" s="21"/>
      <c r="W1127" s="21"/>
      <c r="X1127" s="21"/>
      <c r="Y1127" s="21"/>
    </row>
    <row r="1128" spans="1:25" x14ac:dyDescent="0.2">
      <c r="A1128" s="39"/>
      <c r="B1128" s="23"/>
      <c r="C1128" s="26"/>
      <c r="D1128" s="79"/>
      <c r="E1128" s="79"/>
      <c r="F1128" s="79"/>
      <c r="G1128" s="79"/>
      <c r="H1128" s="23"/>
      <c r="I1128" s="39"/>
      <c r="J1128" s="23"/>
      <c r="K1128" s="26"/>
      <c r="L1128" s="79"/>
      <c r="M1128" s="79"/>
      <c r="N1128" s="79"/>
      <c r="O1128" s="79"/>
      <c r="P1128" s="52"/>
      <c r="Q1128" s="23"/>
      <c r="R1128" s="23"/>
      <c r="S1128" s="23"/>
      <c r="T1128" s="23"/>
      <c r="U1128" s="23"/>
      <c r="V1128" s="21"/>
      <c r="W1128" s="21"/>
      <c r="X1128" s="21"/>
      <c r="Y1128" s="21"/>
    </row>
    <row r="1129" spans="1:25" x14ac:dyDescent="0.2">
      <c r="A1129" s="72" t="s">
        <v>129</v>
      </c>
      <c r="B1129" s="73"/>
      <c r="C1129" s="73" t="s">
        <v>119</v>
      </c>
      <c r="D1129" s="78" t="str">
        <f>VLOOKUP(Q1103,[95]Base_03!$A$5:$AS$24,28,0)</f>
        <v xml:space="preserve"> G 20</v>
      </c>
      <c r="E1129" s="78"/>
      <c r="F1129" s="77">
        <f>VLOOKUP(Q1103,[95]Base_03!$A$5:$AS$24,30,0)</f>
        <v>55</v>
      </c>
      <c r="G1129" s="77"/>
      <c r="H1129" s="23" t="s">
        <v>124</v>
      </c>
      <c r="I1129" s="72" t="s">
        <v>129</v>
      </c>
      <c r="J1129" s="73"/>
      <c r="K1129" s="73" t="s">
        <v>119</v>
      </c>
      <c r="L1129" s="78" t="str">
        <f>VLOOKUP(Q1103,[95]Base_04!$A$5:$AS$24,28,0)</f>
        <v xml:space="preserve"> G 20</v>
      </c>
      <c r="M1129" s="78"/>
      <c r="N1129" s="77">
        <f>VLOOKUP(Q1103,[95]Base_04!$A$5:$AS$24,30,0)</f>
        <v>55</v>
      </c>
      <c r="O1129" s="77"/>
      <c r="P1129" s="37" t="s">
        <v>124</v>
      </c>
      <c r="Q1129" s="23" t="s">
        <v>123</v>
      </c>
      <c r="R1129" s="23"/>
      <c r="S1129" s="23"/>
      <c r="T1129" s="23"/>
      <c r="U1129" s="23"/>
      <c r="V1129" s="21"/>
      <c r="W1129" s="21"/>
      <c r="X1129" s="21"/>
      <c r="Y1129" s="21"/>
    </row>
    <row r="1130" spans="1:25" x14ac:dyDescent="0.2">
      <c r="A1130" s="72" t="s">
        <v>128</v>
      </c>
      <c r="B1130" s="73"/>
      <c r="C1130" s="73" t="s">
        <v>119</v>
      </c>
      <c r="D1130" s="78" t="str">
        <f>VLOOKUP(Q1103,[95]Base_03!$A$5:$AS$24,31,0)</f>
        <v>H 20</v>
      </c>
      <c r="E1130" s="78"/>
      <c r="F1130" s="77">
        <f>VLOOKUP(Q1103,[95]Base_03!$A$5:$AS$24,34,0)</f>
        <v>-5.76</v>
      </c>
      <c r="G1130" s="77"/>
      <c r="H1130" s="23" t="s">
        <v>124</v>
      </c>
      <c r="I1130" s="72" t="s">
        <v>128</v>
      </c>
      <c r="J1130" s="73"/>
      <c r="K1130" s="73" t="s">
        <v>119</v>
      </c>
      <c r="L1130" s="78" t="str">
        <f>VLOOKUP(Q1103,[95]Base_04!$A$5:$AS$24,31,0)</f>
        <v>H 20</v>
      </c>
      <c r="M1130" s="78"/>
      <c r="N1130" s="77">
        <f>VLOOKUP(Q1103,[95]Base_04!$A$5:$AS$24,34,0)</f>
        <v>-5.76</v>
      </c>
      <c r="O1130" s="77"/>
      <c r="P1130" s="37" t="s">
        <v>124</v>
      </c>
      <c r="Q1130" s="23" t="s">
        <v>123</v>
      </c>
      <c r="R1130" s="23"/>
      <c r="S1130" s="23"/>
      <c r="T1130" s="23"/>
      <c r="U1130" s="23"/>
      <c r="V1130" s="21"/>
      <c r="W1130" s="21"/>
      <c r="X1130" s="21"/>
      <c r="Y1130" s="21"/>
    </row>
    <row r="1131" spans="1:25" x14ac:dyDescent="0.2">
      <c r="A1131" s="89" t="s">
        <v>127</v>
      </c>
      <c r="B1131" s="90"/>
      <c r="C1131" s="90" t="s">
        <v>119</v>
      </c>
      <c r="D1131" s="91" t="str">
        <f>VLOOKUP(Q1103,[95]Base_03!$A$5:$AS$24,35,0)</f>
        <v>Kayu</v>
      </c>
      <c r="E1131" s="91"/>
      <c r="F1131" s="92">
        <f>VLOOKUP(Q1103,[95]Base_03!$A$5:$AS$24,36,0)</f>
        <v>5.76</v>
      </c>
      <c r="G1131" s="92"/>
      <c r="H1131" s="23" t="s">
        <v>124</v>
      </c>
      <c r="I1131" s="89" t="s">
        <v>127</v>
      </c>
      <c r="J1131" s="90"/>
      <c r="K1131" s="90" t="s">
        <v>119</v>
      </c>
      <c r="L1131" s="91" t="str">
        <f>VLOOKUP(Q1103,[95]Base_04!$A$5:$AS$24,35,0)</f>
        <v>Kayu</v>
      </c>
      <c r="M1131" s="91"/>
      <c r="N1131" s="92">
        <f>VLOOKUP(Q1103,[95]Base_04!$A$5:$AS$24,36,0)</f>
        <v>5.76</v>
      </c>
      <c r="O1131" s="92"/>
      <c r="P1131" s="37" t="s">
        <v>124</v>
      </c>
      <c r="Q1131" s="23" t="s">
        <v>123</v>
      </c>
      <c r="R1131" s="23"/>
      <c r="S1131" s="23"/>
      <c r="T1131" s="23"/>
      <c r="U1131" s="23"/>
      <c r="V1131" s="21"/>
      <c r="W1131" s="21"/>
      <c r="X1131" s="21"/>
      <c r="Y1131" s="21"/>
    </row>
    <row r="1132" spans="1:25" x14ac:dyDescent="0.2">
      <c r="A1132" s="74" t="s">
        <v>126</v>
      </c>
      <c r="B1132" s="75"/>
      <c r="C1132" s="75"/>
      <c r="D1132" s="91"/>
      <c r="E1132" s="91"/>
      <c r="F1132" s="92"/>
      <c r="G1132" s="92"/>
      <c r="H1132" s="23"/>
      <c r="I1132" s="74" t="s">
        <v>126</v>
      </c>
      <c r="J1132" s="75"/>
      <c r="K1132" s="75"/>
      <c r="L1132" s="91"/>
      <c r="M1132" s="91"/>
      <c r="N1132" s="92"/>
      <c r="O1132" s="92"/>
      <c r="P1132" s="37"/>
      <c r="Q1132" s="23"/>
      <c r="R1132" s="23"/>
      <c r="S1132" s="23"/>
      <c r="T1132" s="23"/>
      <c r="U1132" s="23"/>
      <c r="V1132" s="21"/>
      <c r="W1132" s="21"/>
      <c r="X1132" s="21"/>
      <c r="Y1132" s="21"/>
    </row>
    <row r="1133" spans="1:25" x14ac:dyDescent="0.2">
      <c r="A1133" s="72" t="s">
        <v>125</v>
      </c>
      <c r="B1133" s="73"/>
      <c r="C1133" s="73" t="s">
        <v>119</v>
      </c>
      <c r="D1133" s="78" t="str">
        <f>VLOOKUP(Q1103,[95]Base_03!$A$5:$AS$24,39,0)</f>
        <v>R 20</v>
      </c>
      <c r="E1133" s="78"/>
      <c r="F1133" s="77">
        <f>VLOOKUP(Q1103,[95]Base_03!$A$5:$AS$24,40,0)</f>
        <v>36</v>
      </c>
      <c r="G1133" s="77"/>
      <c r="H1133" s="23" t="s">
        <v>124</v>
      </c>
      <c r="I1133" s="72" t="s">
        <v>125</v>
      </c>
      <c r="J1133" s="73"/>
      <c r="K1133" s="73" t="s">
        <v>119</v>
      </c>
      <c r="L1133" s="78" t="str">
        <f>VLOOKUP(Q1103,[95]Base_04!$A$5:$AS$24,39,0)</f>
        <v>R 20</v>
      </c>
      <c r="M1133" s="78"/>
      <c r="N1133" s="77">
        <f>VLOOKUP(Q1103,[95]Base_04!$A$5:$AS$24,40,0)</f>
        <v>49</v>
      </c>
      <c r="O1133" s="77"/>
      <c r="P1133" s="37" t="s">
        <v>124</v>
      </c>
      <c r="Q1133" s="23" t="s">
        <v>123</v>
      </c>
      <c r="R1133" s="23"/>
      <c r="S1133" s="23"/>
      <c r="T1133" s="23"/>
      <c r="U1133" s="23"/>
      <c r="V1133" s="21"/>
      <c r="W1133" s="21"/>
      <c r="X1133" s="21"/>
      <c r="Y1133" s="21"/>
    </row>
    <row r="1134" spans="1:25" x14ac:dyDescent="0.2">
      <c r="A1134" s="39"/>
      <c r="B1134" s="23"/>
      <c r="C1134" s="23"/>
      <c r="D1134" s="23"/>
      <c r="E1134" s="23"/>
      <c r="F1134" s="23"/>
      <c r="G1134" s="23"/>
      <c r="H1134" s="23"/>
      <c r="I1134" s="39"/>
      <c r="J1134" s="45"/>
      <c r="K1134" s="45"/>
      <c r="L1134" s="45"/>
      <c r="M1134" s="23"/>
      <c r="N1134" s="30"/>
      <c r="O1134" s="23"/>
      <c r="P1134" s="37"/>
      <c r="Q1134" s="23"/>
      <c r="R1134" s="23"/>
      <c r="S1134" s="23"/>
      <c r="T1134" s="23"/>
      <c r="U1134" s="23"/>
      <c r="V1134" s="21"/>
      <c r="W1134" s="21"/>
      <c r="X1134" s="21"/>
      <c r="Y1134" s="21"/>
    </row>
    <row r="1135" spans="1:25" x14ac:dyDescent="0.2">
      <c r="A1135" s="72" t="s">
        <v>122</v>
      </c>
      <c r="B1135" s="73"/>
      <c r="C1135" s="73" t="s">
        <v>112</v>
      </c>
      <c r="D1135" s="76">
        <f>VLOOKUP(Q1103,[95]Base_03!$A$5:$AS$24,42,0)</f>
        <v>6.666666666666667</v>
      </c>
      <c r="E1135" s="76"/>
      <c r="F1135" s="25" t="s">
        <v>118</v>
      </c>
      <c r="G1135" s="23"/>
      <c r="H1135" s="23"/>
      <c r="I1135" s="72" t="s">
        <v>122</v>
      </c>
      <c r="J1135" s="73"/>
      <c r="K1135" s="73" t="s">
        <v>112</v>
      </c>
      <c r="L1135" s="76">
        <f>VLOOKUP(Q1103,[95]Base_04!$A$5:$AS$24,42,0)</f>
        <v>4.8979591836734695</v>
      </c>
      <c r="M1135" s="76"/>
      <c r="N1135" s="46" t="s">
        <v>118</v>
      </c>
      <c r="O1135" s="23"/>
      <c r="P1135" s="37"/>
      <c r="Q1135" s="32" t="s">
        <v>121</v>
      </c>
      <c r="R1135" s="23"/>
      <c r="S1135" s="23"/>
      <c r="T1135" s="23"/>
      <c r="U1135" s="23"/>
      <c r="V1135" s="21"/>
      <c r="W1135" s="21"/>
      <c r="X1135" s="21"/>
      <c r="Y1135" s="21"/>
    </row>
    <row r="1136" spans="1:25" x14ac:dyDescent="0.2">
      <c r="A1136" s="72" t="s">
        <v>120</v>
      </c>
      <c r="B1136" s="73"/>
      <c r="C1136" s="73" t="s">
        <v>119</v>
      </c>
      <c r="D1136" s="76">
        <f>VLOOKUP(Q1103,[95]Base_03!$A$5:$AS$24,43,0)</f>
        <v>9.6666666666666661</v>
      </c>
      <c r="E1136" s="76"/>
      <c r="F1136" s="25" t="s">
        <v>118</v>
      </c>
      <c r="G1136" s="23"/>
      <c r="H1136" s="23"/>
      <c r="I1136" s="72" t="s">
        <v>120</v>
      </c>
      <c r="J1136" s="73"/>
      <c r="K1136" s="73" t="s">
        <v>119</v>
      </c>
      <c r="L1136" s="76">
        <f>VLOOKUP(Q1103,[95]Base_04!$A$5:$AS$24,43,0)</f>
        <v>7.1020408163265314</v>
      </c>
      <c r="M1136" s="76"/>
      <c r="N1136" s="46" t="s">
        <v>118</v>
      </c>
      <c r="O1136" s="23"/>
      <c r="P1136" s="37"/>
      <c r="Q1136" s="32" t="s">
        <v>117</v>
      </c>
      <c r="R1136" s="23"/>
      <c r="S1136" s="23"/>
      <c r="T1136" s="23"/>
      <c r="U1136" s="23"/>
      <c r="V1136" s="21"/>
      <c r="W1136" s="21"/>
      <c r="X1136" s="21"/>
      <c r="Y1136" s="21"/>
    </row>
    <row r="1137" spans="1:25" x14ac:dyDescent="0.2">
      <c r="A1137" s="72" t="s">
        <v>115</v>
      </c>
      <c r="B1137" s="73"/>
      <c r="C1137" s="73"/>
      <c r="D1137" s="71" t="str">
        <f>VLOOKUP(Q1103,[95]Base_03!$A$5:$AS$24,44,0)</f>
        <v>(Ada) Baik</v>
      </c>
      <c r="E1137" s="71"/>
      <c r="F1137" s="23"/>
      <c r="G1137" s="23"/>
      <c r="H1137" s="23"/>
      <c r="I1137" s="72" t="s">
        <v>115</v>
      </c>
      <c r="J1137" s="73"/>
      <c r="K1137" s="73"/>
      <c r="L1137" s="71" t="str">
        <f>VLOOKUP(Q1103,[95]Base_04!$A$5:$AS$24,44,0)</f>
        <v>(Ada) Baik</v>
      </c>
      <c r="M1137" s="71"/>
      <c r="N1137" s="30"/>
      <c r="O1137" s="23"/>
      <c r="P1137" s="37"/>
      <c r="Q1137" s="23"/>
      <c r="R1137" s="23"/>
      <c r="S1137" s="23"/>
      <c r="T1137" s="23"/>
      <c r="U1137" s="23"/>
      <c r="V1137" s="21"/>
      <c r="W1137" s="21"/>
      <c r="X1137" s="21"/>
      <c r="Y1137" s="21"/>
    </row>
    <row r="1138" spans="1:25" x14ac:dyDescent="0.2">
      <c r="A1138" s="74" t="s">
        <v>116</v>
      </c>
      <c r="B1138" s="75"/>
      <c r="C1138" s="26"/>
      <c r="D1138" s="25"/>
      <c r="E1138" s="25"/>
      <c r="F1138" s="23"/>
      <c r="G1138" s="23"/>
      <c r="H1138" s="23"/>
      <c r="I1138" s="74" t="s">
        <v>116</v>
      </c>
      <c r="J1138" s="75"/>
      <c r="K1138" s="26"/>
      <c r="L1138" s="25"/>
      <c r="M1138" s="25"/>
      <c r="N1138" s="30"/>
      <c r="O1138" s="23"/>
      <c r="P1138" s="37"/>
      <c r="Q1138" s="23"/>
      <c r="R1138" s="23"/>
      <c r="S1138" s="23"/>
      <c r="T1138" s="23"/>
      <c r="U1138" s="23"/>
      <c r="V1138" s="21"/>
      <c r="W1138" s="21"/>
      <c r="X1138" s="21"/>
      <c r="Y1138" s="21"/>
    </row>
    <row r="1139" spans="1:25" x14ac:dyDescent="0.2">
      <c r="A1139" s="72" t="s">
        <v>115</v>
      </c>
      <c r="B1139" s="73"/>
      <c r="C1139" s="73"/>
      <c r="D1139" s="71" t="str">
        <f>VLOOKUP(Q1103,[95]Base_03!$A$5:$AS$24,45,0)</f>
        <v>Air Pam (Baik)</v>
      </c>
      <c r="E1139" s="71"/>
      <c r="F1139" s="23"/>
      <c r="G1139" s="23"/>
      <c r="H1139" s="23"/>
      <c r="I1139" s="72" t="s">
        <v>115</v>
      </c>
      <c r="J1139" s="73"/>
      <c r="K1139" s="73"/>
      <c r="L1139" s="71" t="str">
        <f>VLOOKUP(Q1103,[95]Base_04!$A$5:$AS$24,45,0)</f>
        <v>Air Pam (Baik)</v>
      </c>
      <c r="M1139" s="71"/>
      <c r="N1139" s="30"/>
      <c r="O1139" s="23"/>
      <c r="P1139" s="37"/>
      <c r="Q1139" s="23"/>
      <c r="R1139" s="23"/>
      <c r="S1139" s="23"/>
      <c r="T1139" s="23"/>
      <c r="U1139" s="23"/>
      <c r="V1139" s="21"/>
      <c r="W1139" s="21"/>
      <c r="X1139" s="21"/>
      <c r="Y1139" s="21"/>
    </row>
    <row r="1140" spans="1:25" x14ac:dyDescent="0.2">
      <c r="A1140" s="74" t="s">
        <v>114</v>
      </c>
      <c r="B1140" s="75"/>
      <c r="C1140" s="26"/>
      <c r="D1140" s="25"/>
      <c r="E1140" s="25"/>
      <c r="F1140" s="23"/>
      <c r="G1140" s="23"/>
      <c r="H1140" s="23"/>
      <c r="I1140" s="74" t="s">
        <v>114</v>
      </c>
      <c r="J1140" s="75"/>
      <c r="K1140" s="26"/>
      <c r="L1140" s="25"/>
      <c r="M1140" s="25"/>
      <c r="N1140" s="30"/>
      <c r="O1140" s="23"/>
      <c r="P1140" s="37"/>
      <c r="Q1140" s="23"/>
      <c r="R1140" s="23"/>
      <c r="S1140" s="23"/>
      <c r="T1140" s="23"/>
      <c r="U1140" s="23"/>
      <c r="V1140" s="21"/>
      <c r="W1140" s="21"/>
      <c r="X1140" s="21"/>
      <c r="Y1140" s="21"/>
    </row>
    <row r="1141" spans="1:25" x14ac:dyDescent="0.2">
      <c r="A1141" s="36" t="s">
        <v>113</v>
      </c>
      <c r="B1141" s="23"/>
      <c r="C1141" s="26" t="s">
        <v>112</v>
      </c>
      <c r="D1141" s="71">
        <f>VLOOKUP(Q1103,[94]Base_02!$A$5:$S$24,18,0)</f>
        <v>0</v>
      </c>
      <c r="E1141" s="71"/>
      <c r="F1141" s="23" t="str">
        <f>IF(D1141&gt;0,"LU","LS")</f>
        <v>LS</v>
      </c>
      <c r="G1141" s="23"/>
      <c r="H1141" s="23"/>
      <c r="I1141" s="36" t="s">
        <v>113</v>
      </c>
      <c r="J1141" s="26"/>
      <c r="K1141" s="26" t="s">
        <v>112</v>
      </c>
      <c r="L1141" s="71">
        <f>D1141</f>
        <v>0</v>
      </c>
      <c r="M1141" s="71"/>
      <c r="N1141" s="23" t="str">
        <f>IF(L1141&gt;0,"LU","LS")</f>
        <v>LS</v>
      </c>
      <c r="O1141" s="23"/>
      <c r="P1141" s="37"/>
      <c r="Q1141" s="23"/>
      <c r="R1141" s="23"/>
      <c r="S1141" s="23"/>
      <c r="T1141" s="23"/>
      <c r="U1141" s="23"/>
      <c r="V1141" s="21"/>
      <c r="W1141" s="21"/>
      <c r="X1141" s="21"/>
      <c r="Y1141" s="21"/>
    </row>
    <row r="1142" spans="1:25" x14ac:dyDescent="0.2">
      <c r="A1142" s="42"/>
      <c r="B1142" s="43"/>
      <c r="C1142" s="44" t="s">
        <v>111</v>
      </c>
      <c r="D1142" s="70">
        <f>VLOOKUP(Q1103,[94]Base_02!$A$5:$S$24,19,0)</f>
        <v>0</v>
      </c>
      <c r="E1142" s="70"/>
      <c r="F1142" s="43" t="s">
        <v>110</v>
      </c>
      <c r="G1142" s="43"/>
      <c r="H1142" s="43"/>
      <c r="I1142" s="42"/>
      <c r="J1142" s="43"/>
      <c r="K1142" s="43"/>
      <c r="L1142" s="70">
        <f>D1142</f>
        <v>0</v>
      </c>
      <c r="M1142" s="70"/>
      <c r="N1142" s="47" t="s">
        <v>110</v>
      </c>
      <c r="O1142" s="44"/>
      <c r="P1142" s="53"/>
      <c r="Q1142" s="23"/>
      <c r="R1142" s="23"/>
      <c r="S1142" s="23"/>
      <c r="T1142" s="23"/>
      <c r="U1142" s="23"/>
      <c r="V1142" s="21"/>
      <c r="W1142" s="21"/>
      <c r="X1142" s="21"/>
      <c r="Y1142" s="21"/>
    </row>
    <row r="1143" spans="1:25" x14ac:dyDescent="0.2">
      <c r="A1143" s="23"/>
      <c r="B1143" s="23"/>
      <c r="C1143" s="26"/>
      <c r="D1143" s="23"/>
      <c r="E1143" s="23"/>
      <c r="F1143" s="23"/>
      <c r="G1143" s="23"/>
      <c r="H1143" s="23"/>
      <c r="I1143" s="23"/>
      <c r="J1143" s="23"/>
      <c r="K1143" s="25"/>
      <c r="L1143" s="25"/>
      <c r="M1143" s="30"/>
      <c r="N1143" s="23"/>
      <c r="O1143" s="23"/>
      <c r="P1143" s="23"/>
      <c r="Q1143" s="23"/>
      <c r="R1143" s="23"/>
      <c r="S1143" s="23"/>
      <c r="T1143" s="23"/>
      <c r="U1143" s="23"/>
      <c r="V1143" s="23"/>
      <c r="W1143" s="23"/>
      <c r="X1143" s="23"/>
      <c r="Y1143" s="23"/>
    </row>
    <row r="1144" spans="1:25" x14ac:dyDescent="0.2">
      <c r="A1144" s="23"/>
      <c r="B1144" s="23"/>
      <c r="C1144" s="23"/>
      <c r="D1144" s="23"/>
      <c r="E1144" s="23"/>
      <c r="F1144" s="23"/>
      <c r="G1144" s="23"/>
      <c r="H1144" s="23"/>
      <c r="I1144" s="23"/>
      <c r="J1144" s="23"/>
      <c r="K1144" s="23"/>
      <c r="L1144" s="23"/>
      <c r="M1144" s="30"/>
      <c r="N1144" s="23"/>
      <c r="O1144" s="23"/>
      <c r="P1144" s="23"/>
      <c r="Q1144" s="23"/>
      <c r="R1144" s="23"/>
      <c r="S1144" s="23"/>
      <c r="T1144" s="23"/>
      <c r="U1144" s="23"/>
      <c r="V1144" s="23"/>
      <c r="W1144" s="23"/>
      <c r="X1144" s="23"/>
      <c r="Y1144" s="23"/>
    </row>
    <row r="1145" spans="1:25" x14ac:dyDescent="0.2">
      <c r="A1145" s="23"/>
      <c r="B1145" s="23"/>
      <c r="C1145" s="23"/>
      <c r="D1145" s="23"/>
      <c r="E1145" s="23"/>
      <c r="F1145" s="23"/>
      <c r="G1145" s="23"/>
      <c r="H1145" s="23"/>
      <c r="I1145" s="23"/>
      <c r="J1145" s="23"/>
      <c r="K1145" s="23"/>
      <c r="L1145" s="71" t="str">
        <f>[94]Base_01!$C$4&amp;", …..  …........................  2026"</f>
        <v>Sorong, …..  …........................  2026</v>
      </c>
      <c r="M1145" s="71"/>
      <c r="N1145" s="71"/>
      <c r="O1145" s="71"/>
      <c r="P1145" s="71"/>
      <c r="Q1145" s="23"/>
      <c r="R1145" s="23"/>
      <c r="S1145" s="23"/>
      <c r="T1145" s="23"/>
      <c r="U1145" s="23"/>
      <c r="V1145" s="23"/>
      <c r="W1145" s="23"/>
      <c r="X1145" s="23"/>
      <c r="Y1145" s="23"/>
    </row>
    <row r="1146" spans="1:25" x14ac:dyDescent="0.2">
      <c r="A1146" s="71" t="s">
        <v>108</v>
      </c>
      <c r="B1146" s="71"/>
      <c r="C1146" s="71"/>
      <c r="D1146" s="71"/>
      <c r="E1146" s="71"/>
      <c r="F1146" s="71"/>
      <c r="G1146" s="23"/>
      <c r="H1146" s="23"/>
      <c r="I1146" s="23"/>
      <c r="J1146" s="23"/>
      <c r="K1146" s="23"/>
      <c r="L1146" s="71" t="s">
        <v>152</v>
      </c>
      <c r="M1146" s="71"/>
      <c r="N1146" s="71"/>
      <c r="O1146" s="71"/>
      <c r="P1146" s="71"/>
      <c r="Q1146" s="23"/>
      <c r="R1146" s="23"/>
      <c r="S1146" s="23"/>
      <c r="T1146" s="23"/>
      <c r="U1146" s="23"/>
      <c r="V1146" s="23"/>
      <c r="W1146" s="23"/>
      <c r="X1146" s="23"/>
      <c r="Y1146" s="23"/>
    </row>
    <row r="1147" spans="1:25" x14ac:dyDescent="0.2">
      <c r="A1147" s="71" t="s">
        <v>153</v>
      </c>
      <c r="B1147" s="71"/>
      <c r="C1147" s="71"/>
      <c r="D1147" s="71"/>
      <c r="E1147" s="71"/>
      <c r="F1147" s="71"/>
      <c r="G1147" s="23"/>
      <c r="H1147" s="23"/>
      <c r="I1147" s="23"/>
      <c r="J1147" s="23"/>
      <c r="K1147" s="23"/>
      <c r="L1147" s="71" t="s">
        <v>107</v>
      </c>
      <c r="M1147" s="71"/>
      <c r="N1147" s="71"/>
      <c r="O1147" s="71"/>
      <c r="P1147" s="71"/>
      <c r="Q1147" s="23"/>
      <c r="R1147" s="23"/>
      <c r="S1147" s="23"/>
      <c r="T1147" s="23"/>
      <c r="U1147" s="23"/>
      <c r="V1147" s="23"/>
      <c r="W1147" s="23"/>
      <c r="X1147" s="23"/>
      <c r="Y1147" s="23"/>
    </row>
    <row r="1148" spans="1:25" x14ac:dyDescent="0.2">
      <c r="A1148" s="23"/>
      <c r="B1148" s="23"/>
      <c r="C1148" s="23"/>
      <c r="D1148" s="23"/>
      <c r="E1148" s="23"/>
      <c r="F1148" s="23"/>
      <c r="G1148" s="23"/>
      <c r="H1148" s="23"/>
      <c r="I1148" s="23"/>
      <c r="J1148" s="23"/>
      <c r="K1148" s="23"/>
      <c r="L1148" s="23"/>
      <c r="M1148" s="30"/>
      <c r="N1148" s="23"/>
      <c r="O1148" s="23"/>
      <c r="P1148" s="23"/>
      <c r="Q1148" s="23"/>
      <c r="R1148" s="23"/>
      <c r="S1148" s="23"/>
      <c r="T1148" s="23"/>
      <c r="U1148" s="23"/>
      <c r="V1148" s="23"/>
      <c r="W1148" s="23"/>
      <c r="X1148" s="23"/>
      <c r="Y1148" s="23"/>
    </row>
    <row r="1149" spans="1:25" x14ac:dyDescent="0.2">
      <c r="A1149" s="23"/>
      <c r="B1149" s="23"/>
      <c r="C1149" s="23"/>
      <c r="D1149" s="23"/>
      <c r="E1149" s="23"/>
      <c r="F1149" s="23"/>
      <c r="G1149" s="23"/>
      <c r="H1149" s="23"/>
      <c r="I1149" s="23"/>
      <c r="J1149" s="23"/>
      <c r="K1149" s="23"/>
      <c r="L1149" s="23"/>
      <c r="M1149" s="30"/>
      <c r="N1149" s="23"/>
      <c r="O1149" s="23"/>
      <c r="P1149" s="23"/>
      <c r="Q1149" s="23"/>
      <c r="R1149" s="23"/>
      <c r="S1149" s="23"/>
      <c r="T1149" s="23"/>
      <c r="U1149" s="23"/>
      <c r="V1149" s="23"/>
      <c r="W1149" s="23"/>
      <c r="X1149" s="23"/>
      <c r="Y1149" s="23"/>
    </row>
    <row r="1150" spans="1:25" x14ac:dyDescent="0.2">
      <c r="A1150" s="23"/>
      <c r="B1150" s="23"/>
      <c r="C1150" s="23"/>
      <c r="D1150" s="23"/>
      <c r="E1150" s="23"/>
      <c r="F1150" s="23"/>
      <c r="G1150" s="23"/>
      <c r="H1150" s="23"/>
      <c r="I1150" s="23"/>
      <c r="J1150" s="23"/>
      <c r="K1150" s="23"/>
      <c r="L1150" s="23"/>
      <c r="M1150" s="30"/>
      <c r="N1150" s="23"/>
      <c r="O1150" s="23"/>
      <c r="P1150" s="23"/>
      <c r="Q1150" s="23"/>
      <c r="R1150" s="23"/>
      <c r="S1150" s="23"/>
      <c r="T1150" s="23"/>
      <c r="U1150" s="23"/>
      <c r="V1150" s="23"/>
      <c r="W1150" s="23"/>
      <c r="X1150" s="23"/>
      <c r="Y1150" s="23"/>
    </row>
    <row r="1151" spans="1:25" x14ac:dyDescent="0.2">
      <c r="A1151" s="23"/>
      <c r="B1151" s="23"/>
      <c r="C1151" s="23"/>
      <c r="D1151" s="23"/>
      <c r="E1151" s="23"/>
      <c r="F1151" s="23"/>
      <c r="G1151" s="23"/>
      <c r="H1151" s="23"/>
      <c r="I1151" s="23"/>
      <c r="J1151" s="23"/>
      <c r="K1151" s="23"/>
      <c r="L1151" s="23"/>
      <c r="M1151" s="30"/>
      <c r="N1151" s="23"/>
      <c r="O1151" s="23"/>
      <c r="P1151" s="23"/>
      <c r="Q1151" s="23"/>
      <c r="R1151" s="23"/>
      <c r="S1151" s="23"/>
      <c r="T1151" s="23"/>
      <c r="U1151" s="23"/>
      <c r="V1151" s="23"/>
      <c r="W1151" s="23"/>
      <c r="X1151" s="23"/>
      <c r="Y1151" s="23"/>
    </row>
    <row r="1152" spans="1:25" x14ac:dyDescent="0.2">
      <c r="A1152" s="87" t="str">
        <f>[94]Base_02!$C$28</f>
        <v>Nama PB 1</v>
      </c>
      <c r="B1152" s="87"/>
      <c r="C1152" s="87"/>
      <c r="D1152" s="87"/>
      <c r="E1152" s="87"/>
      <c r="F1152" s="87"/>
      <c r="G1152" s="23"/>
      <c r="H1152" s="23"/>
      <c r="I1152" s="23"/>
      <c r="J1152" s="23"/>
      <c r="K1152" s="23"/>
      <c r="L1152" s="71" t="str">
        <f>E1108</f>
        <v>Nama PB 20</v>
      </c>
      <c r="M1152" s="71"/>
      <c r="N1152" s="71"/>
      <c r="O1152" s="71"/>
      <c r="P1152" s="71"/>
      <c r="Q1152" s="23"/>
      <c r="R1152" s="23"/>
      <c r="S1152" s="23"/>
      <c r="T1152" s="23"/>
      <c r="U1152" s="23"/>
      <c r="V1152" s="23"/>
      <c r="W1152" s="23"/>
      <c r="X1152" s="23"/>
      <c r="Y1152" s="23"/>
    </row>
    <row r="1153" spans="1:25" x14ac:dyDescent="0.2">
      <c r="A1153" s="23"/>
      <c r="B1153" s="23"/>
      <c r="C1153" s="23"/>
      <c r="D1153" s="23"/>
      <c r="E1153" s="23"/>
      <c r="F1153" s="23"/>
      <c r="G1153" s="23"/>
      <c r="H1153" s="23"/>
      <c r="I1153" s="23"/>
      <c r="J1153" s="23"/>
      <c r="K1153" s="23"/>
      <c r="L1153" s="23"/>
      <c r="M1153" s="30"/>
      <c r="N1153" s="23"/>
      <c r="O1153" s="23"/>
      <c r="P1153" s="23"/>
      <c r="Q1153" s="23"/>
      <c r="R1153" s="23"/>
      <c r="S1153" s="23"/>
      <c r="T1153" s="23"/>
      <c r="U1153" s="23"/>
      <c r="V1153" s="23"/>
      <c r="W1153" s="23"/>
      <c r="X1153" s="23"/>
      <c r="Y1153" s="23"/>
    </row>
    <row r="1154" spans="1:25" x14ac:dyDescent="0.2">
      <c r="A1154" s="87" t="s">
        <v>109</v>
      </c>
      <c r="B1154" s="87"/>
      <c r="C1154" s="87"/>
      <c r="D1154" s="87"/>
      <c r="E1154" s="87"/>
      <c r="F1154" s="87"/>
      <c r="G1154" s="23"/>
      <c r="H1154" s="23"/>
      <c r="I1154" s="29"/>
      <c r="J1154" s="24"/>
      <c r="K1154" s="24"/>
      <c r="L1154" s="88" t="s">
        <v>92</v>
      </c>
      <c r="M1154" s="88"/>
      <c r="N1154" s="88"/>
      <c r="O1154" s="88"/>
      <c r="P1154" s="88"/>
      <c r="Q1154" s="23"/>
      <c r="R1154" s="23"/>
      <c r="S1154" s="23"/>
      <c r="T1154" s="23"/>
      <c r="U1154" s="23"/>
      <c r="V1154" s="23"/>
      <c r="W1154" s="23"/>
      <c r="X1154" s="23"/>
      <c r="Y1154" s="23"/>
    </row>
    <row r="1155" spans="1:25" x14ac:dyDescent="0.2">
      <c r="A1155" s="68" t="s">
        <v>91</v>
      </c>
      <c r="B1155" s="68"/>
      <c r="C1155" s="68"/>
      <c r="D1155" s="68"/>
      <c r="E1155" s="68"/>
      <c r="F1155" s="68"/>
      <c r="I1155" s="28"/>
      <c r="J1155" s="28"/>
      <c r="K1155" s="28"/>
      <c r="L1155" s="69" t="str">
        <f>[94]Base_01!$B$17&amp;" "&amp;[94]Base_01!$C$4</f>
        <v>Koordinator Kota Sorong</v>
      </c>
      <c r="M1155" s="69"/>
      <c r="N1155" s="69"/>
      <c r="O1155" s="69"/>
      <c r="P1155" s="69"/>
      <c r="Q1155" s="23"/>
      <c r="R1155" s="23"/>
      <c r="S1155" s="23"/>
      <c r="T1155" s="23"/>
      <c r="U1155" s="23"/>
      <c r="V1155" s="23"/>
      <c r="W1155" s="23"/>
      <c r="X1155" s="23"/>
      <c r="Y1155" s="23"/>
    </row>
    <row r="1156" spans="1:25" x14ac:dyDescent="0.2">
      <c r="M1156" s="27"/>
      <c r="Q1156" s="23"/>
      <c r="R1156" s="23"/>
      <c r="S1156" s="23"/>
      <c r="T1156" s="23"/>
      <c r="U1156" s="23"/>
      <c r="V1156" s="23"/>
      <c r="W1156" s="23"/>
      <c r="X1156" s="23"/>
      <c r="Y1156" s="23"/>
    </row>
    <row r="1157" spans="1:25" x14ac:dyDescent="0.2">
      <c r="M1157" s="27"/>
      <c r="Q1157" s="23"/>
      <c r="R1157" s="23"/>
      <c r="S1157" s="23"/>
      <c r="T1157" s="23"/>
      <c r="U1157" s="23"/>
      <c r="V1157" s="23"/>
      <c r="W1157" s="23"/>
      <c r="X1157" s="23"/>
      <c r="Y1157" s="23"/>
    </row>
    <row r="1158" spans="1:25" x14ac:dyDescent="0.2">
      <c r="M1158" s="27"/>
      <c r="Q1158" s="23"/>
      <c r="R1158" s="23"/>
      <c r="S1158" s="23"/>
      <c r="T1158" s="23"/>
      <c r="U1158" s="23"/>
      <c r="V1158" s="23"/>
      <c r="W1158" s="23"/>
      <c r="X1158" s="23"/>
      <c r="Y1158" s="23"/>
    </row>
    <row r="1159" spans="1:25" x14ac:dyDescent="0.2">
      <c r="M1159" s="27"/>
      <c r="Q1159" s="23"/>
      <c r="R1159" s="23"/>
      <c r="S1159" s="23"/>
      <c r="T1159" s="23"/>
      <c r="U1159" s="23"/>
      <c r="V1159" s="23"/>
      <c r="W1159" s="23"/>
      <c r="X1159" s="23"/>
      <c r="Y1159" s="23"/>
    </row>
    <row r="1160" spans="1:25" x14ac:dyDescent="0.2">
      <c r="A1160" s="68" t="str">
        <f>[94]Base_01!$C$20</f>
        <v>…...............         …...............</v>
      </c>
      <c r="B1160" s="68"/>
      <c r="C1160" s="68"/>
      <c r="D1160" s="68"/>
      <c r="E1160" s="68"/>
      <c r="F1160" s="68"/>
      <c r="L1160" s="68" t="str">
        <f>[94]Base_01!$C$17</f>
        <v>AfrIandi Yudhistira, S.T.</v>
      </c>
      <c r="M1160" s="68"/>
      <c r="N1160" s="68"/>
      <c r="O1160" s="68"/>
      <c r="P1160" s="68"/>
      <c r="Q1160" s="23"/>
      <c r="R1160" s="23"/>
      <c r="S1160" s="23"/>
      <c r="T1160" s="23"/>
      <c r="U1160" s="23"/>
      <c r="V1160" s="23"/>
      <c r="W1160" s="23"/>
      <c r="X1160" s="23"/>
      <c r="Y1160" s="23"/>
    </row>
  </sheetData>
  <mergeCells count="2300">
    <mergeCell ref="A1133:C1133"/>
    <mergeCell ref="D1133:E1133"/>
    <mergeCell ref="F1133:G1133"/>
    <mergeCell ref="I1133:K1133"/>
    <mergeCell ref="D1064:E1064"/>
    <mergeCell ref="N1064:O1064"/>
    <mergeCell ref="D1065:E1065"/>
    <mergeCell ref="N1065:O1065"/>
    <mergeCell ref="A1065:C1065"/>
    <mergeCell ref="F1065:G1065"/>
    <mergeCell ref="I1065:K1065"/>
    <mergeCell ref="L1065:M1065"/>
    <mergeCell ref="A1075:C1075"/>
    <mergeCell ref="D1075:E1075"/>
    <mergeCell ref="F1075:G1075"/>
    <mergeCell ref="I1075:K1075"/>
    <mergeCell ref="A1103:P1103"/>
    <mergeCell ref="A1104:P1104"/>
    <mergeCell ref="A1106:D1106"/>
    <mergeCell ref="A1107:D1107"/>
    <mergeCell ref="A1116:H1116"/>
    <mergeCell ref="I1116:P1116"/>
    <mergeCell ref="D901:E901"/>
    <mergeCell ref="F901:G901"/>
    <mergeCell ref="I901:K901"/>
    <mergeCell ref="L913:P913"/>
    <mergeCell ref="A914:F914"/>
    <mergeCell ref="L914:P914"/>
    <mergeCell ref="A915:F915"/>
    <mergeCell ref="A942:H942"/>
    <mergeCell ref="I942:P942"/>
    <mergeCell ref="D944:E944"/>
    <mergeCell ref="L944:M944"/>
    <mergeCell ref="A949:C949"/>
    <mergeCell ref="D949:E949"/>
    <mergeCell ref="F949:G949"/>
    <mergeCell ref="A994:D994"/>
    <mergeCell ref="A995:D995"/>
    <mergeCell ref="A996:D996"/>
    <mergeCell ref="A880:D880"/>
    <mergeCell ref="A881:D881"/>
    <mergeCell ref="A889:C889"/>
    <mergeCell ref="A890:C890"/>
    <mergeCell ref="D889:E889"/>
    <mergeCell ref="F889:G889"/>
    <mergeCell ref="A891:C891"/>
    <mergeCell ref="D891:E891"/>
    <mergeCell ref="F891:G891"/>
    <mergeCell ref="N891:O891"/>
    <mergeCell ref="I891:K891"/>
    <mergeCell ref="L891:M891"/>
    <mergeCell ref="A893:C893"/>
    <mergeCell ref="D893:E893"/>
    <mergeCell ref="N893:O893"/>
    <mergeCell ref="F893:G893"/>
    <mergeCell ref="I893:K893"/>
    <mergeCell ref="D735:E735"/>
    <mergeCell ref="A734:B734"/>
    <mergeCell ref="I734:J734"/>
    <mergeCell ref="L735:M735"/>
    <mergeCell ref="D736:E736"/>
    <mergeCell ref="A746:F746"/>
    <mergeCell ref="L746:P746"/>
    <mergeCell ref="A748:F748"/>
    <mergeCell ref="L748:P748"/>
    <mergeCell ref="D771:E772"/>
    <mergeCell ref="F771:G772"/>
    <mergeCell ref="L771:M772"/>
    <mergeCell ref="N771:O772"/>
    <mergeCell ref="A798:F798"/>
    <mergeCell ref="A785:C785"/>
    <mergeCell ref="D785:E785"/>
    <mergeCell ref="F785:G785"/>
    <mergeCell ref="L717:M717"/>
    <mergeCell ref="A718:C718"/>
    <mergeCell ref="D718:E718"/>
    <mergeCell ref="F718:G718"/>
    <mergeCell ref="N718:O718"/>
    <mergeCell ref="I718:K718"/>
    <mergeCell ref="L718:M718"/>
    <mergeCell ref="A723:C723"/>
    <mergeCell ref="D723:E723"/>
    <mergeCell ref="F723:G723"/>
    <mergeCell ref="N723:O723"/>
    <mergeCell ref="A724:C724"/>
    <mergeCell ref="A725:C725"/>
    <mergeCell ref="D724:E724"/>
    <mergeCell ref="F724:G724"/>
    <mergeCell ref="A726:C726"/>
    <mergeCell ref="A729:C729"/>
    <mergeCell ref="D729:E729"/>
    <mergeCell ref="I729:K729"/>
    <mergeCell ref="L729:M729"/>
    <mergeCell ref="A581:P581"/>
    <mergeCell ref="A582:P582"/>
    <mergeCell ref="A584:D584"/>
    <mergeCell ref="A585:D585"/>
    <mergeCell ref="D605:E606"/>
    <mergeCell ref="F605:G606"/>
    <mergeCell ref="L605:M606"/>
    <mergeCell ref="N605:O606"/>
    <mergeCell ref="A632:F632"/>
    <mergeCell ref="A633:F633"/>
    <mergeCell ref="D619:E619"/>
    <mergeCell ref="L619:M619"/>
    <mergeCell ref="D620:E620"/>
    <mergeCell ref="A638:F638"/>
    <mergeCell ref="A640:P640"/>
    <mergeCell ref="A710:H710"/>
    <mergeCell ref="A715:C715"/>
    <mergeCell ref="D715:E715"/>
    <mergeCell ref="F715:G715"/>
    <mergeCell ref="N715:O715"/>
    <mergeCell ref="I715:K715"/>
    <mergeCell ref="L715:M715"/>
    <mergeCell ref="D551:E552"/>
    <mergeCell ref="F551:G552"/>
    <mergeCell ref="I551:K551"/>
    <mergeCell ref="L551:M552"/>
    <mergeCell ref="A552:C552"/>
    <mergeCell ref="N551:O552"/>
    <mergeCell ref="I552:K552"/>
    <mergeCell ref="A553:C553"/>
    <mergeCell ref="D553:E553"/>
    <mergeCell ref="F553:G553"/>
    <mergeCell ref="N553:O553"/>
    <mergeCell ref="I553:K553"/>
    <mergeCell ref="L553:M553"/>
    <mergeCell ref="A557:C557"/>
    <mergeCell ref="D557:E557"/>
    <mergeCell ref="A559:C559"/>
    <mergeCell ref="A560:B560"/>
    <mergeCell ref="I560:J560"/>
    <mergeCell ref="A412:D412"/>
    <mergeCell ref="A411:D411"/>
    <mergeCell ref="A410:D410"/>
    <mergeCell ref="N437:O437"/>
    <mergeCell ref="L437:M437"/>
    <mergeCell ref="I437:K437"/>
    <mergeCell ref="F437:G437"/>
    <mergeCell ref="L450:P450"/>
    <mergeCell ref="A450:F450"/>
    <mergeCell ref="L449:P449"/>
    <mergeCell ref="L446:M446"/>
    <mergeCell ref="L464:P464"/>
    <mergeCell ref="A464:F464"/>
    <mergeCell ref="L459:P459"/>
    <mergeCell ref="D547:E548"/>
    <mergeCell ref="F547:G548"/>
    <mergeCell ref="N547:O548"/>
    <mergeCell ref="A545:C545"/>
    <mergeCell ref="D545:E545"/>
    <mergeCell ref="A243:D243"/>
    <mergeCell ref="A246:H246"/>
    <mergeCell ref="I246:P246"/>
    <mergeCell ref="D248:E248"/>
    <mergeCell ref="A277:F277"/>
    <mergeCell ref="L277:P277"/>
    <mergeCell ref="A282:F282"/>
    <mergeCell ref="L282:P282"/>
    <mergeCell ref="A310:C310"/>
    <mergeCell ref="D310:E310"/>
    <mergeCell ref="F310:G310"/>
    <mergeCell ref="I310:K310"/>
    <mergeCell ref="A343:F343"/>
    <mergeCell ref="L343:P343"/>
    <mergeCell ref="D381:E381"/>
    <mergeCell ref="L383:M383"/>
    <mergeCell ref="I383:K383"/>
    <mergeCell ref="D40:E40"/>
    <mergeCell ref="L40:M40"/>
    <mergeCell ref="A59:P59"/>
    <mergeCell ref="A60:P60"/>
    <mergeCell ref="A62:D62"/>
    <mergeCell ref="A63:D63"/>
    <mergeCell ref="A45:F45"/>
    <mergeCell ref="L45:P45"/>
    <mergeCell ref="L43:P43"/>
    <mergeCell ref="A44:F44"/>
    <mergeCell ref="L44:P44"/>
    <mergeCell ref="A58:F58"/>
    <mergeCell ref="L58:P58"/>
    <mergeCell ref="A50:F50"/>
    <mergeCell ref="L50:P50"/>
    <mergeCell ref="A52:F52"/>
    <mergeCell ref="L52:P52"/>
    <mergeCell ref="A53:F53"/>
    <mergeCell ref="L53:P53"/>
    <mergeCell ref="A34:C34"/>
    <mergeCell ref="D34:E34"/>
    <mergeCell ref="I34:K34"/>
    <mergeCell ref="L34:M34"/>
    <mergeCell ref="A35:C35"/>
    <mergeCell ref="D35:E35"/>
    <mergeCell ref="I35:K35"/>
    <mergeCell ref="L35:M35"/>
    <mergeCell ref="A36:B36"/>
    <mergeCell ref="I36:J36"/>
    <mergeCell ref="A37:C37"/>
    <mergeCell ref="D37:E37"/>
    <mergeCell ref="I37:K37"/>
    <mergeCell ref="L37:M37"/>
    <mergeCell ref="A38:B38"/>
    <mergeCell ref="I38:J38"/>
    <mergeCell ref="D39:E39"/>
    <mergeCell ref="L39:M39"/>
    <mergeCell ref="A29:C29"/>
    <mergeCell ref="D29:E30"/>
    <mergeCell ref="F29:G30"/>
    <mergeCell ref="I29:K29"/>
    <mergeCell ref="L29:M30"/>
    <mergeCell ref="N29:O30"/>
    <mergeCell ref="A30:C30"/>
    <mergeCell ref="I30:K30"/>
    <mergeCell ref="A31:C31"/>
    <mergeCell ref="D31:E31"/>
    <mergeCell ref="F31:G31"/>
    <mergeCell ref="I31:K31"/>
    <mergeCell ref="L31:M31"/>
    <mergeCell ref="N31:O31"/>
    <mergeCell ref="A33:C33"/>
    <mergeCell ref="D33:E33"/>
    <mergeCell ref="I33:K33"/>
    <mergeCell ref="L33:M33"/>
    <mergeCell ref="F23:G23"/>
    <mergeCell ref="I23:K23"/>
    <mergeCell ref="L23:M23"/>
    <mergeCell ref="N23:O23"/>
    <mergeCell ref="D25:E26"/>
    <mergeCell ref="F25:G26"/>
    <mergeCell ref="L25:M26"/>
    <mergeCell ref="N25:O26"/>
    <mergeCell ref="A27:C27"/>
    <mergeCell ref="D27:E27"/>
    <mergeCell ref="F27:G27"/>
    <mergeCell ref="I27:K27"/>
    <mergeCell ref="L27:M27"/>
    <mergeCell ref="N27:O27"/>
    <mergeCell ref="A28:C28"/>
    <mergeCell ref="D28:E28"/>
    <mergeCell ref="F28:G28"/>
    <mergeCell ref="I28:K28"/>
    <mergeCell ref="L28:M28"/>
    <mergeCell ref="N28:O28"/>
    <mergeCell ref="A1:P1"/>
    <mergeCell ref="A2:P2"/>
    <mergeCell ref="A4:D4"/>
    <mergeCell ref="A6:D6"/>
    <mergeCell ref="A5:D5"/>
    <mergeCell ref="A7:D7"/>
    <mergeCell ref="A20:C20"/>
    <mergeCell ref="D20:E20"/>
    <mergeCell ref="F20:G20"/>
    <mergeCell ref="I20:K20"/>
    <mergeCell ref="L20:M20"/>
    <mergeCell ref="N20:O20"/>
    <mergeCell ref="A21:C21"/>
    <mergeCell ref="D21:E21"/>
    <mergeCell ref="F21:G21"/>
    <mergeCell ref="I21:K21"/>
    <mergeCell ref="L21:M21"/>
    <mergeCell ref="N21:O21"/>
    <mergeCell ref="A64:D64"/>
    <mergeCell ref="A65:D65"/>
    <mergeCell ref="A66:D66"/>
    <mergeCell ref="A67:D67"/>
    <mergeCell ref="A68:D68"/>
    <mergeCell ref="A69:D69"/>
    <mergeCell ref="A11:D11"/>
    <mergeCell ref="D16:E16"/>
    <mergeCell ref="L16:M16"/>
    <mergeCell ref="D17:E18"/>
    <mergeCell ref="F17:G18"/>
    <mergeCell ref="L17:M18"/>
    <mergeCell ref="N17:O18"/>
    <mergeCell ref="A14:H14"/>
    <mergeCell ref="I14:P14"/>
    <mergeCell ref="A8:D8"/>
    <mergeCell ref="A9:D9"/>
    <mergeCell ref="A10:D10"/>
    <mergeCell ref="A19:C19"/>
    <mergeCell ref="D19:E19"/>
    <mergeCell ref="F19:G19"/>
    <mergeCell ref="I19:K19"/>
    <mergeCell ref="L19:M19"/>
    <mergeCell ref="N19:O19"/>
    <mergeCell ref="A22:C22"/>
    <mergeCell ref="D22:E22"/>
    <mergeCell ref="F22:G22"/>
    <mergeCell ref="I22:K22"/>
    <mergeCell ref="L22:M22"/>
    <mergeCell ref="N22:O22"/>
    <mergeCell ref="A23:C23"/>
    <mergeCell ref="D23:E23"/>
    <mergeCell ref="A78:C78"/>
    <mergeCell ref="D78:E78"/>
    <mergeCell ref="F78:G78"/>
    <mergeCell ref="I78:K78"/>
    <mergeCell ref="L78:M78"/>
    <mergeCell ref="N78:O78"/>
    <mergeCell ref="A77:C77"/>
    <mergeCell ref="D77:E77"/>
    <mergeCell ref="F77:G77"/>
    <mergeCell ref="I77:K77"/>
    <mergeCell ref="L77:M77"/>
    <mergeCell ref="N77:O77"/>
    <mergeCell ref="A72:H72"/>
    <mergeCell ref="I72:P72"/>
    <mergeCell ref="D74:E74"/>
    <mergeCell ref="L74:M74"/>
    <mergeCell ref="D75:E76"/>
    <mergeCell ref="F75:G76"/>
    <mergeCell ref="L75:M76"/>
    <mergeCell ref="N75:O76"/>
    <mergeCell ref="A81:C81"/>
    <mergeCell ref="D81:E81"/>
    <mergeCell ref="F81:G81"/>
    <mergeCell ref="I81:K81"/>
    <mergeCell ref="L81:M81"/>
    <mergeCell ref="N81:O81"/>
    <mergeCell ref="A80:C80"/>
    <mergeCell ref="D80:E80"/>
    <mergeCell ref="F80:G80"/>
    <mergeCell ref="I80:K80"/>
    <mergeCell ref="L80:M80"/>
    <mergeCell ref="N80:O80"/>
    <mergeCell ref="A79:C79"/>
    <mergeCell ref="D79:E79"/>
    <mergeCell ref="F79:G79"/>
    <mergeCell ref="I79:K79"/>
    <mergeCell ref="L79:M79"/>
    <mergeCell ref="N79:O79"/>
    <mergeCell ref="N89:O89"/>
    <mergeCell ref="A87:C87"/>
    <mergeCell ref="D87:E88"/>
    <mergeCell ref="F87:G88"/>
    <mergeCell ref="I87:K87"/>
    <mergeCell ref="L87:M88"/>
    <mergeCell ref="N87:O88"/>
    <mergeCell ref="A88:C88"/>
    <mergeCell ref="I88:K88"/>
    <mergeCell ref="A86:C86"/>
    <mergeCell ref="D86:E86"/>
    <mergeCell ref="F86:G86"/>
    <mergeCell ref="I86:K86"/>
    <mergeCell ref="L86:M86"/>
    <mergeCell ref="N86:O86"/>
    <mergeCell ref="D83:E84"/>
    <mergeCell ref="F83:G84"/>
    <mergeCell ref="L83:M84"/>
    <mergeCell ref="N83:O84"/>
    <mergeCell ref="A85:C85"/>
    <mergeCell ref="D85:E85"/>
    <mergeCell ref="F85:G85"/>
    <mergeCell ref="I85:K85"/>
    <mergeCell ref="L85:M85"/>
    <mergeCell ref="N85:O85"/>
    <mergeCell ref="A93:C93"/>
    <mergeCell ref="D93:E93"/>
    <mergeCell ref="I93:K93"/>
    <mergeCell ref="L93:M93"/>
    <mergeCell ref="A94:B94"/>
    <mergeCell ref="I94:J94"/>
    <mergeCell ref="A91:C91"/>
    <mergeCell ref="D91:E91"/>
    <mergeCell ref="I91:K91"/>
    <mergeCell ref="L91:M91"/>
    <mergeCell ref="A92:C92"/>
    <mergeCell ref="D92:E92"/>
    <mergeCell ref="I92:K92"/>
    <mergeCell ref="L92:M92"/>
    <mergeCell ref="A89:C89"/>
    <mergeCell ref="D89:E89"/>
    <mergeCell ref="F89:G89"/>
    <mergeCell ref="I89:K89"/>
    <mergeCell ref="L89:M89"/>
    <mergeCell ref="A103:F103"/>
    <mergeCell ref="L103:P103"/>
    <mergeCell ref="A108:F108"/>
    <mergeCell ref="L108:P108"/>
    <mergeCell ref="A110:F110"/>
    <mergeCell ref="L110:P110"/>
    <mergeCell ref="D97:E97"/>
    <mergeCell ref="L97:M97"/>
    <mergeCell ref="D98:E98"/>
    <mergeCell ref="L98:M98"/>
    <mergeCell ref="L101:P101"/>
    <mergeCell ref="A102:F102"/>
    <mergeCell ref="L102:P102"/>
    <mergeCell ref="A95:C95"/>
    <mergeCell ref="D95:E95"/>
    <mergeCell ref="I95:K95"/>
    <mergeCell ref="L95:M95"/>
    <mergeCell ref="A96:B96"/>
    <mergeCell ref="I96:J96"/>
    <mergeCell ref="A126:D126"/>
    <mergeCell ref="A127:D127"/>
    <mergeCell ref="A130:H130"/>
    <mergeCell ref="I130:P130"/>
    <mergeCell ref="D132:E132"/>
    <mergeCell ref="L132:M132"/>
    <mergeCell ref="A120:D120"/>
    <mergeCell ref="A121:D121"/>
    <mergeCell ref="A122:D122"/>
    <mergeCell ref="A123:D123"/>
    <mergeCell ref="A124:D124"/>
    <mergeCell ref="A125:D125"/>
    <mergeCell ref="A111:F111"/>
    <mergeCell ref="L111:P111"/>
    <mergeCell ref="A116:F116"/>
    <mergeCell ref="L116:P116"/>
    <mergeCell ref="A117:P117"/>
    <mergeCell ref="A118:P118"/>
    <mergeCell ref="A137:C137"/>
    <mergeCell ref="D137:E137"/>
    <mergeCell ref="F137:G137"/>
    <mergeCell ref="I137:K137"/>
    <mergeCell ref="L137:M137"/>
    <mergeCell ref="N137:O137"/>
    <mergeCell ref="A136:C136"/>
    <mergeCell ref="D136:E136"/>
    <mergeCell ref="F136:G136"/>
    <mergeCell ref="I136:K136"/>
    <mergeCell ref="L136:M136"/>
    <mergeCell ref="N136:O136"/>
    <mergeCell ref="D133:E134"/>
    <mergeCell ref="F133:G134"/>
    <mergeCell ref="L133:M134"/>
    <mergeCell ref="N133:O134"/>
    <mergeCell ref="A135:C135"/>
    <mergeCell ref="D135:E135"/>
    <mergeCell ref="F135:G135"/>
    <mergeCell ref="I135:K135"/>
    <mergeCell ref="L135:M135"/>
    <mergeCell ref="N135:O135"/>
    <mergeCell ref="D141:E142"/>
    <mergeCell ref="F141:G142"/>
    <mergeCell ref="L141:M142"/>
    <mergeCell ref="N141:O142"/>
    <mergeCell ref="A143:C143"/>
    <mergeCell ref="D143:E143"/>
    <mergeCell ref="F143:G143"/>
    <mergeCell ref="I143:K143"/>
    <mergeCell ref="L143:M143"/>
    <mergeCell ref="N143:O143"/>
    <mergeCell ref="A139:C139"/>
    <mergeCell ref="D139:E139"/>
    <mergeCell ref="F139:G139"/>
    <mergeCell ref="I139:K139"/>
    <mergeCell ref="L139:M139"/>
    <mergeCell ref="N139:O139"/>
    <mergeCell ref="A138:C138"/>
    <mergeCell ref="D138:E138"/>
    <mergeCell ref="F138:G138"/>
    <mergeCell ref="I138:K138"/>
    <mergeCell ref="L138:M138"/>
    <mergeCell ref="N138:O138"/>
    <mergeCell ref="A147:C147"/>
    <mergeCell ref="D147:E147"/>
    <mergeCell ref="F147:G147"/>
    <mergeCell ref="I147:K147"/>
    <mergeCell ref="L147:M147"/>
    <mergeCell ref="N147:O147"/>
    <mergeCell ref="A145:C145"/>
    <mergeCell ref="D145:E146"/>
    <mergeCell ref="F145:G146"/>
    <mergeCell ref="I145:K145"/>
    <mergeCell ref="L145:M146"/>
    <mergeCell ref="N145:O146"/>
    <mergeCell ref="A146:C146"/>
    <mergeCell ref="I146:K146"/>
    <mergeCell ref="A144:C144"/>
    <mergeCell ref="D144:E144"/>
    <mergeCell ref="F144:G144"/>
    <mergeCell ref="I144:K144"/>
    <mergeCell ref="L144:M144"/>
    <mergeCell ref="N144:O144"/>
    <mergeCell ref="A153:C153"/>
    <mergeCell ref="D153:E153"/>
    <mergeCell ref="I153:K153"/>
    <mergeCell ref="L153:M153"/>
    <mergeCell ref="A154:B154"/>
    <mergeCell ref="I154:J154"/>
    <mergeCell ref="A151:C151"/>
    <mergeCell ref="D151:E151"/>
    <mergeCell ref="I151:K151"/>
    <mergeCell ref="L151:M151"/>
    <mergeCell ref="A152:B152"/>
    <mergeCell ref="I152:J152"/>
    <mergeCell ref="A149:C149"/>
    <mergeCell ref="D149:E149"/>
    <mergeCell ref="I149:K149"/>
    <mergeCell ref="L149:M149"/>
    <mergeCell ref="A150:C150"/>
    <mergeCell ref="D150:E150"/>
    <mergeCell ref="I150:K150"/>
    <mergeCell ref="L150:M150"/>
    <mergeCell ref="A169:F169"/>
    <mergeCell ref="L169:P169"/>
    <mergeCell ref="A174:F174"/>
    <mergeCell ref="L174:P174"/>
    <mergeCell ref="A175:P175"/>
    <mergeCell ref="A176:P176"/>
    <mergeCell ref="A161:F161"/>
    <mergeCell ref="L161:P161"/>
    <mergeCell ref="A166:F166"/>
    <mergeCell ref="L166:P166"/>
    <mergeCell ref="A168:F168"/>
    <mergeCell ref="L168:P168"/>
    <mergeCell ref="D155:E155"/>
    <mergeCell ref="L155:M155"/>
    <mergeCell ref="D156:E156"/>
    <mergeCell ref="L156:M156"/>
    <mergeCell ref="L159:P159"/>
    <mergeCell ref="A160:F160"/>
    <mergeCell ref="L160:P160"/>
    <mergeCell ref="D191:E192"/>
    <mergeCell ref="F191:G192"/>
    <mergeCell ref="L191:M192"/>
    <mergeCell ref="N191:O192"/>
    <mergeCell ref="A193:C193"/>
    <mergeCell ref="D193:E193"/>
    <mergeCell ref="F193:G193"/>
    <mergeCell ref="I193:K193"/>
    <mergeCell ref="L193:M193"/>
    <mergeCell ref="N193:O193"/>
    <mergeCell ref="A184:D184"/>
    <mergeCell ref="A185:D185"/>
    <mergeCell ref="A188:H188"/>
    <mergeCell ref="I188:P188"/>
    <mergeCell ref="D190:E190"/>
    <mergeCell ref="L190:M190"/>
    <mergeCell ref="A178:D178"/>
    <mergeCell ref="A179:D179"/>
    <mergeCell ref="A180:D180"/>
    <mergeCell ref="A181:D181"/>
    <mergeCell ref="A182:D182"/>
    <mergeCell ref="A183:D183"/>
    <mergeCell ref="A196:C196"/>
    <mergeCell ref="D196:E196"/>
    <mergeCell ref="F196:G196"/>
    <mergeCell ref="I196:K196"/>
    <mergeCell ref="L196:M196"/>
    <mergeCell ref="N196:O196"/>
    <mergeCell ref="A195:C195"/>
    <mergeCell ref="D195:E195"/>
    <mergeCell ref="F195:G195"/>
    <mergeCell ref="I195:K195"/>
    <mergeCell ref="L195:M195"/>
    <mergeCell ref="N195:O195"/>
    <mergeCell ref="A194:C194"/>
    <mergeCell ref="D194:E194"/>
    <mergeCell ref="F194:G194"/>
    <mergeCell ref="I194:K194"/>
    <mergeCell ref="L194:M194"/>
    <mergeCell ref="N194:O194"/>
    <mergeCell ref="A202:C202"/>
    <mergeCell ref="D202:E202"/>
    <mergeCell ref="F202:G202"/>
    <mergeCell ref="I202:K202"/>
    <mergeCell ref="L202:M202"/>
    <mergeCell ref="N202:O202"/>
    <mergeCell ref="D199:E200"/>
    <mergeCell ref="F199:G200"/>
    <mergeCell ref="L199:M200"/>
    <mergeCell ref="N199:O200"/>
    <mergeCell ref="A201:C201"/>
    <mergeCell ref="D201:E201"/>
    <mergeCell ref="F201:G201"/>
    <mergeCell ref="I201:K201"/>
    <mergeCell ref="L201:M201"/>
    <mergeCell ref="N201:O201"/>
    <mergeCell ref="A197:C197"/>
    <mergeCell ref="D197:E197"/>
    <mergeCell ref="F197:G197"/>
    <mergeCell ref="I197:K197"/>
    <mergeCell ref="L197:M197"/>
    <mergeCell ref="N197:O197"/>
    <mergeCell ref="A207:C207"/>
    <mergeCell ref="D207:E207"/>
    <mergeCell ref="I207:K207"/>
    <mergeCell ref="L207:M207"/>
    <mergeCell ref="A208:C208"/>
    <mergeCell ref="D208:E208"/>
    <mergeCell ref="I208:K208"/>
    <mergeCell ref="L208:M208"/>
    <mergeCell ref="A205:C205"/>
    <mergeCell ref="D205:E205"/>
    <mergeCell ref="F205:G205"/>
    <mergeCell ref="I205:K205"/>
    <mergeCell ref="L205:M205"/>
    <mergeCell ref="N205:O205"/>
    <mergeCell ref="A203:C203"/>
    <mergeCell ref="D203:E204"/>
    <mergeCell ref="F203:G204"/>
    <mergeCell ref="I203:K203"/>
    <mergeCell ref="L203:M204"/>
    <mergeCell ref="N203:O204"/>
    <mergeCell ref="A204:C204"/>
    <mergeCell ref="I204:K204"/>
    <mergeCell ref="D213:E213"/>
    <mergeCell ref="L213:M213"/>
    <mergeCell ref="D214:E214"/>
    <mergeCell ref="L214:M214"/>
    <mergeCell ref="L217:P217"/>
    <mergeCell ref="A218:F218"/>
    <mergeCell ref="L218:P218"/>
    <mergeCell ref="A211:C211"/>
    <mergeCell ref="D211:E211"/>
    <mergeCell ref="I211:K211"/>
    <mergeCell ref="L211:M211"/>
    <mergeCell ref="A212:B212"/>
    <mergeCell ref="I212:J212"/>
    <mergeCell ref="A209:C209"/>
    <mergeCell ref="D209:E209"/>
    <mergeCell ref="I209:K209"/>
    <mergeCell ref="L209:M209"/>
    <mergeCell ref="A210:B210"/>
    <mergeCell ref="I210:J210"/>
    <mergeCell ref="A237:D237"/>
    <mergeCell ref="A238:D238"/>
    <mergeCell ref="A239:D239"/>
    <mergeCell ref="A240:D240"/>
    <mergeCell ref="A241:D241"/>
    <mergeCell ref="A242:D242"/>
    <mergeCell ref="L227:P227"/>
    <mergeCell ref="A232:F232"/>
    <mergeCell ref="L232:P232"/>
    <mergeCell ref="A233:P233"/>
    <mergeCell ref="A234:P234"/>
    <mergeCell ref="A236:D236"/>
    <mergeCell ref="A219:F219"/>
    <mergeCell ref="L219:P219"/>
    <mergeCell ref="A224:F224"/>
    <mergeCell ref="L224:P224"/>
    <mergeCell ref="A226:F226"/>
    <mergeCell ref="L226:P226"/>
    <mergeCell ref="A227:F227"/>
    <mergeCell ref="A253:C253"/>
    <mergeCell ref="D253:E253"/>
    <mergeCell ref="F253:G253"/>
    <mergeCell ref="I253:K253"/>
    <mergeCell ref="L253:M253"/>
    <mergeCell ref="N253:O253"/>
    <mergeCell ref="N251:O251"/>
    <mergeCell ref="A252:C252"/>
    <mergeCell ref="D252:E252"/>
    <mergeCell ref="F252:G252"/>
    <mergeCell ref="I252:K252"/>
    <mergeCell ref="L252:M252"/>
    <mergeCell ref="N252:O252"/>
    <mergeCell ref="L248:M248"/>
    <mergeCell ref="D249:E250"/>
    <mergeCell ref="F249:G250"/>
    <mergeCell ref="L249:M250"/>
    <mergeCell ref="N249:O250"/>
    <mergeCell ref="A251:C251"/>
    <mergeCell ref="D251:E251"/>
    <mergeCell ref="F251:G251"/>
    <mergeCell ref="I251:K251"/>
    <mergeCell ref="L251:M251"/>
    <mergeCell ref="D257:E258"/>
    <mergeCell ref="F257:G258"/>
    <mergeCell ref="L257:M258"/>
    <mergeCell ref="N257:O258"/>
    <mergeCell ref="A259:C259"/>
    <mergeCell ref="D259:E259"/>
    <mergeCell ref="F259:G259"/>
    <mergeCell ref="I259:K259"/>
    <mergeCell ref="L259:M259"/>
    <mergeCell ref="N259:O259"/>
    <mergeCell ref="A255:C255"/>
    <mergeCell ref="D255:E255"/>
    <mergeCell ref="F255:G255"/>
    <mergeCell ref="I255:K255"/>
    <mergeCell ref="L255:M255"/>
    <mergeCell ref="N255:O255"/>
    <mergeCell ref="A254:C254"/>
    <mergeCell ref="D254:E254"/>
    <mergeCell ref="F254:G254"/>
    <mergeCell ref="I254:K254"/>
    <mergeCell ref="L254:M254"/>
    <mergeCell ref="N254:O254"/>
    <mergeCell ref="A263:C263"/>
    <mergeCell ref="D263:E263"/>
    <mergeCell ref="F263:G263"/>
    <mergeCell ref="I263:K263"/>
    <mergeCell ref="L263:M263"/>
    <mergeCell ref="N263:O263"/>
    <mergeCell ref="A261:C261"/>
    <mergeCell ref="D261:E262"/>
    <mergeCell ref="F261:G262"/>
    <mergeCell ref="I261:K261"/>
    <mergeCell ref="L261:M262"/>
    <mergeCell ref="N261:O262"/>
    <mergeCell ref="A262:C262"/>
    <mergeCell ref="I262:K262"/>
    <mergeCell ref="A260:C260"/>
    <mergeCell ref="D260:E260"/>
    <mergeCell ref="F260:G260"/>
    <mergeCell ref="I260:K260"/>
    <mergeCell ref="L260:M260"/>
    <mergeCell ref="N260:O260"/>
    <mergeCell ref="A269:C269"/>
    <mergeCell ref="D269:E269"/>
    <mergeCell ref="I269:K269"/>
    <mergeCell ref="L269:M269"/>
    <mergeCell ref="A270:B270"/>
    <mergeCell ref="I270:J270"/>
    <mergeCell ref="A267:C267"/>
    <mergeCell ref="D267:E267"/>
    <mergeCell ref="I267:K267"/>
    <mergeCell ref="L267:M267"/>
    <mergeCell ref="A268:B268"/>
    <mergeCell ref="I268:J268"/>
    <mergeCell ref="A265:C265"/>
    <mergeCell ref="D265:E265"/>
    <mergeCell ref="I265:K265"/>
    <mergeCell ref="L265:M265"/>
    <mergeCell ref="A266:C266"/>
    <mergeCell ref="D266:E266"/>
    <mergeCell ref="I266:K266"/>
    <mergeCell ref="L266:M266"/>
    <mergeCell ref="A291:P291"/>
    <mergeCell ref="A292:P292"/>
    <mergeCell ref="A294:D294"/>
    <mergeCell ref="A295:D295"/>
    <mergeCell ref="A296:D296"/>
    <mergeCell ref="A297:D297"/>
    <mergeCell ref="A284:F284"/>
    <mergeCell ref="L284:P284"/>
    <mergeCell ref="A285:F285"/>
    <mergeCell ref="L285:P285"/>
    <mergeCell ref="A290:F290"/>
    <mergeCell ref="L290:P290"/>
    <mergeCell ref="D271:E271"/>
    <mergeCell ref="L271:M271"/>
    <mergeCell ref="D272:E272"/>
    <mergeCell ref="L272:M272"/>
    <mergeCell ref="L275:P275"/>
    <mergeCell ref="A276:F276"/>
    <mergeCell ref="L276:P276"/>
    <mergeCell ref="A309:C309"/>
    <mergeCell ref="D309:E309"/>
    <mergeCell ref="F309:G309"/>
    <mergeCell ref="I309:K309"/>
    <mergeCell ref="L309:M309"/>
    <mergeCell ref="N309:O309"/>
    <mergeCell ref="D306:E306"/>
    <mergeCell ref="L306:M306"/>
    <mergeCell ref="D307:E308"/>
    <mergeCell ref="F307:G308"/>
    <mergeCell ref="L307:M308"/>
    <mergeCell ref="N307:O308"/>
    <mergeCell ref="A298:D298"/>
    <mergeCell ref="A299:D299"/>
    <mergeCell ref="A300:D300"/>
    <mergeCell ref="A301:D301"/>
    <mergeCell ref="A304:H304"/>
    <mergeCell ref="I304:P304"/>
    <mergeCell ref="A313:C313"/>
    <mergeCell ref="D313:E313"/>
    <mergeCell ref="F313:G313"/>
    <mergeCell ref="I313:K313"/>
    <mergeCell ref="L313:M313"/>
    <mergeCell ref="N313:O313"/>
    <mergeCell ref="A312:C312"/>
    <mergeCell ref="D312:E312"/>
    <mergeCell ref="F312:G312"/>
    <mergeCell ref="I312:K312"/>
    <mergeCell ref="L312:M312"/>
    <mergeCell ref="N312:O312"/>
    <mergeCell ref="L310:M310"/>
    <mergeCell ref="N310:O310"/>
    <mergeCell ref="A311:C311"/>
    <mergeCell ref="D311:E311"/>
    <mergeCell ref="F311:G311"/>
    <mergeCell ref="I311:K311"/>
    <mergeCell ref="L311:M311"/>
    <mergeCell ref="N311:O311"/>
    <mergeCell ref="N321:O321"/>
    <mergeCell ref="A319:C319"/>
    <mergeCell ref="D319:E320"/>
    <mergeCell ref="F319:G320"/>
    <mergeCell ref="I319:K319"/>
    <mergeCell ref="L319:M320"/>
    <mergeCell ref="N319:O320"/>
    <mergeCell ref="A320:C320"/>
    <mergeCell ref="I320:K320"/>
    <mergeCell ref="A318:C318"/>
    <mergeCell ref="D318:E318"/>
    <mergeCell ref="F318:G318"/>
    <mergeCell ref="I318:K318"/>
    <mergeCell ref="L318:M318"/>
    <mergeCell ref="N318:O318"/>
    <mergeCell ref="D315:E316"/>
    <mergeCell ref="F315:G316"/>
    <mergeCell ref="L315:M316"/>
    <mergeCell ref="N315:O316"/>
    <mergeCell ref="A317:C317"/>
    <mergeCell ref="D317:E317"/>
    <mergeCell ref="F317:G317"/>
    <mergeCell ref="I317:K317"/>
    <mergeCell ref="L317:M317"/>
    <mergeCell ref="N317:O317"/>
    <mergeCell ref="A325:C325"/>
    <mergeCell ref="D325:E325"/>
    <mergeCell ref="I325:K325"/>
    <mergeCell ref="L325:M325"/>
    <mergeCell ref="A326:B326"/>
    <mergeCell ref="I326:J326"/>
    <mergeCell ref="A323:C323"/>
    <mergeCell ref="D323:E323"/>
    <mergeCell ref="I323:K323"/>
    <mergeCell ref="L323:M323"/>
    <mergeCell ref="A324:C324"/>
    <mergeCell ref="D324:E324"/>
    <mergeCell ref="I324:K324"/>
    <mergeCell ref="L324:M324"/>
    <mergeCell ref="A321:C321"/>
    <mergeCell ref="D321:E321"/>
    <mergeCell ref="F321:G321"/>
    <mergeCell ref="I321:K321"/>
    <mergeCell ref="L321:M321"/>
    <mergeCell ref="A335:F335"/>
    <mergeCell ref="L335:P335"/>
    <mergeCell ref="A340:F340"/>
    <mergeCell ref="L340:P340"/>
    <mergeCell ref="A342:F342"/>
    <mergeCell ref="L342:P342"/>
    <mergeCell ref="D329:E329"/>
    <mergeCell ref="L329:M329"/>
    <mergeCell ref="D330:E330"/>
    <mergeCell ref="L330:M330"/>
    <mergeCell ref="L333:P333"/>
    <mergeCell ref="A334:F334"/>
    <mergeCell ref="L334:P334"/>
    <mergeCell ref="A327:C327"/>
    <mergeCell ref="D327:E327"/>
    <mergeCell ref="I327:K327"/>
    <mergeCell ref="L327:M327"/>
    <mergeCell ref="A328:B328"/>
    <mergeCell ref="I328:J328"/>
    <mergeCell ref="L509:P509"/>
    <mergeCell ref="A509:F509"/>
    <mergeCell ref="L508:P508"/>
    <mergeCell ref="A508:F508"/>
    <mergeCell ref="L507:P507"/>
    <mergeCell ref="L504:M504"/>
    <mergeCell ref="D504:E504"/>
    <mergeCell ref="A348:F348"/>
    <mergeCell ref="L348:P348"/>
    <mergeCell ref="L522:P522"/>
    <mergeCell ref="A522:F522"/>
    <mergeCell ref="L517:P517"/>
    <mergeCell ref="A517:F517"/>
    <mergeCell ref="L516:P516"/>
    <mergeCell ref="A516:F516"/>
    <mergeCell ref="L514:P514"/>
    <mergeCell ref="A514:F514"/>
    <mergeCell ref="I384:J384"/>
    <mergeCell ref="A384:B384"/>
    <mergeCell ref="A385:C385"/>
    <mergeCell ref="D385:E385"/>
    <mergeCell ref="L385:M385"/>
    <mergeCell ref="I385:K385"/>
    <mergeCell ref="D387:E387"/>
    <mergeCell ref="D388:E388"/>
    <mergeCell ref="L393:P393"/>
    <mergeCell ref="A393:F393"/>
    <mergeCell ref="L398:P398"/>
    <mergeCell ref="A398:F398"/>
    <mergeCell ref="L400:P400"/>
    <mergeCell ref="A400:F400"/>
    <mergeCell ref="A413:D413"/>
    <mergeCell ref="L498:M498"/>
    <mergeCell ref="I498:K498"/>
    <mergeCell ref="D498:E498"/>
    <mergeCell ref="A498:C498"/>
    <mergeCell ref="L497:M497"/>
    <mergeCell ref="I497:K497"/>
    <mergeCell ref="D497:E497"/>
    <mergeCell ref="A497:C497"/>
    <mergeCell ref="I500:J500"/>
    <mergeCell ref="A500:B500"/>
    <mergeCell ref="L499:M499"/>
    <mergeCell ref="I499:K499"/>
    <mergeCell ref="D499:E499"/>
    <mergeCell ref="A499:C499"/>
    <mergeCell ref="L503:M503"/>
    <mergeCell ref="D503:E503"/>
    <mergeCell ref="I502:J502"/>
    <mergeCell ref="A502:B502"/>
    <mergeCell ref="L501:M501"/>
    <mergeCell ref="I501:K501"/>
    <mergeCell ref="D501:E501"/>
    <mergeCell ref="A501:C501"/>
    <mergeCell ref="N492:O492"/>
    <mergeCell ref="L492:M492"/>
    <mergeCell ref="I492:K492"/>
    <mergeCell ref="F492:G492"/>
    <mergeCell ref="D492:E492"/>
    <mergeCell ref="A492:C492"/>
    <mergeCell ref="N493:O494"/>
    <mergeCell ref="L493:M494"/>
    <mergeCell ref="I494:K494"/>
    <mergeCell ref="F493:G494"/>
    <mergeCell ref="D493:E494"/>
    <mergeCell ref="A494:C494"/>
    <mergeCell ref="I493:K493"/>
    <mergeCell ref="A493:C493"/>
    <mergeCell ref="N495:O495"/>
    <mergeCell ref="L495:M495"/>
    <mergeCell ref="I495:K495"/>
    <mergeCell ref="F495:G495"/>
    <mergeCell ref="D495:E495"/>
    <mergeCell ref="A495:C495"/>
    <mergeCell ref="A487:C487"/>
    <mergeCell ref="N486:O486"/>
    <mergeCell ref="L486:M486"/>
    <mergeCell ref="I486:K486"/>
    <mergeCell ref="F486:G486"/>
    <mergeCell ref="D486:E486"/>
    <mergeCell ref="A486:C486"/>
    <mergeCell ref="N489:O490"/>
    <mergeCell ref="L489:M490"/>
    <mergeCell ref="F489:G490"/>
    <mergeCell ref="D489:E490"/>
    <mergeCell ref="N487:O487"/>
    <mergeCell ref="L487:M487"/>
    <mergeCell ref="I487:K487"/>
    <mergeCell ref="F487:G487"/>
    <mergeCell ref="D487:E487"/>
    <mergeCell ref="N491:O491"/>
    <mergeCell ref="L491:M491"/>
    <mergeCell ref="I491:K491"/>
    <mergeCell ref="F491:G491"/>
    <mergeCell ref="D491:E491"/>
    <mergeCell ref="A491:C491"/>
    <mergeCell ref="N483:O483"/>
    <mergeCell ref="L483:M483"/>
    <mergeCell ref="I483:K483"/>
    <mergeCell ref="F483:G483"/>
    <mergeCell ref="D483:E483"/>
    <mergeCell ref="A483:C483"/>
    <mergeCell ref="N484:O484"/>
    <mergeCell ref="L484:M484"/>
    <mergeCell ref="I484:K484"/>
    <mergeCell ref="F484:G484"/>
    <mergeCell ref="D484:E484"/>
    <mergeCell ref="A484:C484"/>
    <mergeCell ref="N485:O485"/>
    <mergeCell ref="L485:M485"/>
    <mergeCell ref="I485:K485"/>
    <mergeCell ref="F485:G485"/>
    <mergeCell ref="D485:E485"/>
    <mergeCell ref="A485:C485"/>
    <mergeCell ref="A471:D471"/>
    <mergeCell ref="A470:D470"/>
    <mergeCell ref="A469:D469"/>
    <mergeCell ref="A468:D468"/>
    <mergeCell ref="A466:P466"/>
    <mergeCell ref="A465:P465"/>
    <mergeCell ref="I478:P478"/>
    <mergeCell ref="A478:H478"/>
    <mergeCell ref="A475:D475"/>
    <mergeCell ref="A474:D474"/>
    <mergeCell ref="A473:D473"/>
    <mergeCell ref="A472:D472"/>
    <mergeCell ref="N481:O482"/>
    <mergeCell ref="L481:M482"/>
    <mergeCell ref="F481:G482"/>
    <mergeCell ref="D481:E482"/>
    <mergeCell ref="L480:M480"/>
    <mergeCell ref="D480:E480"/>
    <mergeCell ref="I442:J442"/>
    <mergeCell ref="A442:B442"/>
    <mergeCell ref="L441:M441"/>
    <mergeCell ref="I441:K441"/>
    <mergeCell ref="D441:E441"/>
    <mergeCell ref="A441:C441"/>
    <mergeCell ref="D446:E446"/>
    <mergeCell ref="L445:M445"/>
    <mergeCell ref="D445:E445"/>
    <mergeCell ref="I444:J444"/>
    <mergeCell ref="A444:B444"/>
    <mergeCell ref="L443:M443"/>
    <mergeCell ref="I443:K443"/>
    <mergeCell ref="D443:E443"/>
    <mergeCell ref="A443:C443"/>
    <mergeCell ref="A459:F459"/>
    <mergeCell ref="L458:P458"/>
    <mergeCell ref="A458:F458"/>
    <mergeCell ref="L456:P456"/>
    <mergeCell ref="A456:F456"/>
    <mergeCell ref="L451:P451"/>
    <mergeCell ref="A451:F451"/>
    <mergeCell ref="D437:E437"/>
    <mergeCell ref="A437:C437"/>
    <mergeCell ref="N435:O436"/>
    <mergeCell ref="L435:M436"/>
    <mergeCell ref="I436:K436"/>
    <mergeCell ref="F435:G436"/>
    <mergeCell ref="D435:E436"/>
    <mergeCell ref="A436:C436"/>
    <mergeCell ref="I435:K435"/>
    <mergeCell ref="A435:C435"/>
    <mergeCell ref="L440:M440"/>
    <mergeCell ref="I440:K440"/>
    <mergeCell ref="D440:E440"/>
    <mergeCell ref="A440:C440"/>
    <mergeCell ref="L439:M439"/>
    <mergeCell ref="I439:K439"/>
    <mergeCell ref="D439:E439"/>
    <mergeCell ref="A439:C439"/>
    <mergeCell ref="N431:O432"/>
    <mergeCell ref="L431:M432"/>
    <mergeCell ref="F431:G432"/>
    <mergeCell ref="D431:E432"/>
    <mergeCell ref="N429:O429"/>
    <mergeCell ref="L429:M429"/>
    <mergeCell ref="I429:K429"/>
    <mergeCell ref="F429:G429"/>
    <mergeCell ref="D429:E429"/>
    <mergeCell ref="N433:O433"/>
    <mergeCell ref="L433:M433"/>
    <mergeCell ref="I433:K433"/>
    <mergeCell ref="F433:G433"/>
    <mergeCell ref="D433:E433"/>
    <mergeCell ref="A433:C433"/>
    <mergeCell ref="N434:O434"/>
    <mergeCell ref="L434:M434"/>
    <mergeCell ref="I434:K434"/>
    <mergeCell ref="F434:G434"/>
    <mergeCell ref="D434:E434"/>
    <mergeCell ref="A434:C434"/>
    <mergeCell ref="N426:O426"/>
    <mergeCell ref="L426:M426"/>
    <mergeCell ref="I426:K426"/>
    <mergeCell ref="F426:G426"/>
    <mergeCell ref="D426:E426"/>
    <mergeCell ref="A426:C426"/>
    <mergeCell ref="N427:O427"/>
    <mergeCell ref="L427:M427"/>
    <mergeCell ref="I427:K427"/>
    <mergeCell ref="F427:G427"/>
    <mergeCell ref="D427:E427"/>
    <mergeCell ref="A427:C427"/>
    <mergeCell ref="A429:C429"/>
    <mergeCell ref="N428:O428"/>
    <mergeCell ref="L428:M428"/>
    <mergeCell ref="I428:K428"/>
    <mergeCell ref="F428:G428"/>
    <mergeCell ref="D428:E428"/>
    <mergeCell ref="A428:C428"/>
    <mergeCell ref="I420:P420"/>
    <mergeCell ref="A420:H420"/>
    <mergeCell ref="A417:D417"/>
    <mergeCell ref="A416:D416"/>
    <mergeCell ref="A415:D415"/>
    <mergeCell ref="A414:D414"/>
    <mergeCell ref="N423:O424"/>
    <mergeCell ref="L423:M424"/>
    <mergeCell ref="F423:G424"/>
    <mergeCell ref="D423:E424"/>
    <mergeCell ref="L422:M422"/>
    <mergeCell ref="D422:E422"/>
    <mergeCell ref="N425:O425"/>
    <mergeCell ref="L425:M425"/>
    <mergeCell ref="I425:K425"/>
    <mergeCell ref="F425:G425"/>
    <mergeCell ref="D425:E425"/>
    <mergeCell ref="A425:C425"/>
    <mergeCell ref="D383:E383"/>
    <mergeCell ref="A383:C383"/>
    <mergeCell ref="L382:M382"/>
    <mergeCell ref="I382:K382"/>
    <mergeCell ref="D382:E382"/>
    <mergeCell ref="A382:C382"/>
    <mergeCell ref="L392:P392"/>
    <mergeCell ref="A392:F392"/>
    <mergeCell ref="L391:P391"/>
    <mergeCell ref="L388:M388"/>
    <mergeCell ref="L387:M387"/>
    <mergeCell ref="I386:J386"/>
    <mergeCell ref="A386:B386"/>
    <mergeCell ref="A408:P408"/>
    <mergeCell ref="A407:P407"/>
    <mergeCell ref="L406:P406"/>
    <mergeCell ref="A406:F406"/>
    <mergeCell ref="L401:P401"/>
    <mergeCell ref="A401:F401"/>
    <mergeCell ref="N377:O378"/>
    <mergeCell ref="L377:M378"/>
    <mergeCell ref="I378:K378"/>
    <mergeCell ref="F377:G378"/>
    <mergeCell ref="D377:E378"/>
    <mergeCell ref="A378:C378"/>
    <mergeCell ref="I377:K377"/>
    <mergeCell ref="A377:C377"/>
    <mergeCell ref="L381:M381"/>
    <mergeCell ref="I381:K381"/>
    <mergeCell ref="A381:C381"/>
    <mergeCell ref="N379:O379"/>
    <mergeCell ref="L379:M379"/>
    <mergeCell ref="I379:K379"/>
    <mergeCell ref="F379:G379"/>
    <mergeCell ref="D379:E379"/>
    <mergeCell ref="A379:C379"/>
    <mergeCell ref="N373:O374"/>
    <mergeCell ref="L373:M374"/>
    <mergeCell ref="F373:G374"/>
    <mergeCell ref="D373:E374"/>
    <mergeCell ref="N371:O371"/>
    <mergeCell ref="L371:M371"/>
    <mergeCell ref="I371:K371"/>
    <mergeCell ref="F371:G371"/>
    <mergeCell ref="D371:E371"/>
    <mergeCell ref="N375:O375"/>
    <mergeCell ref="L375:M375"/>
    <mergeCell ref="I375:K375"/>
    <mergeCell ref="F375:G375"/>
    <mergeCell ref="D375:E375"/>
    <mergeCell ref="A375:C375"/>
    <mergeCell ref="N376:O376"/>
    <mergeCell ref="L376:M376"/>
    <mergeCell ref="I376:K376"/>
    <mergeCell ref="F376:G376"/>
    <mergeCell ref="D376:E376"/>
    <mergeCell ref="A376:C376"/>
    <mergeCell ref="I368:K368"/>
    <mergeCell ref="F368:G368"/>
    <mergeCell ref="D368:E368"/>
    <mergeCell ref="A368:C368"/>
    <mergeCell ref="N369:O369"/>
    <mergeCell ref="L369:M369"/>
    <mergeCell ref="I369:K369"/>
    <mergeCell ref="F369:G369"/>
    <mergeCell ref="D369:E369"/>
    <mergeCell ref="A369:C369"/>
    <mergeCell ref="A371:C371"/>
    <mergeCell ref="N370:O370"/>
    <mergeCell ref="L370:M370"/>
    <mergeCell ref="I370:K370"/>
    <mergeCell ref="F370:G370"/>
    <mergeCell ref="D370:E370"/>
    <mergeCell ref="A370:C370"/>
    <mergeCell ref="A586:D586"/>
    <mergeCell ref="A587:D587"/>
    <mergeCell ref="A588:D588"/>
    <mergeCell ref="A589:D589"/>
    <mergeCell ref="A590:D590"/>
    <mergeCell ref="A591:D591"/>
    <mergeCell ref="A355:D355"/>
    <mergeCell ref="A354:D354"/>
    <mergeCell ref="A353:D353"/>
    <mergeCell ref="A352:D352"/>
    <mergeCell ref="A350:P350"/>
    <mergeCell ref="A349:P349"/>
    <mergeCell ref="I362:P362"/>
    <mergeCell ref="A362:H362"/>
    <mergeCell ref="A359:D359"/>
    <mergeCell ref="A358:D358"/>
    <mergeCell ref="A357:D357"/>
    <mergeCell ref="A356:D356"/>
    <mergeCell ref="N365:O366"/>
    <mergeCell ref="L365:M366"/>
    <mergeCell ref="F365:G366"/>
    <mergeCell ref="D365:E366"/>
    <mergeCell ref="L364:M364"/>
    <mergeCell ref="D364:E364"/>
    <mergeCell ref="N367:O367"/>
    <mergeCell ref="L367:M367"/>
    <mergeCell ref="I367:K367"/>
    <mergeCell ref="F367:G367"/>
    <mergeCell ref="D367:E367"/>
    <mergeCell ref="A367:C367"/>
    <mergeCell ref="N368:O368"/>
    <mergeCell ref="L368:M368"/>
    <mergeCell ref="A600:C600"/>
    <mergeCell ref="D600:E600"/>
    <mergeCell ref="F600:G600"/>
    <mergeCell ref="I600:K600"/>
    <mergeCell ref="L600:M600"/>
    <mergeCell ref="N600:O600"/>
    <mergeCell ref="A599:C599"/>
    <mergeCell ref="D599:E599"/>
    <mergeCell ref="F599:G599"/>
    <mergeCell ref="I599:K599"/>
    <mergeCell ref="L599:M599"/>
    <mergeCell ref="N599:O599"/>
    <mergeCell ref="A594:H594"/>
    <mergeCell ref="I594:P594"/>
    <mergeCell ref="D596:E596"/>
    <mergeCell ref="L596:M596"/>
    <mergeCell ref="D597:E598"/>
    <mergeCell ref="F597:G598"/>
    <mergeCell ref="L597:M598"/>
    <mergeCell ref="N597:O598"/>
    <mergeCell ref="A603:C603"/>
    <mergeCell ref="D603:E603"/>
    <mergeCell ref="F603:G603"/>
    <mergeCell ref="I603:K603"/>
    <mergeCell ref="L603:M603"/>
    <mergeCell ref="N603:O603"/>
    <mergeCell ref="A602:C602"/>
    <mergeCell ref="D602:E602"/>
    <mergeCell ref="F602:G602"/>
    <mergeCell ref="I602:K602"/>
    <mergeCell ref="L602:M602"/>
    <mergeCell ref="N602:O602"/>
    <mergeCell ref="A601:C601"/>
    <mergeCell ref="D601:E601"/>
    <mergeCell ref="F601:G601"/>
    <mergeCell ref="I601:K601"/>
    <mergeCell ref="L601:M601"/>
    <mergeCell ref="N601:O601"/>
    <mergeCell ref="N611:O611"/>
    <mergeCell ref="A609:C609"/>
    <mergeCell ref="D609:E610"/>
    <mergeCell ref="F609:G610"/>
    <mergeCell ref="I609:K609"/>
    <mergeCell ref="L609:M610"/>
    <mergeCell ref="N609:O610"/>
    <mergeCell ref="A610:C610"/>
    <mergeCell ref="I610:K610"/>
    <mergeCell ref="A608:C608"/>
    <mergeCell ref="D608:E608"/>
    <mergeCell ref="F608:G608"/>
    <mergeCell ref="I608:K608"/>
    <mergeCell ref="L608:M608"/>
    <mergeCell ref="N608:O608"/>
    <mergeCell ref="A607:C607"/>
    <mergeCell ref="D607:E607"/>
    <mergeCell ref="F607:G607"/>
    <mergeCell ref="I607:K607"/>
    <mergeCell ref="L607:M607"/>
    <mergeCell ref="N607:O607"/>
    <mergeCell ref="A615:C615"/>
    <mergeCell ref="D615:E615"/>
    <mergeCell ref="I615:K615"/>
    <mergeCell ref="L615:M615"/>
    <mergeCell ref="A616:B616"/>
    <mergeCell ref="I616:J616"/>
    <mergeCell ref="A613:C613"/>
    <mergeCell ref="D613:E613"/>
    <mergeCell ref="I613:K613"/>
    <mergeCell ref="L613:M613"/>
    <mergeCell ref="A614:C614"/>
    <mergeCell ref="D614:E614"/>
    <mergeCell ref="I614:K614"/>
    <mergeCell ref="L614:M614"/>
    <mergeCell ref="A611:C611"/>
    <mergeCell ref="D611:E611"/>
    <mergeCell ref="F611:G611"/>
    <mergeCell ref="I611:K611"/>
    <mergeCell ref="L611:M611"/>
    <mergeCell ref="A630:F630"/>
    <mergeCell ref="L630:P630"/>
    <mergeCell ref="L632:P632"/>
    <mergeCell ref="L633:P633"/>
    <mergeCell ref="L638:P638"/>
    <mergeCell ref="A639:P639"/>
    <mergeCell ref="L620:M620"/>
    <mergeCell ref="L623:P623"/>
    <mergeCell ref="A624:F624"/>
    <mergeCell ref="L624:P624"/>
    <mergeCell ref="A625:F625"/>
    <mergeCell ref="L625:P625"/>
    <mergeCell ref="A617:C617"/>
    <mergeCell ref="D617:E617"/>
    <mergeCell ref="I617:K617"/>
    <mergeCell ref="L617:M617"/>
    <mergeCell ref="A618:B618"/>
    <mergeCell ref="I618:J618"/>
    <mergeCell ref="D655:E656"/>
    <mergeCell ref="F655:G656"/>
    <mergeCell ref="L655:M656"/>
    <mergeCell ref="N655:O656"/>
    <mergeCell ref="A657:C657"/>
    <mergeCell ref="D657:E657"/>
    <mergeCell ref="F657:G657"/>
    <mergeCell ref="I657:K657"/>
    <mergeCell ref="L657:M657"/>
    <mergeCell ref="N657:O657"/>
    <mergeCell ref="A648:D648"/>
    <mergeCell ref="A649:D649"/>
    <mergeCell ref="A652:H652"/>
    <mergeCell ref="I652:P652"/>
    <mergeCell ref="D654:E654"/>
    <mergeCell ref="L654:M654"/>
    <mergeCell ref="A642:D642"/>
    <mergeCell ref="A643:D643"/>
    <mergeCell ref="A644:D644"/>
    <mergeCell ref="A645:D645"/>
    <mergeCell ref="A646:D646"/>
    <mergeCell ref="A647:D647"/>
    <mergeCell ref="A660:C660"/>
    <mergeCell ref="D660:E660"/>
    <mergeCell ref="F660:G660"/>
    <mergeCell ref="I660:K660"/>
    <mergeCell ref="L660:M660"/>
    <mergeCell ref="N660:O660"/>
    <mergeCell ref="A659:C659"/>
    <mergeCell ref="D659:E659"/>
    <mergeCell ref="F659:G659"/>
    <mergeCell ref="I659:K659"/>
    <mergeCell ref="L659:M659"/>
    <mergeCell ref="N659:O659"/>
    <mergeCell ref="A658:C658"/>
    <mergeCell ref="D658:E658"/>
    <mergeCell ref="F658:G658"/>
    <mergeCell ref="I658:K658"/>
    <mergeCell ref="L658:M658"/>
    <mergeCell ref="N658:O658"/>
    <mergeCell ref="A666:C666"/>
    <mergeCell ref="D666:E666"/>
    <mergeCell ref="F666:G666"/>
    <mergeCell ref="I666:K666"/>
    <mergeCell ref="L666:M666"/>
    <mergeCell ref="N666:O666"/>
    <mergeCell ref="D663:E664"/>
    <mergeCell ref="F663:G664"/>
    <mergeCell ref="L663:M664"/>
    <mergeCell ref="N663:O664"/>
    <mergeCell ref="A665:C665"/>
    <mergeCell ref="D665:E665"/>
    <mergeCell ref="F665:G665"/>
    <mergeCell ref="I665:K665"/>
    <mergeCell ref="L665:M665"/>
    <mergeCell ref="N665:O665"/>
    <mergeCell ref="A661:C661"/>
    <mergeCell ref="D661:E661"/>
    <mergeCell ref="F661:G661"/>
    <mergeCell ref="I661:K661"/>
    <mergeCell ref="L661:M661"/>
    <mergeCell ref="N661:O661"/>
    <mergeCell ref="A671:C671"/>
    <mergeCell ref="D671:E671"/>
    <mergeCell ref="I671:K671"/>
    <mergeCell ref="L671:M671"/>
    <mergeCell ref="A672:C672"/>
    <mergeCell ref="D672:E672"/>
    <mergeCell ref="I672:K672"/>
    <mergeCell ref="L672:M672"/>
    <mergeCell ref="A669:C669"/>
    <mergeCell ref="D669:E669"/>
    <mergeCell ref="F669:G669"/>
    <mergeCell ref="I669:K669"/>
    <mergeCell ref="L669:M669"/>
    <mergeCell ref="N669:O669"/>
    <mergeCell ref="A667:C667"/>
    <mergeCell ref="D667:E668"/>
    <mergeCell ref="F667:G668"/>
    <mergeCell ref="I667:K667"/>
    <mergeCell ref="L667:M668"/>
    <mergeCell ref="N667:O668"/>
    <mergeCell ref="A668:C668"/>
    <mergeCell ref="I668:K668"/>
    <mergeCell ref="D677:E677"/>
    <mergeCell ref="L677:M677"/>
    <mergeCell ref="D678:E678"/>
    <mergeCell ref="L678:M678"/>
    <mergeCell ref="L681:P681"/>
    <mergeCell ref="A682:F682"/>
    <mergeCell ref="L682:P682"/>
    <mergeCell ref="A675:C675"/>
    <mergeCell ref="D675:E675"/>
    <mergeCell ref="I675:K675"/>
    <mergeCell ref="L675:M675"/>
    <mergeCell ref="A676:B676"/>
    <mergeCell ref="I676:J676"/>
    <mergeCell ref="A673:C673"/>
    <mergeCell ref="D673:E673"/>
    <mergeCell ref="I673:K673"/>
    <mergeCell ref="L673:M673"/>
    <mergeCell ref="A674:B674"/>
    <mergeCell ref="I674:J674"/>
    <mergeCell ref="A700:D700"/>
    <mergeCell ref="A701:D701"/>
    <mergeCell ref="A702:D702"/>
    <mergeCell ref="A703:D703"/>
    <mergeCell ref="A704:D704"/>
    <mergeCell ref="A705:D705"/>
    <mergeCell ref="A691:F691"/>
    <mergeCell ref="L691:P691"/>
    <mergeCell ref="A696:F696"/>
    <mergeCell ref="L696:P696"/>
    <mergeCell ref="A697:P697"/>
    <mergeCell ref="A698:P698"/>
    <mergeCell ref="A683:F683"/>
    <mergeCell ref="L683:P683"/>
    <mergeCell ref="A688:F688"/>
    <mergeCell ref="L688:P688"/>
    <mergeCell ref="A690:F690"/>
    <mergeCell ref="L690:P690"/>
    <mergeCell ref="D721:E722"/>
    <mergeCell ref="F721:G722"/>
    <mergeCell ref="L721:M722"/>
    <mergeCell ref="N721:O722"/>
    <mergeCell ref="I723:K723"/>
    <mergeCell ref="L723:M723"/>
    <mergeCell ref="A719:C719"/>
    <mergeCell ref="D719:E719"/>
    <mergeCell ref="F719:G719"/>
    <mergeCell ref="I719:K719"/>
    <mergeCell ref="L719:M719"/>
    <mergeCell ref="N719:O719"/>
    <mergeCell ref="A706:D706"/>
    <mergeCell ref="A707:D707"/>
    <mergeCell ref="I710:P710"/>
    <mergeCell ref="D712:E712"/>
    <mergeCell ref="L712:M712"/>
    <mergeCell ref="D713:E714"/>
    <mergeCell ref="F713:G714"/>
    <mergeCell ref="L713:M714"/>
    <mergeCell ref="N713:O714"/>
    <mergeCell ref="A716:C716"/>
    <mergeCell ref="D716:E716"/>
    <mergeCell ref="F716:G716"/>
    <mergeCell ref="N716:O716"/>
    <mergeCell ref="I716:K716"/>
    <mergeCell ref="L716:M716"/>
    <mergeCell ref="A717:C717"/>
    <mergeCell ref="D717:E717"/>
    <mergeCell ref="F717:G717"/>
    <mergeCell ref="N717:O717"/>
    <mergeCell ref="I717:K717"/>
    <mergeCell ref="I731:K731"/>
    <mergeCell ref="L731:M731"/>
    <mergeCell ref="A732:B732"/>
    <mergeCell ref="I732:J732"/>
    <mergeCell ref="A733:C733"/>
    <mergeCell ref="D733:E733"/>
    <mergeCell ref="I733:K733"/>
    <mergeCell ref="L733:M733"/>
    <mergeCell ref="A727:C727"/>
    <mergeCell ref="D727:E727"/>
    <mergeCell ref="F727:G727"/>
    <mergeCell ref="I727:K727"/>
    <mergeCell ref="L727:M727"/>
    <mergeCell ref="N727:O727"/>
    <mergeCell ref="I724:K724"/>
    <mergeCell ref="L724:M724"/>
    <mergeCell ref="N724:O724"/>
    <mergeCell ref="D725:E726"/>
    <mergeCell ref="F725:G726"/>
    <mergeCell ref="I725:K725"/>
    <mergeCell ref="L725:M726"/>
    <mergeCell ref="N725:O726"/>
    <mergeCell ref="I726:K726"/>
    <mergeCell ref="A730:C730"/>
    <mergeCell ref="D730:E730"/>
    <mergeCell ref="I730:K730"/>
    <mergeCell ref="L730:M730"/>
    <mergeCell ref="A731:C731"/>
    <mergeCell ref="D731:E731"/>
    <mergeCell ref="A758:D758"/>
    <mergeCell ref="A759:D759"/>
    <mergeCell ref="A760:D760"/>
    <mergeCell ref="A761:D761"/>
    <mergeCell ref="A762:D762"/>
    <mergeCell ref="A763:D763"/>
    <mergeCell ref="A749:F749"/>
    <mergeCell ref="L749:P749"/>
    <mergeCell ref="A754:F754"/>
    <mergeCell ref="L754:P754"/>
    <mergeCell ref="A755:P755"/>
    <mergeCell ref="A756:P756"/>
    <mergeCell ref="L736:M736"/>
    <mergeCell ref="L739:P739"/>
    <mergeCell ref="A740:F740"/>
    <mergeCell ref="L740:P740"/>
    <mergeCell ref="A741:F741"/>
    <mergeCell ref="L741:P741"/>
    <mergeCell ref="A774:C774"/>
    <mergeCell ref="D774:E774"/>
    <mergeCell ref="F774:G774"/>
    <mergeCell ref="I774:K774"/>
    <mergeCell ref="L774:M774"/>
    <mergeCell ref="N774:O774"/>
    <mergeCell ref="A773:C773"/>
    <mergeCell ref="D773:E773"/>
    <mergeCell ref="F773:G773"/>
    <mergeCell ref="I773:K773"/>
    <mergeCell ref="L773:M773"/>
    <mergeCell ref="N773:O773"/>
    <mergeCell ref="A764:D764"/>
    <mergeCell ref="A765:D765"/>
    <mergeCell ref="A768:H768"/>
    <mergeCell ref="I768:P768"/>
    <mergeCell ref="D770:E770"/>
    <mergeCell ref="L770:M770"/>
    <mergeCell ref="A777:C777"/>
    <mergeCell ref="D777:E777"/>
    <mergeCell ref="F777:G777"/>
    <mergeCell ref="I777:K777"/>
    <mergeCell ref="L777:M777"/>
    <mergeCell ref="N777:O777"/>
    <mergeCell ref="A776:C776"/>
    <mergeCell ref="D776:E776"/>
    <mergeCell ref="F776:G776"/>
    <mergeCell ref="I776:K776"/>
    <mergeCell ref="L776:M776"/>
    <mergeCell ref="N776:O776"/>
    <mergeCell ref="A775:C775"/>
    <mergeCell ref="D775:E775"/>
    <mergeCell ref="F775:G775"/>
    <mergeCell ref="I775:K775"/>
    <mergeCell ref="L775:M775"/>
    <mergeCell ref="N775:O775"/>
    <mergeCell ref="A783:C783"/>
    <mergeCell ref="D783:E784"/>
    <mergeCell ref="F783:G784"/>
    <mergeCell ref="I783:K783"/>
    <mergeCell ref="L783:M784"/>
    <mergeCell ref="N783:O784"/>
    <mergeCell ref="A784:C784"/>
    <mergeCell ref="I784:K784"/>
    <mergeCell ref="A782:C782"/>
    <mergeCell ref="D782:E782"/>
    <mergeCell ref="F782:G782"/>
    <mergeCell ref="I782:K782"/>
    <mergeCell ref="L782:M782"/>
    <mergeCell ref="N782:O782"/>
    <mergeCell ref="D779:E780"/>
    <mergeCell ref="F779:G780"/>
    <mergeCell ref="L779:M780"/>
    <mergeCell ref="N779:O780"/>
    <mergeCell ref="A781:C781"/>
    <mergeCell ref="D781:E781"/>
    <mergeCell ref="F781:G781"/>
    <mergeCell ref="I781:K781"/>
    <mergeCell ref="L781:M781"/>
    <mergeCell ref="N781:O781"/>
    <mergeCell ref="A790:B790"/>
    <mergeCell ref="I790:J790"/>
    <mergeCell ref="A791:C791"/>
    <mergeCell ref="D791:E791"/>
    <mergeCell ref="I791:K791"/>
    <mergeCell ref="L791:M791"/>
    <mergeCell ref="A788:C788"/>
    <mergeCell ref="D788:E788"/>
    <mergeCell ref="I788:K788"/>
    <mergeCell ref="L788:M788"/>
    <mergeCell ref="A789:C789"/>
    <mergeCell ref="D789:E789"/>
    <mergeCell ref="I789:K789"/>
    <mergeCell ref="L789:M789"/>
    <mergeCell ref="I785:K785"/>
    <mergeCell ref="L785:M785"/>
    <mergeCell ref="N785:O785"/>
    <mergeCell ref="A787:C787"/>
    <mergeCell ref="D787:E787"/>
    <mergeCell ref="I787:K787"/>
    <mergeCell ref="L787:M787"/>
    <mergeCell ref="A807:F807"/>
    <mergeCell ref="L807:P807"/>
    <mergeCell ref="A812:F812"/>
    <mergeCell ref="L812:P812"/>
    <mergeCell ref="A813:P813"/>
    <mergeCell ref="A814:P814"/>
    <mergeCell ref="L797:P797"/>
    <mergeCell ref="L798:P798"/>
    <mergeCell ref="A799:F799"/>
    <mergeCell ref="L799:P799"/>
    <mergeCell ref="A804:F804"/>
    <mergeCell ref="L804:P804"/>
    <mergeCell ref="A792:B792"/>
    <mergeCell ref="I792:J792"/>
    <mergeCell ref="D793:E793"/>
    <mergeCell ref="L793:M793"/>
    <mergeCell ref="D794:E794"/>
    <mergeCell ref="L794:M794"/>
    <mergeCell ref="A806:F806"/>
    <mergeCell ref="L806:P806"/>
    <mergeCell ref="D829:E830"/>
    <mergeCell ref="F829:G830"/>
    <mergeCell ref="L829:M830"/>
    <mergeCell ref="N829:O830"/>
    <mergeCell ref="A831:C831"/>
    <mergeCell ref="D831:E831"/>
    <mergeCell ref="F831:G831"/>
    <mergeCell ref="I831:K831"/>
    <mergeCell ref="L831:M831"/>
    <mergeCell ref="N831:O831"/>
    <mergeCell ref="A822:D822"/>
    <mergeCell ref="A823:D823"/>
    <mergeCell ref="A826:H826"/>
    <mergeCell ref="I826:P826"/>
    <mergeCell ref="D828:E828"/>
    <mergeCell ref="L828:M828"/>
    <mergeCell ref="A816:D816"/>
    <mergeCell ref="A817:D817"/>
    <mergeCell ref="A818:D818"/>
    <mergeCell ref="A819:D819"/>
    <mergeCell ref="A820:D820"/>
    <mergeCell ref="A821:D821"/>
    <mergeCell ref="A834:C834"/>
    <mergeCell ref="D834:E834"/>
    <mergeCell ref="F834:G834"/>
    <mergeCell ref="I834:K834"/>
    <mergeCell ref="L834:M834"/>
    <mergeCell ref="N834:O834"/>
    <mergeCell ref="A833:C833"/>
    <mergeCell ref="D833:E833"/>
    <mergeCell ref="F833:G833"/>
    <mergeCell ref="I833:K833"/>
    <mergeCell ref="L833:M833"/>
    <mergeCell ref="N833:O833"/>
    <mergeCell ref="A832:C832"/>
    <mergeCell ref="D832:E832"/>
    <mergeCell ref="F832:G832"/>
    <mergeCell ref="I832:K832"/>
    <mergeCell ref="L832:M832"/>
    <mergeCell ref="N832:O832"/>
    <mergeCell ref="A840:C840"/>
    <mergeCell ref="D840:E840"/>
    <mergeCell ref="F840:G840"/>
    <mergeCell ref="I840:K840"/>
    <mergeCell ref="L840:M840"/>
    <mergeCell ref="N840:O840"/>
    <mergeCell ref="D837:E838"/>
    <mergeCell ref="F837:G838"/>
    <mergeCell ref="L837:M838"/>
    <mergeCell ref="N837:O838"/>
    <mergeCell ref="A839:C839"/>
    <mergeCell ref="D839:E839"/>
    <mergeCell ref="F839:G839"/>
    <mergeCell ref="I839:K839"/>
    <mergeCell ref="L839:M839"/>
    <mergeCell ref="N839:O839"/>
    <mergeCell ref="A835:C835"/>
    <mergeCell ref="D835:E835"/>
    <mergeCell ref="F835:G835"/>
    <mergeCell ref="I835:K835"/>
    <mergeCell ref="L835:M835"/>
    <mergeCell ref="N835:O835"/>
    <mergeCell ref="A845:C845"/>
    <mergeCell ref="D845:E845"/>
    <mergeCell ref="I845:K845"/>
    <mergeCell ref="L845:M845"/>
    <mergeCell ref="A846:C846"/>
    <mergeCell ref="D846:E846"/>
    <mergeCell ref="I846:K846"/>
    <mergeCell ref="L846:M846"/>
    <mergeCell ref="A843:C843"/>
    <mergeCell ref="D843:E843"/>
    <mergeCell ref="F843:G843"/>
    <mergeCell ref="I843:K843"/>
    <mergeCell ref="L843:M843"/>
    <mergeCell ref="N843:O843"/>
    <mergeCell ref="A841:C841"/>
    <mergeCell ref="D841:E842"/>
    <mergeCell ref="F841:G842"/>
    <mergeCell ref="I841:K841"/>
    <mergeCell ref="L841:M842"/>
    <mergeCell ref="N841:O842"/>
    <mergeCell ref="A842:C842"/>
    <mergeCell ref="I842:K842"/>
    <mergeCell ref="D851:E851"/>
    <mergeCell ref="L851:M851"/>
    <mergeCell ref="D852:E852"/>
    <mergeCell ref="L852:M852"/>
    <mergeCell ref="L855:P855"/>
    <mergeCell ref="A856:F856"/>
    <mergeCell ref="L856:P856"/>
    <mergeCell ref="A849:C849"/>
    <mergeCell ref="D849:E849"/>
    <mergeCell ref="I849:K849"/>
    <mergeCell ref="L849:M849"/>
    <mergeCell ref="A850:B850"/>
    <mergeCell ref="I850:J850"/>
    <mergeCell ref="A847:C847"/>
    <mergeCell ref="D847:E847"/>
    <mergeCell ref="I847:K847"/>
    <mergeCell ref="L847:M847"/>
    <mergeCell ref="A848:B848"/>
    <mergeCell ref="I848:J848"/>
    <mergeCell ref="A874:D874"/>
    <mergeCell ref="A875:D875"/>
    <mergeCell ref="A876:D876"/>
    <mergeCell ref="A877:D877"/>
    <mergeCell ref="A878:D878"/>
    <mergeCell ref="A879:D879"/>
    <mergeCell ref="A865:F865"/>
    <mergeCell ref="L865:P865"/>
    <mergeCell ref="A870:F870"/>
    <mergeCell ref="L870:P870"/>
    <mergeCell ref="A871:P871"/>
    <mergeCell ref="A872:P872"/>
    <mergeCell ref="A857:F857"/>
    <mergeCell ref="L857:P857"/>
    <mergeCell ref="A862:F862"/>
    <mergeCell ref="L862:P862"/>
    <mergeCell ref="A864:F864"/>
    <mergeCell ref="L864:P864"/>
    <mergeCell ref="A892:C892"/>
    <mergeCell ref="D892:E892"/>
    <mergeCell ref="F892:G892"/>
    <mergeCell ref="I892:K892"/>
    <mergeCell ref="L892:M892"/>
    <mergeCell ref="N892:O892"/>
    <mergeCell ref="I889:K889"/>
    <mergeCell ref="L889:M889"/>
    <mergeCell ref="N889:O889"/>
    <mergeCell ref="D890:E890"/>
    <mergeCell ref="F890:G890"/>
    <mergeCell ref="I890:K890"/>
    <mergeCell ref="L890:M890"/>
    <mergeCell ref="N890:O890"/>
    <mergeCell ref="A884:H884"/>
    <mergeCell ref="I884:P884"/>
    <mergeCell ref="D886:E886"/>
    <mergeCell ref="L886:M886"/>
    <mergeCell ref="D887:E888"/>
    <mergeCell ref="F887:G888"/>
    <mergeCell ref="L887:M888"/>
    <mergeCell ref="N887:O888"/>
    <mergeCell ref="L901:M901"/>
    <mergeCell ref="N901:O901"/>
    <mergeCell ref="A903:C903"/>
    <mergeCell ref="D903:E903"/>
    <mergeCell ref="I903:K903"/>
    <mergeCell ref="L903:M903"/>
    <mergeCell ref="L898:M898"/>
    <mergeCell ref="N898:O898"/>
    <mergeCell ref="A899:C899"/>
    <mergeCell ref="D899:E900"/>
    <mergeCell ref="F899:G900"/>
    <mergeCell ref="I899:K899"/>
    <mergeCell ref="L899:M900"/>
    <mergeCell ref="N899:O900"/>
    <mergeCell ref="A900:C900"/>
    <mergeCell ref="I900:K900"/>
    <mergeCell ref="L893:M893"/>
    <mergeCell ref="D895:E896"/>
    <mergeCell ref="F895:G896"/>
    <mergeCell ref="L895:M896"/>
    <mergeCell ref="N895:O896"/>
    <mergeCell ref="F897:G897"/>
    <mergeCell ref="I897:K897"/>
    <mergeCell ref="L897:M897"/>
    <mergeCell ref="A897:C897"/>
    <mergeCell ref="D897:E897"/>
    <mergeCell ref="N897:O897"/>
    <mergeCell ref="A898:C898"/>
    <mergeCell ref="D898:E898"/>
    <mergeCell ref="F898:G898"/>
    <mergeCell ref="I898:K898"/>
    <mergeCell ref="A901:C901"/>
    <mergeCell ref="A908:B908"/>
    <mergeCell ref="I908:J908"/>
    <mergeCell ref="D909:E909"/>
    <mergeCell ref="L909:M909"/>
    <mergeCell ref="D910:E910"/>
    <mergeCell ref="L910:M910"/>
    <mergeCell ref="A906:B906"/>
    <mergeCell ref="I906:J906"/>
    <mergeCell ref="A907:C907"/>
    <mergeCell ref="D907:E907"/>
    <mergeCell ref="I907:K907"/>
    <mergeCell ref="L907:M907"/>
    <mergeCell ref="A904:C904"/>
    <mergeCell ref="D904:E904"/>
    <mergeCell ref="I904:K904"/>
    <mergeCell ref="L904:M904"/>
    <mergeCell ref="A905:C905"/>
    <mergeCell ref="D905:E905"/>
    <mergeCell ref="I905:K905"/>
    <mergeCell ref="L905:M905"/>
    <mergeCell ref="A934:D934"/>
    <mergeCell ref="A935:D935"/>
    <mergeCell ref="A936:D936"/>
    <mergeCell ref="A937:D937"/>
    <mergeCell ref="A938:D938"/>
    <mergeCell ref="A939:D939"/>
    <mergeCell ref="A928:F928"/>
    <mergeCell ref="L928:P928"/>
    <mergeCell ref="A929:P929"/>
    <mergeCell ref="A930:P930"/>
    <mergeCell ref="A932:D932"/>
    <mergeCell ref="A933:D933"/>
    <mergeCell ref="L915:P915"/>
    <mergeCell ref="A920:F920"/>
    <mergeCell ref="L920:P920"/>
    <mergeCell ref="A922:F922"/>
    <mergeCell ref="L922:P922"/>
    <mergeCell ref="A923:F923"/>
    <mergeCell ref="L923:P923"/>
    <mergeCell ref="I949:K949"/>
    <mergeCell ref="L949:M949"/>
    <mergeCell ref="N949:O949"/>
    <mergeCell ref="A950:C950"/>
    <mergeCell ref="D950:E950"/>
    <mergeCell ref="F950:G950"/>
    <mergeCell ref="I950:K950"/>
    <mergeCell ref="L950:M950"/>
    <mergeCell ref="N950:O950"/>
    <mergeCell ref="A948:C948"/>
    <mergeCell ref="D948:E948"/>
    <mergeCell ref="F948:G948"/>
    <mergeCell ref="I948:K948"/>
    <mergeCell ref="L948:M948"/>
    <mergeCell ref="N948:O948"/>
    <mergeCell ref="D945:E946"/>
    <mergeCell ref="F945:G946"/>
    <mergeCell ref="L945:M946"/>
    <mergeCell ref="N945:O946"/>
    <mergeCell ref="A947:C947"/>
    <mergeCell ref="D947:E947"/>
    <mergeCell ref="F947:G947"/>
    <mergeCell ref="I947:K947"/>
    <mergeCell ref="L947:M947"/>
    <mergeCell ref="N947:O947"/>
    <mergeCell ref="A956:C956"/>
    <mergeCell ref="D956:E956"/>
    <mergeCell ref="F956:G956"/>
    <mergeCell ref="I956:K956"/>
    <mergeCell ref="L956:M956"/>
    <mergeCell ref="N956:O956"/>
    <mergeCell ref="D953:E954"/>
    <mergeCell ref="F953:G954"/>
    <mergeCell ref="L953:M954"/>
    <mergeCell ref="N953:O954"/>
    <mergeCell ref="A955:C955"/>
    <mergeCell ref="D955:E955"/>
    <mergeCell ref="F955:G955"/>
    <mergeCell ref="I955:K955"/>
    <mergeCell ref="L955:M955"/>
    <mergeCell ref="N955:O955"/>
    <mergeCell ref="A951:C951"/>
    <mergeCell ref="D951:E951"/>
    <mergeCell ref="F951:G951"/>
    <mergeCell ref="I951:K951"/>
    <mergeCell ref="L951:M951"/>
    <mergeCell ref="N951:O951"/>
    <mergeCell ref="A961:C961"/>
    <mergeCell ref="D961:E961"/>
    <mergeCell ref="I961:K961"/>
    <mergeCell ref="L961:M961"/>
    <mergeCell ref="A962:C962"/>
    <mergeCell ref="D962:E962"/>
    <mergeCell ref="I962:K962"/>
    <mergeCell ref="L962:M962"/>
    <mergeCell ref="A959:C959"/>
    <mergeCell ref="D959:E959"/>
    <mergeCell ref="F959:G959"/>
    <mergeCell ref="I959:K959"/>
    <mergeCell ref="L959:M959"/>
    <mergeCell ref="N959:O959"/>
    <mergeCell ref="A957:C957"/>
    <mergeCell ref="D957:E958"/>
    <mergeCell ref="F957:G958"/>
    <mergeCell ref="I957:K957"/>
    <mergeCell ref="L957:M958"/>
    <mergeCell ref="N957:O958"/>
    <mergeCell ref="A958:C958"/>
    <mergeCell ref="I958:K958"/>
    <mergeCell ref="D967:E967"/>
    <mergeCell ref="L967:M967"/>
    <mergeCell ref="D968:E968"/>
    <mergeCell ref="L968:M968"/>
    <mergeCell ref="L971:P971"/>
    <mergeCell ref="A972:F972"/>
    <mergeCell ref="L972:P972"/>
    <mergeCell ref="A965:C965"/>
    <mergeCell ref="D965:E965"/>
    <mergeCell ref="I965:K965"/>
    <mergeCell ref="L965:M965"/>
    <mergeCell ref="A966:B966"/>
    <mergeCell ref="I966:J966"/>
    <mergeCell ref="A963:C963"/>
    <mergeCell ref="D963:E963"/>
    <mergeCell ref="I963:K963"/>
    <mergeCell ref="L963:M963"/>
    <mergeCell ref="A964:B964"/>
    <mergeCell ref="I964:J964"/>
    <mergeCell ref="A990:D990"/>
    <mergeCell ref="A991:D991"/>
    <mergeCell ref="A992:D992"/>
    <mergeCell ref="A993:D993"/>
    <mergeCell ref="A1000:H1000"/>
    <mergeCell ref="I1000:P1000"/>
    <mergeCell ref="A981:F981"/>
    <mergeCell ref="L981:P981"/>
    <mergeCell ref="A986:F986"/>
    <mergeCell ref="L986:P986"/>
    <mergeCell ref="A987:P987"/>
    <mergeCell ref="A988:P988"/>
    <mergeCell ref="A973:F973"/>
    <mergeCell ref="L973:P973"/>
    <mergeCell ref="A978:F978"/>
    <mergeCell ref="L978:P978"/>
    <mergeCell ref="A980:F980"/>
    <mergeCell ref="L980:P980"/>
    <mergeCell ref="A997:D997"/>
    <mergeCell ref="A1006:C1006"/>
    <mergeCell ref="D1006:E1006"/>
    <mergeCell ref="F1006:G1006"/>
    <mergeCell ref="I1006:K1006"/>
    <mergeCell ref="L1006:M1006"/>
    <mergeCell ref="N1006:O1006"/>
    <mergeCell ref="A1005:C1005"/>
    <mergeCell ref="D1005:E1005"/>
    <mergeCell ref="F1005:G1005"/>
    <mergeCell ref="I1005:K1005"/>
    <mergeCell ref="L1005:M1005"/>
    <mergeCell ref="N1005:O1005"/>
    <mergeCell ref="D1002:E1002"/>
    <mergeCell ref="L1002:M1002"/>
    <mergeCell ref="D1003:E1004"/>
    <mergeCell ref="F1003:G1004"/>
    <mergeCell ref="L1003:M1004"/>
    <mergeCell ref="N1003:O1004"/>
    <mergeCell ref="A1009:C1009"/>
    <mergeCell ref="D1009:E1009"/>
    <mergeCell ref="F1009:G1009"/>
    <mergeCell ref="I1009:K1009"/>
    <mergeCell ref="L1009:M1009"/>
    <mergeCell ref="N1009:O1009"/>
    <mergeCell ref="A1008:C1008"/>
    <mergeCell ref="D1008:E1008"/>
    <mergeCell ref="F1008:G1008"/>
    <mergeCell ref="I1008:K1008"/>
    <mergeCell ref="L1008:M1008"/>
    <mergeCell ref="N1008:O1008"/>
    <mergeCell ref="A1007:C1007"/>
    <mergeCell ref="D1007:E1007"/>
    <mergeCell ref="F1007:G1007"/>
    <mergeCell ref="I1007:K1007"/>
    <mergeCell ref="L1007:M1007"/>
    <mergeCell ref="N1007:O1007"/>
    <mergeCell ref="N1017:O1017"/>
    <mergeCell ref="A1015:C1015"/>
    <mergeCell ref="D1015:E1016"/>
    <mergeCell ref="F1015:G1016"/>
    <mergeCell ref="I1015:K1015"/>
    <mergeCell ref="L1015:M1016"/>
    <mergeCell ref="N1015:O1016"/>
    <mergeCell ref="A1016:C1016"/>
    <mergeCell ref="I1016:K1016"/>
    <mergeCell ref="A1014:C1014"/>
    <mergeCell ref="D1014:E1014"/>
    <mergeCell ref="F1014:G1014"/>
    <mergeCell ref="I1014:K1014"/>
    <mergeCell ref="L1014:M1014"/>
    <mergeCell ref="N1014:O1014"/>
    <mergeCell ref="D1011:E1012"/>
    <mergeCell ref="F1011:G1012"/>
    <mergeCell ref="L1011:M1012"/>
    <mergeCell ref="N1011:O1012"/>
    <mergeCell ref="A1013:C1013"/>
    <mergeCell ref="D1013:E1013"/>
    <mergeCell ref="F1013:G1013"/>
    <mergeCell ref="I1013:K1013"/>
    <mergeCell ref="L1013:M1013"/>
    <mergeCell ref="N1013:O1013"/>
    <mergeCell ref="A1021:C1021"/>
    <mergeCell ref="D1021:E1021"/>
    <mergeCell ref="I1021:K1021"/>
    <mergeCell ref="L1021:M1021"/>
    <mergeCell ref="A1022:B1022"/>
    <mergeCell ref="I1022:J1022"/>
    <mergeCell ref="A1019:C1019"/>
    <mergeCell ref="D1019:E1019"/>
    <mergeCell ref="I1019:K1019"/>
    <mergeCell ref="L1019:M1019"/>
    <mergeCell ref="A1020:C1020"/>
    <mergeCell ref="D1020:E1020"/>
    <mergeCell ref="I1020:K1020"/>
    <mergeCell ref="L1020:M1020"/>
    <mergeCell ref="A1017:C1017"/>
    <mergeCell ref="D1017:E1017"/>
    <mergeCell ref="F1017:G1017"/>
    <mergeCell ref="I1017:K1017"/>
    <mergeCell ref="L1017:M1017"/>
    <mergeCell ref="A1031:F1031"/>
    <mergeCell ref="L1031:P1031"/>
    <mergeCell ref="A1036:F1036"/>
    <mergeCell ref="L1036:P1036"/>
    <mergeCell ref="A1038:F1038"/>
    <mergeCell ref="L1038:P1038"/>
    <mergeCell ref="D1025:E1025"/>
    <mergeCell ref="L1025:M1025"/>
    <mergeCell ref="D1026:E1026"/>
    <mergeCell ref="L1026:M1026"/>
    <mergeCell ref="L1029:P1029"/>
    <mergeCell ref="A1030:F1030"/>
    <mergeCell ref="L1030:P1030"/>
    <mergeCell ref="A1023:C1023"/>
    <mergeCell ref="D1023:E1023"/>
    <mergeCell ref="I1023:K1023"/>
    <mergeCell ref="L1023:M1023"/>
    <mergeCell ref="A1024:B1024"/>
    <mergeCell ref="I1024:J1024"/>
    <mergeCell ref="I1063:K1063"/>
    <mergeCell ref="L1063:M1063"/>
    <mergeCell ref="N1063:O1063"/>
    <mergeCell ref="A1064:C1064"/>
    <mergeCell ref="F1064:G1064"/>
    <mergeCell ref="I1064:K1064"/>
    <mergeCell ref="L1064:M1064"/>
    <mergeCell ref="A1049:D1049"/>
    <mergeCell ref="A1050:D1050"/>
    <mergeCell ref="A1051:D1051"/>
    <mergeCell ref="A1052:D1052"/>
    <mergeCell ref="A1053:D1053"/>
    <mergeCell ref="A1054:D1054"/>
    <mergeCell ref="A1039:F1039"/>
    <mergeCell ref="L1039:P1039"/>
    <mergeCell ref="A1044:F1044"/>
    <mergeCell ref="L1044:P1044"/>
    <mergeCell ref="A1045:P1045"/>
    <mergeCell ref="A1046:P1046"/>
    <mergeCell ref="A1048:D1048"/>
    <mergeCell ref="A1055:D1055"/>
    <mergeCell ref="A1058:H1058"/>
    <mergeCell ref="I1058:P1058"/>
    <mergeCell ref="D1060:E1060"/>
    <mergeCell ref="L1060:M1060"/>
    <mergeCell ref="D1061:E1062"/>
    <mergeCell ref="F1061:G1062"/>
    <mergeCell ref="L1061:M1062"/>
    <mergeCell ref="N1061:O1062"/>
    <mergeCell ref="A1063:C1063"/>
    <mergeCell ref="D1063:E1063"/>
    <mergeCell ref="F1063:G1063"/>
    <mergeCell ref="D1069:E1070"/>
    <mergeCell ref="F1069:G1070"/>
    <mergeCell ref="L1069:M1070"/>
    <mergeCell ref="N1069:O1070"/>
    <mergeCell ref="A1071:C1071"/>
    <mergeCell ref="D1071:E1071"/>
    <mergeCell ref="F1071:G1071"/>
    <mergeCell ref="I1071:K1071"/>
    <mergeCell ref="L1071:M1071"/>
    <mergeCell ref="N1071:O1071"/>
    <mergeCell ref="A1067:C1067"/>
    <mergeCell ref="D1067:E1067"/>
    <mergeCell ref="F1067:G1067"/>
    <mergeCell ref="I1067:K1067"/>
    <mergeCell ref="L1067:M1067"/>
    <mergeCell ref="N1067:O1067"/>
    <mergeCell ref="A1066:C1066"/>
    <mergeCell ref="D1066:E1066"/>
    <mergeCell ref="F1066:G1066"/>
    <mergeCell ref="I1066:K1066"/>
    <mergeCell ref="L1066:M1066"/>
    <mergeCell ref="N1066:O1066"/>
    <mergeCell ref="L1075:M1075"/>
    <mergeCell ref="N1075:O1075"/>
    <mergeCell ref="A1077:C1077"/>
    <mergeCell ref="D1077:E1077"/>
    <mergeCell ref="I1077:K1077"/>
    <mergeCell ref="L1077:M1077"/>
    <mergeCell ref="A1073:C1073"/>
    <mergeCell ref="D1073:E1074"/>
    <mergeCell ref="F1073:G1074"/>
    <mergeCell ref="I1073:K1073"/>
    <mergeCell ref="L1073:M1074"/>
    <mergeCell ref="N1073:O1074"/>
    <mergeCell ref="A1074:C1074"/>
    <mergeCell ref="I1074:K1074"/>
    <mergeCell ref="A1072:C1072"/>
    <mergeCell ref="D1072:E1072"/>
    <mergeCell ref="F1072:G1072"/>
    <mergeCell ref="I1072:K1072"/>
    <mergeCell ref="L1072:M1072"/>
    <mergeCell ref="N1072:O1072"/>
    <mergeCell ref="A1082:B1082"/>
    <mergeCell ref="I1082:J1082"/>
    <mergeCell ref="D1083:E1083"/>
    <mergeCell ref="L1083:M1083"/>
    <mergeCell ref="D1084:E1084"/>
    <mergeCell ref="L1084:M1084"/>
    <mergeCell ref="A1080:B1080"/>
    <mergeCell ref="I1080:J1080"/>
    <mergeCell ref="A1081:C1081"/>
    <mergeCell ref="D1081:E1081"/>
    <mergeCell ref="I1081:K1081"/>
    <mergeCell ref="L1081:M1081"/>
    <mergeCell ref="A1078:C1078"/>
    <mergeCell ref="D1078:E1078"/>
    <mergeCell ref="I1078:K1078"/>
    <mergeCell ref="L1078:M1078"/>
    <mergeCell ref="A1079:C1079"/>
    <mergeCell ref="D1079:E1079"/>
    <mergeCell ref="I1079:K1079"/>
    <mergeCell ref="L1079:M1079"/>
    <mergeCell ref="A1108:D1108"/>
    <mergeCell ref="A1109:D1109"/>
    <mergeCell ref="A1110:D1110"/>
    <mergeCell ref="A1111:D1111"/>
    <mergeCell ref="A1112:D1112"/>
    <mergeCell ref="A1113:D1113"/>
    <mergeCell ref="A1096:F1096"/>
    <mergeCell ref="L1096:P1096"/>
    <mergeCell ref="A1097:F1097"/>
    <mergeCell ref="L1097:P1097"/>
    <mergeCell ref="A1102:F1102"/>
    <mergeCell ref="L1102:P1102"/>
    <mergeCell ref="L1087:P1087"/>
    <mergeCell ref="A1088:F1088"/>
    <mergeCell ref="L1088:P1088"/>
    <mergeCell ref="A1089:F1089"/>
    <mergeCell ref="L1089:P1089"/>
    <mergeCell ref="A1094:F1094"/>
    <mergeCell ref="L1094:P1094"/>
    <mergeCell ref="N1121:O1121"/>
    <mergeCell ref="A1122:C1122"/>
    <mergeCell ref="D1122:E1122"/>
    <mergeCell ref="F1122:G1122"/>
    <mergeCell ref="I1122:K1122"/>
    <mergeCell ref="L1122:M1122"/>
    <mergeCell ref="N1122:O1122"/>
    <mergeCell ref="L1118:M1118"/>
    <mergeCell ref="D1119:E1120"/>
    <mergeCell ref="F1119:G1120"/>
    <mergeCell ref="L1119:M1120"/>
    <mergeCell ref="N1119:O1120"/>
    <mergeCell ref="A1121:C1121"/>
    <mergeCell ref="D1121:E1121"/>
    <mergeCell ref="F1121:G1121"/>
    <mergeCell ref="I1121:K1121"/>
    <mergeCell ref="L1121:M1121"/>
    <mergeCell ref="D1118:E1118"/>
    <mergeCell ref="A1125:C1125"/>
    <mergeCell ref="D1125:E1125"/>
    <mergeCell ref="F1125:G1125"/>
    <mergeCell ref="I1125:K1125"/>
    <mergeCell ref="L1125:M1125"/>
    <mergeCell ref="N1125:O1125"/>
    <mergeCell ref="A1124:C1124"/>
    <mergeCell ref="D1124:E1124"/>
    <mergeCell ref="F1124:G1124"/>
    <mergeCell ref="I1124:K1124"/>
    <mergeCell ref="L1124:M1124"/>
    <mergeCell ref="N1124:O1124"/>
    <mergeCell ref="A1123:C1123"/>
    <mergeCell ref="D1123:E1123"/>
    <mergeCell ref="F1123:G1123"/>
    <mergeCell ref="I1123:K1123"/>
    <mergeCell ref="L1123:M1123"/>
    <mergeCell ref="N1123:O1123"/>
    <mergeCell ref="A1131:C1131"/>
    <mergeCell ref="D1131:E1132"/>
    <mergeCell ref="F1131:G1132"/>
    <mergeCell ref="I1131:K1131"/>
    <mergeCell ref="L1131:M1132"/>
    <mergeCell ref="N1131:O1132"/>
    <mergeCell ref="A1132:C1132"/>
    <mergeCell ref="I1132:K1132"/>
    <mergeCell ref="A1130:C1130"/>
    <mergeCell ref="D1130:E1130"/>
    <mergeCell ref="F1130:G1130"/>
    <mergeCell ref="I1130:K1130"/>
    <mergeCell ref="L1130:M1130"/>
    <mergeCell ref="N1130:O1130"/>
    <mergeCell ref="D1127:E1128"/>
    <mergeCell ref="F1127:G1128"/>
    <mergeCell ref="L1127:M1128"/>
    <mergeCell ref="N1127:O1128"/>
    <mergeCell ref="A1129:C1129"/>
    <mergeCell ref="D1129:E1129"/>
    <mergeCell ref="F1129:G1129"/>
    <mergeCell ref="I1129:K1129"/>
    <mergeCell ref="L1129:M1129"/>
    <mergeCell ref="N1129:O1129"/>
    <mergeCell ref="A1160:F1160"/>
    <mergeCell ref="L1160:P1160"/>
    <mergeCell ref="L1145:P1145"/>
    <mergeCell ref="A1146:F1146"/>
    <mergeCell ref="L1146:P1146"/>
    <mergeCell ref="A1147:F1147"/>
    <mergeCell ref="L1147:P1147"/>
    <mergeCell ref="A1152:F1152"/>
    <mergeCell ref="L1152:P1152"/>
    <mergeCell ref="A1140:B1140"/>
    <mergeCell ref="I1140:J1140"/>
    <mergeCell ref="D1141:E1141"/>
    <mergeCell ref="L1141:M1141"/>
    <mergeCell ref="D1142:E1142"/>
    <mergeCell ref="L1142:M1142"/>
    <mergeCell ref="A1138:B1138"/>
    <mergeCell ref="I1138:J1138"/>
    <mergeCell ref="A1139:C1139"/>
    <mergeCell ref="D1139:E1139"/>
    <mergeCell ref="I1139:K1139"/>
    <mergeCell ref="L1139:M1139"/>
    <mergeCell ref="A531:D531"/>
    <mergeCell ref="A532:D532"/>
    <mergeCell ref="A533:D533"/>
    <mergeCell ref="A536:H536"/>
    <mergeCell ref="I536:P536"/>
    <mergeCell ref="D538:E538"/>
    <mergeCell ref="L538:M538"/>
    <mergeCell ref="A523:P523"/>
    <mergeCell ref="A524:P524"/>
    <mergeCell ref="A526:D526"/>
    <mergeCell ref="A527:D527"/>
    <mergeCell ref="A528:D528"/>
    <mergeCell ref="A529:D529"/>
    <mergeCell ref="A530:D530"/>
    <mergeCell ref="A1154:F1154"/>
    <mergeCell ref="L1154:P1154"/>
    <mergeCell ref="A1155:F1155"/>
    <mergeCell ref="L1155:P1155"/>
    <mergeCell ref="A1136:C1136"/>
    <mergeCell ref="D1136:E1136"/>
    <mergeCell ref="I1136:K1136"/>
    <mergeCell ref="L1136:M1136"/>
    <mergeCell ref="A1137:C1137"/>
    <mergeCell ref="D1137:E1137"/>
    <mergeCell ref="I1137:K1137"/>
    <mergeCell ref="L1137:M1137"/>
    <mergeCell ref="L1133:M1133"/>
    <mergeCell ref="N1133:O1133"/>
    <mergeCell ref="A1135:C1135"/>
    <mergeCell ref="D1135:E1135"/>
    <mergeCell ref="I1135:K1135"/>
    <mergeCell ref="L1135:M1135"/>
    <mergeCell ref="A543:C543"/>
    <mergeCell ref="D543:E543"/>
    <mergeCell ref="F543:G543"/>
    <mergeCell ref="I543:K543"/>
    <mergeCell ref="L543:M543"/>
    <mergeCell ref="N543:O543"/>
    <mergeCell ref="A542:C542"/>
    <mergeCell ref="D542:E542"/>
    <mergeCell ref="F542:G542"/>
    <mergeCell ref="I542:K542"/>
    <mergeCell ref="L542:M542"/>
    <mergeCell ref="N542:O542"/>
    <mergeCell ref="D539:E540"/>
    <mergeCell ref="F539:G540"/>
    <mergeCell ref="L539:M540"/>
    <mergeCell ref="N539:O540"/>
    <mergeCell ref="A541:C541"/>
    <mergeCell ref="D541:E541"/>
    <mergeCell ref="F541:G541"/>
    <mergeCell ref="I541:K541"/>
    <mergeCell ref="L541:M541"/>
    <mergeCell ref="N541:O541"/>
    <mergeCell ref="A555:C555"/>
    <mergeCell ref="D555:E555"/>
    <mergeCell ref="I555:K555"/>
    <mergeCell ref="L555:M555"/>
    <mergeCell ref="A556:C556"/>
    <mergeCell ref="D556:E556"/>
    <mergeCell ref="I556:K556"/>
    <mergeCell ref="L556:M556"/>
    <mergeCell ref="F545:G545"/>
    <mergeCell ref="I545:K545"/>
    <mergeCell ref="L545:M545"/>
    <mergeCell ref="N545:O545"/>
    <mergeCell ref="L547:M548"/>
    <mergeCell ref="I549:K549"/>
    <mergeCell ref="L549:M549"/>
    <mergeCell ref="A544:C544"/>
    <mergeCell ref="D544:E544"/>
    <mergeCell ref="F544:G544"/>
    <mergeCell ref="I544:K544"/>
    <mergeCell ref="L544:M544"/>
    <mergeCell ref="N544:O544"/>
    <mergeCell ref="A549:C549"/>
    <mergeCell ref="D549:E549"/>
    <mergeCell ref="F549:G549"/>
    <mergeCell ref="N549:O549"/>
    <mergeCell ref="A550:C550"/>
    <mergeCell ref="D550:E550"/>
    <mergeCell ref="F550:G550"/>
    <mergeCell ref="N550:O550"/>
    <mergeCell ref="I550:K550"/>
    <mergeCell ref="L550:M550"/>
    <mergeCell ref="A551:C551"/>
    <mergeCell ref="A575:F575"/>
    <mergeCell ref="L575:P575"/>
    <mergeCell ref="A580:F580"/>
    <mergeCell ref="L580:P580"/>
    <mergeCell ref="D562:E562"/>
    <mergeCell ref="L562:M562"/>
    <mergeCell ref="L565:P565"/>
    <mergeCell ref="A566:F566"/>
    <mergeCell ref="L566:P566"/>
    <mergeCell ref="A567:F567"/>
    <mergeCell ref="L567:P567"/>
    <mergeCell ref="I557:K557"/>
    <mergeCell ref="L557:M557"/>
    <mergeCell ref="A558:B558"/>
    <mergeCell ref="I558:J558"/>
    <mergeCell ref="D559:E559"/>
    <mergeCell ref="I559:K559"/>
    <mergeCell ref="L559:M559"/>
    <mergeCell ref="D561:E561"/>
    <mergeCell ref="L561:M561"/>
    <mergeCell ref="A572:F572"/>
    <mergeCell ref="L572:P572"/>
    <mergeCell ref="A574:F574"/>
    <mergeCell ref="L574:P574"/>
  </mergeCells>
  <printOptions horizontalCentered="1"/>
  <pageMargins left="0.59055118110236227" right="0.59055118110236227" top="0.59055118110236227" bottom="0.59055118110236227" header="0.31496062992125984" footer="0.31496062992125984"/>
  <pageSetup paperSize="9" scale="67" fitToHeight="20" orientation="portrait" horizontalDpi="0" verticalDpi="0"/>
  <rowBreaks count="19" manualBreakCount="19">
    <brk id="58" max="15" man="1"/>
    <brk id="116" max="15" man="1"/>
    <brk id="174" max="15" man="1"/>
    <brk id="232" max="15" man="1"/>
    <brk id="290" max="15" man="1"/>
    <brk id="348" max="15" man="1"/>
    <brk id="406" max="15" man="1"/>
    <brk id="464" max="15" man="1"/>
    <brk id="522" max="15" man="1"/>
    <brk id="580" max="15" man="1"/>
    <brk id="638" max="15" man="1"/>
    <brk id="696" max="15" man="1"/>
    <brk id="754" max="15" man="1"/>
    <brk id="812" max="15" man="1"/>
    <brk id="870" max="15" man="1"/>
    <brk id="928" max="15" man="1"/>
    <brk id="986" max="15" man="1"/>
    <brk id="1044" max="15" man="1"/>
    <brk id="1102" max="15"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B2499-4B0B-6B4E-9954-1F1F8EF33237}">
  <sheetPr codeName="Sheet3"/>
  <dimension ref="A1:P57"/>
  <sheetViews>
    <sheetView view="pageBreakPreview" topLeftCell="A26" zoomScale="111" zoomScaleNormal="100" workbookViewId="0">
      <selection activeCell="P47" sqref="P47"/>
    </sheetView>
  </sheetViews>
  <sheetFormatPr baseColWidth="10" defaultRowHeight="14" x14ac:dyDescent="0.15"/>
  <cols>
    <col min="1" max="1" width="4.83203125" style="5" customWidth="1"/>
    <col min="2" max="2" width="8.83203125" style="5" customWidth="1"/>
    <col min="3" max="3" width="20.83203125" style="5" customWidth="1"/>
    <col min="4" max="4" width="17.83203125" style="5" customWidth="1"/>
    <col min="5" max="14" width="4.83203125" style="5" customWidth="1"/>
    <col min="15" max="15" width="16.6640625" style="5" customWidth="1"/>
    <col min="16" max="16" width="13.83203125" style="5" customWidth="1"/>
    <col min="17" max="16384" width="10.83203125" style="5"/>
  </cols>
  <sheetData>
    <row r="1" spans="1:16" x14ac:dyDescent="0.15">
      <c r="A1" s="54" t="s">
        <v>63</v>
      </c>
      <c r="B1" s="54"/>
      <c r="C1" s="54"/>
      <c r="D1" s="54"/>
      <c r="E1" s="54"/>
      <c r="F1" s="54"/>
      <c r="G1" s="54"/>
      <c r="H1" s="54"/>
      <c r="I1" s="54"/>
      <c r="J1" s="54"/>
      <c r="K1" s="54"/>
      <c r="L1" s="54"/>
      <c r="M1" s="54"/>
      <c r="N1" s="54"/>
      <c r="O1" s="54"/>
      <c r="P1" s="54"/>
    </row>
    <row r="2" spans="1:16" x14ac:dyDescent="0.15">
      <c r="A2" s="54" t="s">
        <v>64</v>
      </c>
      <c r="B2" s="54"/>
      <c r="C2" s="54"/>
      <c r="D2" s="54"/>
      <c r="E2" s="54"/>
      <c r="F2" s="54"/>
      <c r="G2" s="54"/>
      <c r="H2" s="54"/>
      <c r="I2" s="54"/>
      <c r="J2" s="54"/>
      <c r="K2" s="54"/>
      <c r="L2" s="54"/>
      <c r="M2" s="54"/>
      <c r="N2" s="54"/>
      <c r="O2" s="54"/>
      <c r="P2" s="54"/>
    </row>
    <row r="4" spans="1:16" x14ac:dyDescent="0.15">
      <c r="A4" s="57" t="str">
        <f>[94]Base_01!$B2</f>
        <v>Kelurahan</v>
      </c>
      <c r="B4" s="57"/>
      <c r="C4" s="5" t="str">
        <f>[94]Base_01!$C2</f>
        <v>Klasabi</v>
      </c>
      <c r="D4" s="19"/>
      <c r="E4" s="19"/>
    </row>
    <row r="5" spans="1:16" x14ac:dyDescent="0.15">
      <c r="A5" s="57" t="str">
        <f>[94]Base_01!$B3</f>
        <v>Distrik</v>
      </c>
      <c r="B5" s="57"/>
      <c r="C5" s="5" t="str">
        <f>[94]Base_01!$C3</f>
        <v>Sorong Manoi</v>
      </c>
      <c r="D5" s="19"/>
      <c r="E5" s="19"/>
    </row>
    <row r="6" spans="1:16" x14ac:dyDescent="0.15">
      <c r="A6" s="57" t="str">
        <f>[94]Base_01!$B4</f>
        <v>Kota</v>
      </c>
      <c r="B6" s="57"/>
      <c r="C6" s="5" t="str">
        <f>[94]Base_01!$C4</f>
        <v>Sorong</v>
      </c>
      <c r="D6" s="19"/>
      <c r="E6" s="19"/>
    </row>
    <row r="7" spans="1:16" x14ac:dyDescent="0.15">
      <c r="A7" s="57" t="str">
        <f>[94]Base_01!$B5</f>
        <v>Provinsi</v>
      </c>
      <c r="B7" s="57"/>
      <c r="C7" s="5" t="str">
        <f>[94]Base_01!$C5</f>
        <v>Papua Barat Daya</v>
      </c>
      <c r="D7" s="19"/>
      <c r="E7" s="19"/>
    </row>
    <row r="9" spans="1:16" x14ac:dyDescent="0.15">
      <c r="A9" s="56" t="s">
        <v>65</v>
      </c>
      <c r="B9" s="55" t="s">
        <v>66</v>
      </c>
      <c r="C9" s="56" t="s">
        <v>67</v>
      </c>
      <c r="D9" s="56" t="s">
        <v>68</v>
      </c>
      <c r="E9" s="56" t="s">
        <v>69</v>
      </c>
      <c r="F9" s="56"/>
      <c r="G9" s="56"/>
      <c r="H9" s="56"/>
      <c r="I9" s="56"/>
      <c r="J9" s="56"/>
      <c r="K9" s="56"/>
      <c r="L9" s="56"/>
      <c r="M9" s="56"/>
      <c r="N9" s="56"/>
      <c r="O9" s="55" t="s">
        <v>81</v>
      </c>
      <c r="P9" s="56" t="s">
        <v>80</v>
      </c>
    </row>
    <row r="10" spans="1:16" x14ac:dyDescent="0.15">
      <c r="A10" s="56"/>
      <c r="B10" s="55"/>
      <c r="C10" s="56"/>
      <c r="D10" s="56"/>
      <c r="E10" s="56"/>
      <c r="F10" s="56"/>
      <c r="G10" s="56"/>
      <c r="H10" s="56"/>
      <c r="I10" s="56"/>
      <c r="J10" s="56"/>
      <c r="K10" s="56"/>
      <c r="L10" s="56"/>
      <c r="M10" s="56"/>
      <c r="N10" s="56"/>
      <c r="O10" s="55"/>
      <c r="P10" s="56"/>
    </row>
    <row r="11" spans="1:16" x14ac:dyDescent="0.15">
      <c r="A11" s="56"/>
      <c r="B11" s="55"/>
      <c r="C11" s="56"/>
      <c r="D11" s="56"/>
      <c r="E11" s="16" t="s">
        <v>70</v>
      </c>
      <c r="F11" s="16" t="s">
        <v>71</v>
      </c>
      <c r="G11" s="16" t="s">
        <v>72</v>
      </c>
      <c r="H11" s="16" t="s">
        <v>73</v>
      </c>
      <c r="I11" s="16" t="s">
        <v>74</v>
      </c>
      <c r="J11" s="16" t="s">
        <v>75</v>
      </c>
      <c r="K11" s="16" t="s">
        <v>76</v>
      </c>
      <c r="L11" s="16" t="s">
        <v>77</v>
      </c>
      <c r="M11" s="16" t="s">
        <v>78</v>
      </c>
      <c r="N11" s="16" t="s">
        <v>79</v>
      </c>
      <c r="O11" s="55"/>
      <c r="P11" s="56"/>
    </row>
    <row r="12" spans="1:16" x14ac:dyDescent="0.15">
      <c r="A12" s="17">
        <f>IF(B12=0,"",ROW()-11)</f>
        <v>1</v>
      </c>
      <c r="B12" s="17" t="str">
        <f>[94]Base_02!$B5</f>
        <v>000001</v>
      </c>
      <c r="C12" s="17" t="str">
        <f>[94]Base_02!$C5</f>
        <v>Nama PB 1</v>
      </c>
      <c r="D12" s="18" t="str">
        <f>[94]Base_02!$N5</f>
        <v>3310080902970001</v>
      </c>
      <c r="E12" s="17"/>
      <c r="F12" s="17"/>
      <c r="G12" s="17"/>
      <c r="H12" s="17"/>
      <c r="I12" s="17"/>
      <c r="J12" s="17"/>
      <c r="K12" s="17"/>
      <c r="L12" s="17"/>
      <c r="M12" s="17"/>
      <c r="N12" s="17"/>
      <c r="O12" s="17"/>
      <c r="P12" s="17"/>
    </row>
    <row r="13" spans="1:16" x14ac:dyDescent="0.15">
      <c r="A13" s="17">
        <f t="shared" ref="A13:A31" si="0">IF(B13=0,"",ROW()-11)</f>
        <v>2</v>
      </c>
      <c r="B13" s="17" t="str">
        <f>[94]Base_02!$B6</f>
        <v>000002</v>
      </c>
      <c r="C13" s="17" t="str">
        <f>[94]Base_02!$C6</f>
        <v>Nama PB 2</v>
      </c>
      <c r="D13" s="18" t="str">
        <f>[94]Base_02!$N6</f>
        <v>3304160101810004</v>
      </c>
      <c r="E13" s="17"/>
      <c r="F13" s="17"/>
      <c r="G13" s="17"/>
      <c r="H13" s="17"/>
      <c r="I13" s="17"/>
      <c r="J13" s="17"/>
      <c r="K13" s="17"/>
      <c r="L13" s="17"/>
      <c r="M13" s="17"/>
      <c r="N13" s="17"/>
      <c r="O13" s="17"/>
      <c r="P13" s="17"/>
    </row>
    <row r="14" spans="1:16" x14ac:dyDescent="0.15">
      <c r="A14" s="17">
        <f t="shared" si="0"/>
        <v>3</v>
      </c>
      <c r="B14" s="17" t="str">
        <f>[94]Base_02!$B7</f>
        <v>000003</v>
      </c>
      <c r="C14" s="17" t="str">
        <f>[94]Base_02!$C7</f>
        <v>Nama PB 3</v>
      </c>
      <c r="D14" s="18" t="str">
        <f>[94]Base_02!$N7</f>
        <v>3304160101820004</v>
      </c>
      <c r="E14" s="17"/>
      <c r="F14" s="17"/>
      <c r="G14" s="17"/>
      <c r="H14" s="17"/>
      <c r="I14" s="17"/>
      <c r="J14" s="17"/>
      <c r="K14" s="17"/>
      <c r="L14" s="17"/>
      <c r="M14" s="17"/>
      <c r="N14" s="17"/>
      <c r="O14" s="17"/>
      <c r="P14" s="17"/>
    </row>
    <row r="15" spans="1:16" x14ac:dyDescent="0.15">
      <c r="A15" s="17">
        <f t="shared" si="0"/>
        <v>4</v>
      </c>
      <c r="B15" s="17" t="str">
        <f>[94]Base_02!$B8</f>
        <v>000004</v>
      </c>
      <c r="C15" s="17" t="str">
        <f>[94]Base_02!$C8</f>
        <v>Nama PB 4</v>
      </c>
      <c r="D15" s="18" t="str">
        <f>[94]Base_02!$N8</f>
        <v>3304160101830004</v>
      </c>
      <c r="E15" s="17"/>
      <c r="F15" s="17"/>
      <c r="G15" s="17"/>
      <c r="H15" s="17"/>
      <c r="I15" s="17"/>
      <c r="J15" s="17"/>
      <c r="K15" s="17"/>
      <c r="L15" s="17"/>
      <c r="M15" s="17"/>
      <c r="N15" s="17"/>
      <c r="O15" s="17"/>
      <c r="P15" s="17"/>
    </row>
    <row r="16" spans="1:16" x14ac:dyDescent="0.15">
      <c r="A16" s="17">
        <f t="shared" si="0"/>
        <v>5</v>
      </c>
      <c r="B16" s="17" t="str">
        <f>[94]Base_02!$B9</f>
        <v>000005</v>
      </c>
      <c r="C16" s="17" t="str">
        <f>[94]Base_02!$C9</f>
        <v>Nama PB 5</v>
      </c>
      <c r="D16" s="18" t="str">
        <f>[94]Base_02!$N9</f>
        <v>3304160101840004</v>
      </c>
      <c r="E16" s="17"/>
      <c r="F16" s="17"/>
      <c r="G16" s="17"/>
      <c r="H16" s="17"/>
      <c r="I16" s="17"/>
      <c r="J16" s="17"/>
      <c r="K16" s="17"/>
      <c r="L16" s="17"/>
      <c r="M16" s="17"/>
      <c r="N16" s="17"/>
      <c r="O16" s="17"/>
      <c r="P16" s="17"/>
    </row>
    <row r="17" spans="1:16" x14ac:dyDescent="0.15">
      <c r="A17" s="17">
        <f t="shared" si="0"/>
        <v>6</v>
      </c>
      <c r="B17" s="17" t="str">
        <f>[94]Base_02!$B10</f>
        <v>000006</v>
      </c>
      <c r="C17" s="17" t="str">
        <f>[94]Base_02!$C10</f>
        <v>Nama PB 6</v>
      </c>
      <c r="D17" s="18" t="str">
        <f>[94]Base_02!$N10</f>
        <v>3304160101850004</v>
      </c>
      <c r="E17" s="17"/>
      <c r="F17" s="17"/>
      <c r="G17" s="17"/>
      <c r="H17" s="17"/>
      <c r="I17" s="17"/>
      <c r="J17" s="17"/>
      <c r="K17" s="17"/>
      <c r="L17" s="17"/>
      <c r="M17" s="17"/>
      <c r="N17" s="17"/>
      <c r="O17" s="17"/>
      <c r="P17" s="17"/>
    </row>
    <row r="18" spans="1:16" x14ac:dyDescent="0.15">
      <c r="A18" s="17">
        <f t="shared" si="0"/>
        <v>7</v>
      </c>
      <c r="B18" s="17" t="str">
        <f>[94]Base_02!$B11</f>
        <v>000007</v>
      </c>
      <c r="C18" s="17" t="str">
        <f>[94]Base_02!$C11</f>
        <v>Nama PB 7</v>
      </c>
      <c r="D18" s="18" t="str">
        <f>[94]Base_02!$N11</f>
        <v>3304160101860004</v>
      </c>
      <c r="E18" s="17"/>
      <c r="F18" s="17"/>
      <c r="G18" s="17"/>
      <c r="H18" s="17"/>
      <c r="I18" s="17"/>
      <c r="J18" s="17"/>
      <c r="K18" s="17"/>
      <c r="L18" s="17"/>
      <c r="M18" s="17"/>
      <c r="N18" s="17"/>
      <c r="O18" s="17"/>
      <c r="P18" s="17"/>
    </row>
    <row r="19" spans="1:16" x14ac:dyDescent="0.15">
      <c r="A19" s="17">
        <f t="shared" si="0"/>
        <v>8</v>
      </c>
      <c r="B19" s="17" t="str">
        <f>[94]Base_02!$B12</f>
        <v>000008</v>
      </c>
      <c r="C19" s="17" t="str">
        <f>[94]Base_02!$C12</f>
        <v>Nama PB 8</v>
      </c>
      <c r="D19" s="18">
        <f>[94]Base_02!$N12</f>
        <v>0</v>
      </c>
      <c r="E19" s="17"/>
      <c r="F19" s="17"/>
      <c r="G19" s="17"/>
      <c r="H19" s="17"/>
      <c r="I19" s="17"/>
      <c r="J19" s="17"/>
      <c r="K19" s="17"/>
      <c r="L19" s="17"/>
      <c r="M19" s="17"/>
      <c r="N19" s="17"/>
      <c r="O19" s="17"/>
      <c r="P19" s="17"/>
    </row>
    <row r="20" spans="1:16" x14ac:dyDescent="0.15">
      <c r="A20" s="17">
        <f t="shared" si="0"/>
        <v>9</v>
      </c>
      <c r="B20" s="17" t="str">
        <f>[94]Base_02!$B13</f>
        <v>000009</v>
      </c>
      <c r="C20" s="17" t="str">
        <f>[94]Base_02!$C13</f>
        <v>Nama PB 9</v>
      </c>
      <c r="D20" s="18">
        <f>[94]Base_02!$N13</f>
        <v>0</v>
      </c>
      <c r="E20" s="17"/>
      <c r="F20" s="17"/>
      <c r="G20" s="17"/>
      <c r="H20" s="17"/>
      <c r="I20" s="17"/>
      <c r="J20" s="17"/>
      <c r="K20" s="17"/>
      <c r="L20" s="17"/>
      <c r="M20" s="17"/>
      <c r="N20" s="17"/>
      <c r="O20" s="17"/>
      <c r="P20" s="17"/>
    </row>
    <row r="21" spans="1:16" x14ac:dyDescent="0.15">
      <c r="A21" s="17">
        <f t="shared" si="0"/>
        <v>10</v>
      </c>
      <c r="B21" s="17" t="str">
        <f>[94]Base_02!$B14</f>
        <v>000010</v>
      </c>
      <c r="C21" s="17" t="str">
        <f>[94]Base_02!$C14</f>
        <v>Nama PB 10</v>
      </c>
      <c r="D21" s="18">
        <f>[94]Base_02!$N14</f>
        <v>0</v>
      </c>
      <c r="E21" s="17"/>
      <c r="F21" s="17"/>
      <c r="G21" s="17"/>
      <c r="H21" s="17"/>
      <c r="I21" s="17"/>
      <c r="J21" s="17"/>
      <c r="K21" s="17"/>
      <c r="L21" s="17"/>
      <c r="M21" s="17"/>
      <c r="N21" s="17"/>
      <c r="O21" s="17"/>
      <c r="P21" s="17"/>
    </row>
    <row r="22" spans="1:16" x14ac:dyDescent="0.15">
      <c r="A22" s="17">
        <f t="shared" si="0"/>
        <v>11</v>
      </c>
      <c r="B22" s="17" t="str">
        <f>[94]Base_02!$B15</f>
        <v>000011</v>
      </c>
      <c r="C22" s="17" t="str">
        <f>[94]Base_02!$C15</f>
        <v>Nama PB 11</v>
      </c>
      <c r="D22" s="18">
        <f>[94]Base_02!$N15</f>
        <v>0</v>
      </c>
      <c r="E22" s="17"/>
      <c r="F22" s="17"/>
      <c r="G22" s="17"/>
      <c r="H22" s="17"/>
      <c r="I22" s="17"/>
      <c r="J22" s="17"/>
      <c r="K22" s="17"/>
      <c r="L22" s="17"/>
      <c r="M22" s="17"/>
      <c r="N22" s="17"/>
      <c r="O22" s="17"/>
      <c r="P22" s="17"/>
    </row>
    <row r="23" spans="1:16" x14ac:dyDescent="0.15">
      <c r="A23" s="17">
        <f t="shared" si="0"/>
        <v>12</v>
      </c>
      <c r="B23" s="17" t="str">
        <f>[94]Base_02!$B16</f>
        <v>000012</v>
      </c>
      <c r="C23" s="17" t="str">
        <f>[94]Base_02!$C16</f>
        <v>Nama PB 12</v>
      </c>
      <c r="D23" s="18">
        <f>[94]Base_02!$N16</f>
        <v>0</v>
      </c>
      <c r="E23" s="17"/>
      <c r="F23" s="17"/>
      <c r="G23" s="17"/>
      <c r="H23" s="17"/>
      <c r="I23" s="17"/>
      <c r="J23" s="17"/>
      <c r="K23" s="17"/>
      <c r="L23" s="17"/>
      <c r="M23" s="17"/>
      <c r="N23" s="17"/>
      <c r="O23" s="17"/>
      <c r="P23" s="17"/>
    </row>
    <row r="24" spans="1:16" x14ac:dyDescent="0.15">
      <c r="A24" s="17">
        <f t="shared" si="0"/>
        <v>13</v>
      </c>
      <c r="B24" s="17" t="str">
        <f>[94]Base_02!$B17</f>
        <v>000013</v>
      </c>
      <c r="C24" s="17" t="str">
        <f>[94]Base_02!$C17</f>
        <v>Nama PB 13</v>
      </c>
      <c r="D24" s="18">
        <f>[94]Base_02!$N17</f>
        <v>0</v>
      </c>
      <c r="E24" s="17"/>
      <c r="F24" s="17"/>
      <c r="G24" s="17"/>
      <c r="H24" s="17"/>
      <c r="I24" s="17"/>
      <c r="J24" s="17"/>
      <c r="K24" s="17"/>
      <c r="L24" s="17"/>
      <c r="M24" s="17"/>
      <c r="N24" s="17"/>
      <c r="O24" s="17"/>
      <c r="P24" s="17"/>
    </row>
    <row r="25" spans="1:16" x14ac:dyDescent="0.15">
      <c r="A25" s="17">
        <f t="shared" si="0"/>
        <v>14</v>
      </c>
      <c r="B25" s="17" t="str">
        <f>[94]Base_02!$B18</f>
        <v>000014</v>
      </c>
      <c r="C25" s="17" t="str">
        <f>[94]Base_02!$C18</f>
        <v>Nama PB 14</v>
      </c>
      <c r="D25" s="18">
        <f>[94]Base_02!$N18</f>
        <v>0</v>
      </c>
      <c r="E25" s="17"/>
      <c r="F25" s="17"/>
      <c r="G25" s="17"/>
      <c r="H25" s="17"/>
      <c r="I25" s="17"/>
      <c r="J25" s="17"/>
      <c r="K25" s="17"/>
      <c r="L25" s="17"/>
      <c r="M25" s="17"/>
      <c r="N25" s="17"/>
      <c r="O25" s="17"/>
      <c r="P25" s="17"/>
    </row>
    <row r="26" spans="1:16" x14ac:dyDescent="0.15">
      <c r="A26" s="17">
        <f t="shared" si="0"/>
        <v>15</v>
      </c>
      <c r="B26" s="17" t="str">
        <f>[94]Base_02!$B19</f>
        <v>000015</v>
      </c>
      <c r="C26" s="17" t="str">
        <f>[94]Base_02!$C19</f>
        <v>Nama PB 15</v>
      </c>
      <c r="D26" s="18">
        <f>[94]Base_02!$N19</f>
        <v>0</v>
      </c>
      <c r="E26" s="17"/>
      <c r="F26" s="17"/>
      <c r="G26" s="17"/>
      <c r="H26" s="17"/>
      <c r="I26" s="17"/>
      <c r="J26" s="17"/>
      <c r="K26" s="17"/>
      <c r="L26" s="17"/>
      <c r="M26" s="17"/>
      <c r="N26" s="17"/>
      <c r="O26" s="17"/>
      <c r="P26" s="17"/>
    </row>
    <row r="27" spans="1:16" x14ac:dyDescent="0.15">
      <c r="A27" s="17">
        <f t="shared" si="0"/>
        <v>16</v>
      </c>
      <c r="B27" s="17" t="str">
        <f>[94]Base_02!$B20</f>
        <v>000016</v>
      </c>
      <c r="C27" s="17" t="str">
        <f>[94]Base_02!$C20</f>
        <v>Nama PB 16</v>
      </c>
      <c r="D27" s="18">
        <f>[94]Base_02!$N20</f>
        <v>0</v>
      </c>
      <c r="E27" s="17"/>
      <c r="F27" s="17"/>
      <c r="G27" s="17"/>
      <c r="H27" s="17"/>
      <c r="I27" s="17"/>
      <c r="J27" s="17"/>
      <c r="K27" s="17"/>
      <c r="L27" s="17"/>
      <c r="M27" s="17"/>
      <c r="N27" s="17"/>
      <c r="O27" s="17"/>
      <c r="P27" s="17"/>
    </row>
    <row r="28" spans="1:16" x14ac:dyDescent="0.15">
      <c r="A28" s="17">
        <f t="shared" si="0"/>
        <v>17</v>
      </c>
      <c r="B28" s="17" t="str">
        <f>[94]Base_02!$B21</f>
        <v>000017</v>
      </c>
      <c r="C28" s="17" t="str">
        <f>[94]Base_02!$C21</f>
        <v>Nama PB 17</v>
      </c>
      <c r="D28" s="18">
        <f>[94]Base_02!$N21</f>
        <v>0</v>
      </c>
      <c r="E28" s="17"/>
      <c r="F28" s="17"/>
      <c r="G28" s="17"/>
      <c r="H28" s="17"/>
      <c r="I28" s="17"/>
      <c r="J28" s="17"/>
      <c r="K28" s="17"/>
      <c r="L28" s="17"/>
      <c r="M28" s="17"/>
      <c r="N28" s="17"/>
      <c r="O28" s="17"/>
      <c r="P28" s="17"/>
    </row>
    <row r="29" spans="1:16" x14ac:dyDescent="0.15">
      <c r="A29" s="17">
        <f t="shared" si="0"/>
        <v>18</v>
      </c>
      <c r="B29" s="17" t="str">
        <f>[94]Base_02!$B22</f>
        <v>000018</v>
      </c>
      <c r="C29" s="17" t="str">
        <f>[94]Base_02!$C22</f>
        <v>Nama PB 18</v>
      </c>
      <c r="D29" s="18">
        <f>[94]Base_02!$N22</f>
        <v>0</v>
      </c>
      <c r="E29" s="17"/>
      <c r="F29" s="17"/>
      <c r="G29" s="17"/>
      <c r="H29" s="17"/>
      <c r="I29" s="17"/>
      <c r="J29" s="17"/>
      <c r="K29" s="17"/>
      <c r="L29" s="17"/>
      <c r="M29" s="17"/>
      <c r="N29" s="17"/>
      <c r="O29" s="17"/>
      <c r="P29" s="17"/>
    </row>
    <row r="30" spans="1:16" x14ac:dyDescent="0.15">
      <c r="A30" s="17">
        <f t="shared" si="0"/>
        <v>19</v>
      </c>
      <c r="B30" s="17" t="str">
        <f>[94]Base_02!$B23</f>
        <v>000019</v>
      </c>
      <c r="C30" s="17" t="str">
        <f>[94]Base_02!$C23</f>
        <v>Nama PB 19</v>
      </c>
      <c r="D30" s="18">
        <f>[94]Base_02!$N23</f>
        <v>0</v>
      </c>
      <c r="E30" s="17"/>
      <c r="F30" s="17"/>
      <c r="G30" s="17"/>
      <c r="H30" s="17"/>
      <c r="I30" s="17"/>
      <c r="J30" s="17"/>
      <c r="K30" s="17"/>
      <c r="L30" s="17"/>
      <c r="M30" s="17"/>
      <c r="N30" s="17"/>
      <c r="O30" s="17"/>
      <c r="P30" s="17"/>
    </row>
    <row r="31" spans="1:16" x14ac:dyDescent="0.15">
      <c r="A31" s="17">
        <f t="shared" si="0"/>
        <v>20</v>
      </c>
      <c r="B31" s="17" t="str">
        <f>[94]Base_02!$B24</f>
        <v>000020</v>
      </c>
      <c r="C31" s="17" t="str">
        <f>[94]Base_02!$C24</f>
        <v>Nama PB 20</v>
      </c>
      <c r="D31" s="18">
        <f>[94]Base_02!$N24</f>
        <v>0</v>
      </c>
      <c r="E31" s="17"/>
      <c r="F31" s="17"/>
      <c r="G31" s="17"/>
      <c r="H31" s="17"/>
      <c r="I31" s="17"/>
      <c r="J31" s="17"/>
      <c r="K31" s="17"/>
      <c r="L31" s="17"/>
      <c r="M31" s="17"/>
      <c r="N31" s="17"/>
      <c r="O31" s="17"/>
      <c r="P31" s="17"/>
    </row>
    <row r="33" spans="1:16" x14ac:dyDescent="0.15">
      <c r="A33" s="5" t="s">
        <v>82</v>
      </c>
    </row>
    <row r="34" spans="1:16" x14ac:dyDescent="0.15">
      <c r="A34" s="57" t="s">
        <v>83</v>
      </c>
      <c r="B34" s="57"/>
      <c r="C34" s="5" t="s">
        <v>85</v>
      </c>
    </row>
    <row r="35" spans="1:16" x14ac:dyDescent="0.15">
      <c r="A35" s="57" t="s">
        <v>68</v>
      </c>
      <c r="B35" s="57"/>
      <c r="C35" s="5" t="s">
        <v>84</v>
      </c>
    </row>
    <row r="36" spans="1:16" x14ac:dyDescent="0.15">
      <c r="A36" s="57" t="s">
        <v>70</v>
      </c>
      <c r="B36" s="57"/>
      <c r="C36" s="5" t="s">
        <v>41</v>
      </c>
    </row>
    <row r="37" spans="1:16" x14ac:dyDescent="0.15">
      <c r="A37" s="57" t="s">
        <v>71</v>
      </c>
      <c r="B37" s="57"/>
      <c r="C37" s="5" t="s">
        <v>40</v>
      </c>
    </row>
    <row r="38" spans="1:16" x14ac:dyDescent="0.15">
      <c r="A38" s="57" t="s">
        <v>72</v>
      </c>
      <c r="B38" s="57"/>
      <c r="C38" s="5" t="s">
        <v>43</v>
      </c>
    </row>
    <row r="39" spans="1:16" x14ac:dyDescent="0.15">
      <c r="A39" s="57" t="s">
        <v>73</v>
      </c>
      <c r="B39" s="57"/>
      <c r="C39" s="5" t="s">
        <v>86</v>
      </c>
    </row>
    <row r="40" spans="1:16" x14ac:dyDescent="0.15">
      <c r="A40" s="57" t="s">
        <v>74</v>
      </c>
      <c r="B40" s="57"/>
      <c r="C40" s="5" t="s">
        <v>47</v>
      </c>
    </row>
    <row r="41" spans="1:16" x14ac:dyDescent="0.15">
      <c r="A41" s="57" t="s">
        <v>75</v>
      </c>
      <c r="B41" s="57"/>
      <c r="C41" s="5" t="s">
        <v>48</v>
      </c>
    </row>
    <row r="42" spans="1:16" x14ac:dyDescent="0.15">
      <c r="A42" s="57" t="s">
        <v>76</v>
      </c>
      <c r="B42" s="57"/>
      <c r="C42" s="5" t="s">
        <v>49</v>
      </c>
    </row>
    <row r="43" spans="1:16" x14ac:dyDescent="0.15">
      <c r="A43" s="57" t="s">
        <v>77</v>
      </c>
      <c r="B43" s="57"/>
      <c r="C43" s="5" t="s">
        <v>87</v>
      </c>
    </row>
    <row r="44" spans="1:16" x14ac:dyDescent="0.15">
      <c r="A44" s="57" t="s">
        <v>78</v>
      </c>
      <c r="B44" s="57"/>
      <c r="C44" s="5" t="s">
        <v>88</v>
      </c>
    </row>
    <row r="45" spans="1:16" x14ac:dyDescent="0.15">
      <c r="A45" s="57" t="s">
        <v>79</v>
      </c>
      <c r="B45" s="57"/>
      <c r="C45" s="5" t="s">
        <v>89</v>
      </c>
    </row>
    <row r="46" spans="1:16" x14ac:dyDescent="0.15">
      <c r="A46" s="19"/>
      <c r="B46" s="19"/>
    </row>
    <row r="47" spans="1:16" x14ac:dyDescent="0.15">
      <c r="A47" s="19"/>
      <c r="B47" s="19"/>
      <c r="P47" s="20" t="str">
        <f>[94]Base_01!$C$4&amp;", …..  …........................  2026"</f>
        <v>Sorong, …..  …........................  2026</v>
      </c>
    </row>
    <row r="48" spans="1:16" x14ac:dyDescent="0.15">
      <c r="A48" s="58" t="s">
        <v>93</v>
      </c>
      <c r="B48" s="58"/>
      <c r="C48" s="58"/>
      <c r="E48" s="58" t="s">
        <v>92</v>
      </c>
      <c r="F48" s="58"/>
      <c r="G48" s="58"/>
      <c r="H48" s="58"/>
      <c r="I48" s="58"/>
      <c r="J48" s="58"/>
      <c r="K48" s="58"/>
      <c r="O48" s="58" t="s">
        <v>90</v>
      </c>
      <c r="P48" s="58"/>
    </row>
    <row r="49" spans="1:16" x14ac:dyDescent="0.15">
      <c r="A49" s="58" t="s">
        <v>94</v>
      </c>
      <c r="B49" s="58"/>
      <c r="C49" s="58"/>
      <c r="E49" s="58" t="str">
        <f>[94]Base_01!$B$17&amp;" "&amp;[94]Base_01!$C$4</f>
        <v>Koordinator Kota Sorong</v>
      </c>
      <c r="F49" s="58"/>
      <c r="G49" s="58"/>
      <c r="H49" s="58"/>
      <c r="I49" s="58"/>
      <c r="J49" s="58"/>
      <c r="K49" s="58"/>
      <c r="O49" s="58" t="s">
        <v>91</v>
      </c>
      <c r="P49" s="58"/>
    </row>
    <row r="50" spans="1:16" x14ac:dyDescent="0.15">
      <c r="A50" s="58" t="s">
        <v>95</v>
      </c>
      <c r="B50" s="58"/>
      <c r="C50" s="58"/>
    </row>
    <row r="56" spans="1:16" x14ac:dyDescent="0.15">
      <c r="A56" s="58" t="str">
        <f>[94]Base_01!$C$15</f>
        <v>Febri Nur Fitrianto</v>
      </c>
      <c r="B56" s="58"/>
      <c r="C56" s="58"/>
      <c r="E56" s="58" t="str">
        <f>[94]Base_01!$C$17</f>
        <v>AfrIandi Yudhistira, S.T.</v>
      </c>
      <c r="F56" s="58"/>
      <c r="G56" s="58"/>
      <c r="H56" s="58"/>
      <c r="I56" s="58"/>
      <c r="J56" s="58"/>
      <c r="K56" s="58"/>
      <c r="O56" s="58" t="str">
        <f>[94]Base_01!$C$20</f>
        <v>…...............         …...............</v>
      </c>
      <c r="P56" s="58"/>
    </row>
    <row r="57" spans="1:16" x14ac:dyDescent="0.15">
      <c r="A57" s="58" t="str">
        <f>[94]Base_01!$C$16</f>
        <v>NIP 199702092020121005</v>
      </c>
      <c r="B57" s="58"/>
      <c r="C57" s="58"/>
    </row>
  </sheetData>
  <mergeCells count="36">
    <mergeCell ref="A57:C57"/>
    <mergeCell ref="E49:K49"/>
    <mergeCell ref="E48:K48"/>
    <mergeCell ref="O56:P56"/>
    <mergeCell ref="O49:P49"/>
    <mergeCell ref="O48:P48"/>
    <mergeCell ref="A49:C49"/>
    <mergeCell ref="A50:C50"/>
    <mergeCell ref="A56:C56"/>
    <mergeCell ref="E56:K56"/>
    <mergeCell ref="A44:B44"/>
    <mergeCell ref="A45:B45"/>
    <mergeCell ref="A48:C48"/>
    <mergeCell ref="A39:B39"/>
    <mergeCell ref="A40:B40"/>
    <mergeCell ref="A41:B41"/>
    <mergeCell ref="A42:B42"/>
    <mergeCell ref="A43:B43"/>
    <mergeCell ref="A35:B35"/>
    <mergeCell ref="A36:B36"/>
    <mergeCell ref="A37:B37"/>
    <mergeCell ref="A38:B38"/>
    <mergeCell ref="A4:B4"/>
    <mergeCell ref="A5:B5"/>
    <mergeCell ref="A6:B6"/>
    <mergeCell ref="A7:B7"/>
    <mergeCell ref="A34:B34"/>
    <mergeCell ref="A1:P1"/>
    <mergeCell ref="A2:P2"/>
    <mergeCell ref="O9:O11"/>
    <mergeCell ref="B9:B11"/>
    <mergeCell ref="A9:A11"/>
    <mergeCell ref="E9:N10"/>
    <mergeCell ref="P9:P11"/>
    <mergeCell ref="D9:D11"/>
    <mergeCell ref="C9:C11"/>
  </mergeCells>
  <phoneticPr fontId="6" type="noConversion"/>
  <pageMargins left="0.7" right="0.7" top="0.75" bottom="0.75" header="0.3" footer="0.3"/>
  <pageSetup paperSize="9" scale="94" orientation="landscape"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E78D7-AC00-EA41-BB5F-5867BDA2C5DE}">
  <dimension ref="A1:H19"/>
  <sheetViews>
    <sheetView view="pageBreakPreview" zoomScaleNormal="100" workbookViewId="0">
      <selection activeCell="G29" sqref="G29"/>
    </sheetView>
  </sheetViews>
  <sheetFormatPr baseColWidth="10" defaultRowHeight="14" x14ac:dyDescent="0.15"/>
  <cols>
    <col min="1" max="1" width="3.83203125" style="5" customWidth="1"/>
    <col min="2" max="16384" width="10.83203125" style="5"/>
  </cols>
  <sheetData>
    <row r="1" spans="1:8" x14ac:dyDescent="0.15">
      <c r="A1" s="93" t="s">
        <v>104</v>
      </c>
      <c r="B1" s="93"/>
      <c r="C1" s="93"/>
      <c r="D1" s="93"/>
      <c r="E1" s="93"/>
      <c r="F1" s="93"/>
      <c r="G1" s="93"/>
      <c r="H1" s="93"/>
    </row>
    <row r="2" spans="1:8" x14ac:dyDescent="0.15">
      <c r="A2" s="93"/>
      <c r="B2" s="93"/>
      <c r="C2" s="93"/>
      <c r="D2" s="93"/>
      <c r="E2" s="93"/>
      <c r="F2" s="93"/>
      <c r="G2" s="93"/>
      <c r="H2" s="93"/>
    </row>
    <row r="4" spans="1:8" x14ac:dyDescent="0.15">
      <c r="A4" s="5" t="s">
        <v>96</v>
      </c>
    </row>
    <row r="5" spans="1:8" x14ac:dyDescent="0.15">
      <c r="B5" s="5" t="s">
        <v>97</v>
      </c>
    </row>
    <row r="6" spans="1:8" x14ac:dyDescent="0.15">
      <c r="B6" s="5" t="s">
        <v>98</v>
      </c>
    </row>
    <row r="7" spans="1:8" x14ac:dyDescent="0.15">
      <c r="B7" s="5" t="s">
        <v>99</v>
      </c>
    </row>
    <row r="8" spans="1:8" x14ac:dyDescent="0.15">
      <c r="B8" s="5" t="s">
        <v>100</v>
      </c>
    </row>
    <row r="9" spans="1:8" x14ac:dyDescent="0.15">
      <c r="B9" s="5" t="s">
        <v>101</v>
      </c>
    </row>
    <row r="10" spans="1:8" x14ac:dyDescent="0.15">
      <c r="B10" s="5" t="s">
        <v>102</v>
      </c>
    </row>
    <row r="11" spans="1:8" ht="16" customHeight="1" x14ac:dyDescent="0.15">
      <c r="A11" s="94" t="s">
        <v>103</v>
      </c>
      <c r="B11" s="94"/>
      <c r="C11" s="94"/>
      <c r="D11" s="94"/>
      <c r="E11" s="94"/>
      <c r="F11" s="94"/>
      <c r="G11" s="94"/>
      <c r="H11" s="94"/>
    </row>
    <row r="12" spans="1:8" x14ac:dyDescent="0.15">
      <c r="A12" s="94"/>
      <c r="B12" s="94"/>
      <c r="C12" s="94"/>
      <c r="D12" s="94"/>
      <c r="E12" s="94"/>
      <c r="F12" s="94"/>
      <c r="G12" s="94"/>
      <c r="H12" s="94"/>
    </row>
    <row r="13" spans="1:8" x14ac:dyDescent="0.15">
      <c r="A13" s="94"/>
      <c r="B13" s="94"/>
      <c r="C13" s="94"/>
      <c r="D13" s="94"/>
      <c r="E13" s="94"/>
      <c r="F13" s="94"/>
      <c r="G13" s="94"/>
      <c r="H13" s="94"/>
    </row>
    <row r="14" spans="1:8" x14ac:dyDescent="0.15">
      <c r="A14" s="94"/>
      <c r="B14" s="94"/>
      <c r="C14" s="94"/>
      <c r="D14" s="94"/>
      <c r="E14" s="94"/>
      <c r="F14" s="94"/>
      <c r="G14" s="94"/>
      <c r="H14" s="94"/>
    </row>
    <row r="15" spans="1:8" x14ac:dyDescent="0.15">
      <c r="A15" s="5" t="s">
        <v>105</v>
      </c>
    </row>
    <row r="17" spans="1:8" x14ac:dyDescent="0.15">
      <c r="H17" s="20" t="str">
        <f>[94]Base_01!$C$4&amp;", …..  …........................  2026"</f>
        <v>Sorong, …..  …........................  2026</v>
      </c>
    </row>
    <row r="18" spans="1:8" x14ac:dyDescent="0.15">
      <c r="A18" s="5" t="s">
        <v>108</v>
      </c>
      <c r="H18" s="5" t="s">
        <v>106</v>
      </c>
    </row>
    <row r="19" spans="1:8" x14ac:dyDescent="0.15">
      <c r="A19" s="5" t="s">
        <v>91</v>
      </c>
      <c r="H19" s="5" t="s">
        <v>107</v>
      </c>
    </row>
  </sheetData>
  <mergeCells count="2">
    <mergeCell ref="A1:H2"/>
    <mergeCell ref="A11:H14"/>
  </mergeCells>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Checklist</vt:lpstr>
      <vt:lpstr>A. LPD</vt:lpstr>
      <vt:lpstr>Progress 100%</vt:lpstr>
      <vt:lpstr>B. Lembar Pemeriksaan</vt:lpstr>
      <vt:lpstr>Sheet1</vt:lpstr>
      <vt:lpstr>'A. LPD'!Print_Area</vt:lpstr>
      <vt:lpstr>Checklist!Print_Area</vt:lpstr>
      <vt:lpstr>'Progress 100%'!Print_Area</vt:lpstr>
      <vt:lpstr>Sheet1!Print_Area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Febri</dc:creator>
  <cp:lastModifiedBy>Febri</cp:lastModifiedBy>
  <cp:lastPrinted>2026-08-11T12:15:44Z</cp:lastPrinted>
  <dcterms:created xsi:type="dcterms:W3CDTF">2026-08-11T05:30:50Z</dcterms:created>
  <dcterms:modified xsi:type="dcterms:W3CDTF">2026-08-23T11:13:38Z</dcterms:modified>
</cp:coreProperties>
</file>