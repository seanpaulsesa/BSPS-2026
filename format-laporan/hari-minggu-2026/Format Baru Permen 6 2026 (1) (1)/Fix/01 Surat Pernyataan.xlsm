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febri/Library/Mobile Documents/com~apple~CloudDocs/Downloads/BP3KP Papua II/2026/01 BSPS/Format BSPS Papua II/Format Baru Permen 6 2026/Fix/"/>
    </mc:Choice>
  </mc:AlternateContent>
  <xr:revisionPtr revIDLastSave="0" documentId="13_ncr:1_{D8BB7633-9571-9F43-BACD-FB7C80DA31D6}" xr6:coauthVersionLast="47" xr6:coauthVersionMax="47" xr10:uidLastSave="{00000000-0000-0000-0000-000000000000}"/>
  <bookViews>
    <workbookView xWindow="0" yWindow="600" windowWidth="33600" windowHeight="19260" xr2:uid="{CEFF44B2-930C-CD41-853E-48A3E465736C}"/>
  </bookViews>
  <sheets>
    <sheet name="Format CD" sheetId="1" r:id="rId1"/>
    <sheet name="Format CD (2)" sheetId="24" r:id="rId2"/>
    <sheet name="Format CD (3)" sheetId="25" r:id="rId3"/>
    <sheet name="Format CD (4)" sheetId="26" r:id="rId4"/>
    <sheet name="Format CD (5)" sheetId="27" r:id="rId5"/>
    <sheet name="Format CD (6)" sheetId="28" r:id="rId6"/>
    <sheet name="Format CD (7)" sheetId="29" r:id="rId7"/>
    <sheet name="Format CD (8)" sheetId="30" r:id="rId8"/>
    <sheet name="Format CD (9)" sheetId="31" r:id="rId9"/>
    <sheet name="Format CD (10)" sheetId="32" r:id="rId10"/>
    <sheet name="Format CD (11)" sheetId="33" r:id="rId11"/>
    <sheet name="Format CD (12)" sheetId="34" r:id="rId12"/>
    <sheet name="Format CD (13)" sheetId="35" r:id="rId13"/>
    <sheet name="Format CD (14)" sheetId="36" r:id="rId14"/>
    <sheet name="Format CD (15)" sheetId="37" r:id="rId15"/>
    <sheet name="Format CD (16)" sheetId="38" r:id="rId16"/>
    <sheet name="Format CD (17)" sheetId="39" r:id="rId17"/>
    <sheet name="Format CD (18)" sheetId="40" r:id="rId18"/>
    <sheet name="Format CD (19)" sheetId="41" r:id="rId19"/>
    <sheet name="Format CD (20)" sheetId="42" r:id="rId20"/>
  </sheets>
  <externalReferences>
    <externalReference r:id="rId21"/>
  </externalReferences>
  <definedNames>
    <definedName name="_xleta.FILTER" hidden="1" xlm="1">#NAME?</definedName>
    <definedName name="_xleta.IF" hidden="1" xlm="1">#NAME?</definedName>
    <definedName name="_xleta.T" hidden="1" xlm="1">#NAME?</definedName>
    <definedName name="_xleta.TEXT" hidden="1" xlm="1">#NAME?</definedName>
    <definedName name="List_KabupatenKota">#REF!</definedName>
    <definedName name="List_KabupatenKota_Kecamatan">#REF!</definedName>
    <definedName name="List_KecamatanKode">#REF!</definedName>
    <definedName name="List_KecamatanKode_Kelurahan">#REF!</definedName>
    <definedName name="_xlnm.Print_Area" localSheetId="0">'Format CD'!$A$1:$X$54</definedName>
    <definedName name="_xlnm.Print_Area" localSheetId="9">'Format CD (10)'!$A$1:$X$54</definedName>
    <definedName name="_xlnm.Print_Area" localSheetId="10">'Format CD (11)'!$A$1:$X$54</definedName>
    <definedName name="_xlnm.Print_Area" localSheetId="11">'Format CD (12)'!$A$1:$X$54</definedName>
    <definedName name="_xlnm.Print_Area" localSheetId="12">'Format CD (13)'!$A$1:$X$54</definedName>
    <definedName name="_xlnm.Print_Area" localSheetId="13">'Format CD (14)'!$A$1:$X$54</definedName>
    <definedName name="_xlnm.Print_Area" localSheetId="14">'Format CD (15)'!$A$1:$X$54</definedName>
    <definedName name="_xlnm.Print_Area" localSheetId="15">'Format CD (16)'!$A$1:$X$54</definedName>
    <definedName name="_xlnm.Print_Area" localSheetId="16">'Format CD (17)'!$A$1:$X$54</definedName>
    <definedName name="_xlnm.Print_Area" localSheetId="17">'Format CD (18)'!$A$1:$X$54</definedName>
    <definedName name="_xlnm.Print_Area" localSheetId="18">'Format CD (19)'!$A$1:$X$54</definedName>
    <definedName name="_xlnm.Print_Area" localSheetId="1">'Format CD (2)'!$A$1:$X$54</definedName>
    <definedName name="_xlnm.Print_Area" localSheetId="19">'Format CD (20)'!$A$1:$X$54</definedName>
    <definedName name="_xlnm.Print_Area" localSheetId="2">'Format CD (3)'!$A$1:$X$54</definedName>
    <definedName name="_xlnm.Print_Area" localSheetId="3">'Format CD (4)'!$A$1:$X$54</definedName>
    <definedName name="_xlnm.Print_Area" localSheetId="4">'Format CD (5)'!$A$1:$X$54</definedName>
    <definedName name="_xlnm.Print_Area" localSheetId="5">'Format CD (6)'!$A$1:$X$54</definedName>
    <definedName name="_xlnm.Print_Area" localSheetId="6">'Format CD (7)'!$A$1:$X$54</definedName>
    <definedName name="_xlnm.Print_Area" localSheetId="7">'Format CD (8)'!$A$1:$X$54</definedName>
    <definedName name="_xlnm.Print_Area" localSheetId="8">'Format CD (9)'!$A$1:$X$54</definedName>
    <definedName name="TFL_KabKota">#REF!</definedName>
    <definedName name="TFL_Provinsi">#REF!</definedName>
    <definedName name="Umum_Tahu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35" i="1" l="1"/>
  <c r="B21" i="42"/>
  <c r="D20" i="42"/>
  <c r="D19" i="42"/>
  <c r="D18" i="42"/>
  <c r="D17" i="42"/>
  <c r="D16" i="42"/>
  <c r="D12" i="42"/>
  <c r="F9" i="42"/>
  <c r="F8" i="42"/>
  <c r="F7" i="42"/>
  <c r="F6" i="42"/>
  <c r="F5" i="42"/>
  <c r="F4" i="42"/>
  <c r="B21" i="41"/>
  <c r="D20" i="41"/>
  <c r="D19" i="41"/>
  <c r="D18" i="41"/>
  <c r="D17" i="41"/>
  <c r="D16" i="41"/>
  <c r="D12" i="41"/>
  <c r="F9" i="41"/>
  <c r="F8" i="41"/>
  <c r="F7" i="41"/>
  <c r="F6" i="41"/>
  <c r="F5" i="41"/>
  <c r="F4" i="41"/>
  <c r="B21" i="40"/>
  <c r="D20" i="40"/>
  <c r="D19" i="40"/>
  <c r="D18" i="40"/>
  <c r="D17" i="40"/>
  <c r="D16" i="40"/>
  <c r="D12" i="40"/>
  <c r="F9" i="40"/>
  <c r="F8" i="40"/>
  <c r="Q8" i="40" s="1"/>
  <c r="F7" i="40"/>
  <c r="F6" i="40"/>
  <c r="F5" i="40"/>
  <c r="F4" i="40"/>
  <c r="B21" i="39"/>
  <c r="D20" i="39"/>
  <c r="D19" i="39"/>
  <c r="D18" i="39"/>
  <c r="D17" i="39"/>
  <c r="D16" i="39"/>
  <c r="D12" i="39"/>
  <c r="F9" i="39"/>
  <c r="F8" i="39"/>
  <c r="F7" i="39"/>
  <c r="F6" i="39"/>
  <c r="F5" i="39"/>
  <c r="F4" i="39"/>
  <c r="B21" i="38"/>
  <c r="D20" i="38"/>
  <c r="D19" i="38"/>
  <c r="D18" i="38"/>
  <c r="D17" i="38"/>
  <c r="D16" i="38"/>
  <c r="D12" i="38"/>
  <c r="F9" i="38"/>
  <c r="F8" i="38"/>
  <c r="F7" i="38"/>
  <c r="F6" i="38"/>
  <c r="F5" i="38"/>
  <c r="F4" i="38"/>
  <c r="B21" i="37"/>
  <c r="D20" i="37"/>
  <c r="D19" i="37"/>
  <c r="D18" i="37"/>
  <c r="D17" i="37"/>
  <c r="D16" i="37"/>
  <c r="D12" i="37"/>
  <c r="F9" i="37"/>
  <c r="F8" i="37"/>
  <c r="Q8" i="37" s="1"/>
  <c r="F7" i="37"/>
  <c r="F6" i="37"/>
  <c r="F5" i="37"/>
  <c r="F4" i="37"/>
  <c r="B21" i="36"/>
  <c r="D20" i="36"/>
  <c r="D19" i="36"/>
  <c r="D18" i="36"/>
  <c r="D17" i="36"/>
  <c r="D16" i="36"/>
  <c r="D12" i="36"/>
  <c r="F9" i="36"/>
  <c r="F8" i="36"/>
  <c r="F7" i="36"/>
  <c r="Q7" i="36" s="1"/>
  <c r="F6" i="36"/>
  <c r="F5" i="36"/>
  <c r="F4" i="36"/>
  <c r="G41" i="36" s="1"/>
  <c r="B21" i="35"/>
  <c r="D20" i="35"/>
  <c r="D19" i="35"/>
  <c r="D18" i="35"/>
  <c r="D17" i="35"/>
  <c r="D16" i="35"/>
  <c r="D12" i="35"/>
  <c r="F9" i="35"/>
  <c r="Q9" i="35" s="1"/>
  <c r="F8" i="35"/>
  <c r="F7" i="35"/>
  <c r="F6" i="35"/>
  <c r="F5" i="35"/>
  <c r="Q5" i="35" s="1"/>
  <c r="F4" i="35"/>
  <c r="B21" i="34"/>
  <c r="D20" i="34"/>
  <c r="D19" i="34"/>
  <c r="D18" i="34"/>
  <c r="D17" i="34"/>
  <c r="D16" i="34"/>
  <c r="D12" i="34"/>
  <c r="F9" i="34"/>
  <c r="F8" i="34"/>
  <c r="F7" i="34"/>
  <c r="F6" i="34"/>
  <c r="Q6" i="34" s="1"/>
  <c r="F5" i="34"/>
  <c r="F4" i="34"/>
  <c r="B21" i="33"/>
  <c r="D20" i="33"/>
  <c r="D19" i="33"/>
  <c r="D18" i="33"/>
  <c r="D17" i="33"/>
  <c r="D16" i="33"/>
  <c r="D12" i="33"/>
  <c r="F9" i="33"/>
  <c r="F8" i="33"/>
  <c r="F7" i="33"/>
  <c r="F6" i="33"/>
  <c r="F5" i="33"/>
  <c r="F4" i="33"/>
  <c r="B21" i="32"/>
  <c r="D20" i="32"/>
  <c r="D19" i="32"/>
  <c r="D18" i="32"/>
  <c r="D17" i="32"/>
  <c r="D16" i="32"/>
  <c r="D12" i="32"/>
  <c r="F9" i="32"/>
  <c r="F8" i="32"/>
  <c r="F7" i="32"/>
  <c r="F6" i="32"/>
  <c r="F5" i="32"/>
  <c r="F4" i="32"/>
  <c r="Q4" i="32" s="1"/>
  <c r="B21" i="31"/>
  <c r="D20" i="31"/>
  <c r="D19" i="31"/>
  <c r="D18" i="31"/>
  <c r="D17" i="31"/>
  <c r="D16" i="31"/>
  <c r="D12" i="31"/>
  <c r="F9" i="31"/>
  <c r="F8" i="31"/>
  <c r="F7" i="31"/>
  <c r="F6" i="31"/>
  <c r="F5" i="31"/>
  <c r="Q5" i="31" s="1"/>
  <c r="F4" i="31"/>
  <c r="B21" i="30"/>
  <c r="D20" i="30"/>
  <c r="D19" i="30"/>
  <c r="D18" i="30"/>
  <c r="D17" i="30"/>
  <c r="D16" i="30"/>
  <c r="D12" i="30"/>
  <c r="F9" i="30"/>
  <c r="F8" i="30"/>
  <c r="F7" i="30"/>
  <c r="F6" i="30"/>
  <c r="F5" i="30"/>
  <c r="F4" i="30"/>
  <c r="G41" i="30" s="1"/>
  <c r="B21" i="29"/>
  <c r="D20" i="29"/>
  <c r="D19" i="29"/>
  <c r="D18" i="29"/>
  <c r="D17" i="29"/>
  <c r="D16" i="29"/>
  <c r="D12" i="29"/>
  <c r="F9" i="29"/>
  <c r="F8" i="29"/>
  <c r="Q8" i="29" s="1"/>
  <c r="F7" i="29"/>
  <c r="Q7" i="29" s="1"/>
  <c r="F6" i="29"/>
  <c r="F5" i="29"/>
  <c r="F4" i="29"/>
  <c r="B21" i="28"/>
  <c r="D20" i="28"/>
  <c r="D19" i="28"/>
  <c r="D18" i="28"/>
  <c r="D17" i="28"/>
  <c r="D16" i="28"/>
  <c r="D12" i="28"/>
  <c r="F9" i="28"/>
  <c r="F8" i="28"/>
  <c r="Q8" i="28" s="1"/>
  <c r="F7" i="28"/>
  <c r="F6" i="28"/>
  <c r="F5" i="28"/>
  <c r="Q5" i="28" s="1"/>
  <c r="F4" i="28"/>
  <c r="Q4" i="28" s="1"/>
  <c r="B21" i="27"/>
  <c r="D20" i="27"/>
  <c r="D19" i="27"/>
  <c r="D18" i="27"/>
  <c r="D17" i="27"/>
  <c r="D16" i="27"/>
  <c r="D12" i="27"/>
  <c r="F9" i="27"/>
  <c r="Q9" i="27" s="1"/>
  <c r="F8" i="27"/>
  <c r="F7" i="27"/>
  <c r="F6" i="27"/>
  <c r="F5" i="27"/>
  <c r="F4" i="27"/>
  <c r="B21" i="26"/>
  <c r="D20" i="26"/>
  <c r="D19" i="26"/>
  <c r="D18" i="26"/>
  <c r="D17" i="26"/>
  <c r="D16" i="26"/>
  <c r="D12" i="26"/>
  <c r="F9" i="26"/>
  <c r="F8" i="26"/>
  <c r="F7" i="26"/>
  <c r="F6" i="26"/>
  <c r="F5" i="26"/>
  <c r="Q5" i="26" s="1"/>
  <c r="F4" i="26"/>
  <c r="B21" i="25"/>
  <c r="D20" i="25"/>
  <c r="D19" i="25"/>
  <c r="D18" i="25"/>
  <c r="D17" i="25"/>
  <c r="D16" i="25"/>
  <c r="D12" i="25"/>
  <c r="F9" i="25"/>
  <c r="F8" i="25"/>
  <c r="F7" i="25"/>
  <c r="F6" i="25"/>
  <c r="F5" i="25"/>
  <c r="F4" i="25"/>
  <c r="G41" i="25" s="1"/>
  <c r="B21" i="24"/>
  <c r="D20" i="24"/>
  <c r="D19" i="24"/>
  <c r="D18" i="24"/>
  <c r="D17" i="24"/>
  <c r="D16" i="24"/>
  <c r="D12" i="24"/>
  <c r="F9" i="24"/>
  <c r="F8" i="24"/>
  <c r="Q8" i="24" s="1"/>
  <c r="F7" i="24"/>
  <c r="Q7" i="24" s="1"/>
  <c r="F6" i="24"/>
  <c r="F5" i="24"/>
  <c r="F4" i="24"/>
  <c r="B21" i="1"/>
  <c r="D20" i="1"/>
  <c r="D19" i="1"/>
  <c r="D18" i="1"/>
  <c r="D17" i="1"/>
  <c r="D16" i="1"/>
  <c r="D12" i="1"/>
  <c r="F9" i="1"/>
  <c r="F8" i="1"/>
  <c r="F7" i="1"/>
  <c r="F6" i="1"/>
  <c r="F5" i="1"/>
  <c r="F4" i="1"/>
  <c r="B42" i="42"/>
  <c r="B41" i="42"/>
  <c r="B36" i="42"/>
  <c r="G35" i="42"/>
  <c r="R40" i="42" s="1"/>
  <c r="D14" i="42"/>
  <c r="B14" i="42"/>
  <c r="D13" i="42"/>
  <c r="B13" i="42"/>
  <c r="Q9" i="42"/>
  <c r="Q8" i="42"/>
  <c r="Q7" i="42"/>
  <c r="Q6" i="42"/>
  <c r="Q5" i="42"/>
  <c r="G41" i="42"/>
  <c r="B42" i="41"/>
  <c r="B41" i="41"/>
  <c r="B36" i="41"/>
  <c r="G35" i="41"/>
  <c r="R40" i="41" s="1"/>
  <c r="D14" i="41"/>
  <c r="B14" i="41"/>
  <c r="D13" i="41"/>
  <c r="B13" i="41"/>
  <c r="Q9" i="41"/>
  <c r="Q8" i="41"/>
  <c r="Q7" i="41"/>
  <c r="Q6" i="41"/>
  <c r="Q5" i="41"/>
  <c r="G41" i="41"/>
  <c r="B42" i="40"/>
  <c r="B41" i="40"/>
  <c r="B36" i="40"/>
  <c r="G35" i="40"/>
  <c r="R40" i="40" s="1"/>
  <c r="D14" i="40"/>
  <c r="B14" i="40"/>
  <c r="D13" i="40"/>
  <c r="B13" i="40"/>
  <c r="Q9" i="40"/>
  <c r="Q7" i="40"/>
  <c r="Q6" i="40"/>
  <c r="Q5" i="40"/>
  <c r="Q4" i="40"/>
  <c r="B42" i="39"/>
  <c r="B41" i="39"/>
  <c r="B36" i="39"/>
  <c r="G35" i="39"/>
  <c r="R40" i="39" s="1"/>
  <c r="D14" i="39"/>
  <c r="B14" i="39"/>
  <c r="D13" i="39"/>
  <c r="B13" i="39"/>
  <c r="Q9" i="39"/>
  <c r="Q8" i="39"/>
  <c r="Q7" i="39"/>
  <c r="Q6" i="39"/>
  <c r="Q5" i="39"/>
  <c r="G41" i="39"/>
  <c r="B42" i="38"/>
  <c r="B41" i="38"/>
  <c r="R40" i="38"/>
  <c r="B36" i="38"/>
  <c r="G35" i="38"/>
  <c r="D14" i="38"/>
  <c r="B14" i="38"/>
  <c r="D13" i="38"/>
  <c r="B13" i="38"/>
  <c r="Q9" i="38"/>
  <c r="Q8" i="38"/>
  <c r="Q7" i="38"/>
  <c r="Q6" i="38"/>
  <c r="Q5" i="38"/>
  <c r="G41" i="38"/>
  <c r="B42" i="37"/>
  <c r="B41" i="37"/>
  <c r="B36" i="37"/>
  <c r="G35" i="37"/>
  <c r="R40" i="37" s="1"/>
  <c r="D14" i="37"/>
  <c r="B14" i="37"/>
  <c r="D13" i="37"/>
  <c r="B13" i="37"/>
  <c r="Q9" i="37"/>
  <c r="Q7" i="37"/>
  <c r="Q6" i="37"/>
  <c r="Q5" i="37"/>
  <c r="G41" i="37"/>
  <c r="B42" i="36"/>
  <c r="B41" i="36"/>
  <c r="R40" i="36"/>
  <c r="B36" i="36"/>
  <c r="G35" i="36"/>
  <c r="D14" i="36"/>
  <c r="B14" i="36"/>
  <c r="D13" i="36"/>
  <c r="B13" i="36"/>
  <c r="Q9" i="36"/>
  <c r="Q8" i="36"/>
  <c r="Q6" i="36"/>
  <c r="Q5" i="36"/>
  <c r="B42" i="35"/>
  <c r="B41" i="35"/>
  <c r="B36" i="35"/>
  <c r="G35" i="35"/>
  <c r="R40" i="35" s="1"/>
  <c r="D14" i="35"/>
  <c r="B14" i="35"/>
  <c r="D13" i="35"/>
  <c r="B13" i="35"/>
  <c r="Q8" i="35"/>
  <c r="Q7" i="35"/>
  <c r="Q6" i="35"/>
  <c r="Q4" i="35"/>
  <c r="B42" i="34"/>
  <c r="B41" i="34"/>
  <c r="B36" i="34"/>
  <c r="G35" i="34"/>
  <c r="R40" i="34" s="1"/>
  <c r="D14" i="34"/>
  <c r="B14" i="34"/>
  <c r="D13" i="34"/>
  <c r="B13" i="34"/>
  <c r="Q9" i="34"/>
  <c r="Q8" i="34"/>
  <c r="Q7" i="34"/>
  <c r="Q5" i="34"/>
  <c r="G41" i="34"/>
  <c r="B42" i="33"/>
  <c r="B41" i="33"/>
  <c r="B36" i="33"/>
  <c r="G35" i="33"/>
  <c r="R40" i="33" s="1"/>
  <c r="D14" i="33"/>
  <c r="B14" i="33"/>
  <c r="D13" i="33"/>
  <c r="B13" i="33"/>
  <c r="Q9" i="33"/>
  <c r="Q8" i="33"/>
  <c r="Q7" i="33"/>
  <c r="Q6" i="33"/>
  <c r="Q5" i="33"/>
  <c r="Q4" i="33"/>
  <c r="B42" i="32"/>
  <c r="B41" i="32"/>
  <c r="B36" i="32"/>
  <c r="G35" i="32"/>
  <c r="R40" i="32" s="1"/>
  <c r="D14" i="32"/>
  <c r="B14" i="32"/>
  <c r="D13" i="32"/>
  <c r="B13" i="32"/>
  <c r="Q9" i="32"/>
  <c r="Q8" i="32"/>
  <c r="Q7" i="32"/>
  <c r="Q6" i="32"/>
  <c r="Q5" i="32"/>
  <c r="B42" i="31"/>
  <c r="B41" i="31"/>
  <c r="B36" i="31"/>
  <c r="G35" i="31"/>
  <c r="R40" i="31" s="1"/>
  <c r="D14" i="31"/>
  <c r="B14" i="31"/>
  <c r="D13" i="31"/>
  <c r="B13" i="31"/>
  <c r="Q9" i="31"/>
  <c r="Q8" i="31"/>
  <c r="Q7" i="31"/>
  <c r="Q6" i="31"/>
  <c r="G41" i="31"/>
  <c r="B42" i="30"/>
  <c r="B41" i="30"/>
  <c r="B36" i="30"/>
  <c r="G35" i="30"/>
  <c r="R40" i="30" s="1"/>
  <c r="D14" i="30"/>
  <c r="B14" i="30"/>
  <c r="D13" i="30"/>
  <c r="B13" i="30"/>
  <c r="Q9" i="30"/>
  <c r="Q8" i="30"/>
  <c r="Q7" i="30"/>
  <c r="Q6" i="30"/>
  <c r="Q5" i="30"/>
  <c r="B42" i="29"/>
  <c r="B41" i="29"/>
  <c r="B36" i="29"/>
  <c r="G35" i="29"/>
  <c r="R40" i="29" s="1"/>
  <c r="D14" i="29"/>
  <c r="B14" i="29"/>
  <c r="D13" i="29"/>
  <c r="B13" i="29"/>
  <c r="Q9" i="29"/>
  <c r="Q6" i="29"/>
  <c r="Q5" i="29"/>
  <c r="G41" i="29"/>
  <c r="B42" i="28"/>
  <c r="B41" i="28"/>
  <c r="B36" i="28"/>
  <c r="G35" i="28"/>
  <c r="R40" i="28" s="1"/>
  <c r="D14" i="28"/>
  <c r="B14" i="28"/>
  <c r="D13" i="28"/>
  <c r="B13" i="28"/>
  <c r="Q9" i="28"/>
  <c r="Q7" i="28"/>
  <c r="Q6" i="28"/>
  <c r="B42" i="27"/>
  <c r="B41" i="27"/>
  <c r="B36" i="27"/>
  <c r="G35" i="27"/>
  <c r="R40" i="27" s="1"/>
  <c r="D14" i="27"/>
  <c r="B14" i="27"/>
  <c r="D13" i="27"/>
  <c r="B13" i="27"/>
  <c r="Q8" i="27"/>
  <c r="Q7" i="27"/>
  <c r="Q6" i="27"/>
  <c r="Q5" i="27"/>
  <c r="G41" i="27"/>
  <c r="B42" i="26"/>
  <c r="B41" i="26"/>
  <c r="R40" i="26"/>
  <c r="B36" i="26"/>
  <c r="G35" i="26"/>
  <c r="D14" i="26"/>
  <c r="B14" i="26"/>
  <c r="D13" i="26"/>
  <c r="B13" i="26"/>
  <c r="Q9" i="26"/>
  <c r="Q8" i="26"/>
  <c r="Q7" i="26"/>
  <c r="Q6" i="26"/>
  <c r="Q4" i="26"/>
  <c r="G41" i="26"/>
  <c r="B42" i="25"/>
  <c r="B41" i="25"/>
  <c r="B36" i="25"/>
  <c r="G35" i="25"/>
  <c r="R40" i="25" s="1"/>
  <c r="D14" i="25"/>
  <c r="B14" i="25"/>
  <c r="D13" i="25"/>
  <c r="B13" i="25"/>
  <c r="Q9" i="25"/>
  <c r="Q8" i="25"/>
  <c r="Q7" i="25"/>
  <c r="Q6" i="25"/>
  <c r="Q5" i="25"/>
  <c r="B42" i="24"/>
  <c r="B41" i="24"/>
  <c r="B36" i="24"/>
  <c r="G35" i="24"/>
  <c r="R40" i="24" s="1"/>
  <c r="D14" i="24"/>
  <c r="B14" i="24"/>
  <c r="D13" i="24"/>
  <c r="B13" i="24"/>
  <c r="Q9" i="24"/>
  <c r="Q6" i="24"/>
  <c r="Q5" i="24"/>
  <c r="G41" i="24"/>
  <c r="Q4" i="30" l="1"/>
  <c r="Q4" i="41"/>
  <c r="G41" i="33"/>
  <c r="G41" i="40"/>
  <c r="Q4" i="38"/>
  <c r="Q4" i="36"/>
  <c r="G41" i="35"/>
  <c r="G41" i="32"/>
  <c r="G41" i="28"/>
  <c r="Q4" i="42"/>
  <c r="Q4" i="37"/>
  <c r="Q4" i="34"/>
  <c r="Q4" i="39"/>
  <c r="Q4" i="29"/>
  <c r="Q4" i="31"/>
  <c r="Q4" i="27"/>
  <c r="Q4" i="25"/>
  <c r="Q4" i="24"/>
  <c r="R40" i="1"/>
  <c r="B42" i="1"/>
  <c r="B41" i="1"/>
  <c r="B36" i="1"/>
  <c r="D14" i="1"/>
  <c r="D13" i="1"/>
  <c r="Q9" i="1"/>
  <c r="Q8" i="1"/>
  <c r="Q7" i="1"/>
  <c r="Q6" i="1"/>
  <c r="Q5" i="1"/>
  <c r="Q4" i="1"/>
  <c r="B14" i="1"/>
  <c r="B13" i="1"/>
  <c r="G41" i="1" l="1"/>
</calcChain>
</file>

<file path=xl/sharedStrings.xml><?xml version="1.0" encoding="utf-8"?>
<sst xmlns="http://schemas.openxmlformats.org/spreadsheetml/2006/main" count="1440" uniqueCount="49">
  <si>
    <t>SURAT PERNYATAAN MENEMPATI RUMAH TIDAK LAYAK HUNI DAN TANAH</t>
  </si>
  <si>
    <t>Saya yang bertanda tangan</t>
  </si>
  <si>
    <t>nama</t>
  </si>
  <si>
    <t>Nomor Induk Kependudukan (NIK)</t>
  </si>
  <si>
    <t>tempat, tanggal lahir</t>
  </si>
  <si>
    <t>pekerjaan</t>
  </si>
  <si>
    <t>nomor telepon</t>
  </si>
  <si>
    <t>alamat</t>
  </si>
  <si>
    <t>menyatakan bahwa saya Warga Negara Indonesia:</t>
  </si>
  <si>
    <t>a.</t>
  </si>
  <si>
    <t>menempati rumah tidak layak huni dan tanah satu-satunya yang terletak di:</t>
  </si>
  <si>
    <t>Jalan, RT/RW</t>
  </si>
  <si>
    <t>dengan</t>
  </si>
  <si>
    <t>luas tanah</t>
  </si>
  <si>
    <t>status tanah</t>
  </si>
  <si>
    <t>telah ditempati selama</t>
  </si>
  <si>
    <t>:</t>
  </si>
  <si>
    <t>b.</t>
  </si>
  <si>
    <t>belum pernah menerima Bantuan Stimulan Perumahan Swadaya (BSPS), Bedah Rumah, atau program kemudahan dan bantuan pembiayaan perumahan dari pemerintah dalam 5 (lima) tahun terakhir, kecuali karena bencana, kebakaran, dan/atau penataan kumuh;</t>
  </si>
  <si>
    <t>c.</t>
  </si>
  <si>
    <t>bersedia menerima dan akan menggunakan dana Bedah Rumah sesuai hukum;</t>
  </si>
  <si>
    <t>d.</t>
  </si>
  <si>
    <t>bersedia diperiksa oleh petugas/pejabat yang berwenang; dan</t>
  </si>
  <si>
    <t>bersedia dikenai sanksi jika memberikan data dan informasi yang tidak sesuai dengan fakta/hukum.</t>
  </si>
  <si>
    <t>akan menghuni rumah yang telah direnovasi melalui Bedah Rumah selama 3 (tiga) tahun kecuali karena alasan yang sah;</t>
  </si>
  <si>
    <t>e.</t>
  </si>
  <si>
    <t>f.</t>
  </si>
  <si>
    <t>g.</t>
  </si>
  <si>
    <t>Pernyataan ini dan lampirannya saya buat dengan sebenarnya dengan penuh tanggung jawab dan tanpa paksaan.</t>
  </si>
  <si>
    <t>Mengetahui,</t>
  </si>
  <si>
    <t>Calon Penerima Bantuan</t>
  </si>
  <si>
    <t>*)</t>
  </si>
  <si>
    <t>coret yang tidak perlu</t>
  </si>
  <si>
    <t>LAMPIRAN FOTO SURAT PERNYATAAN MENEMPATI</t>
  </si>
  <si>
    <t>RUMAH TIDAK LAYAK HUNI DAN TANAH</t>
  </si>
  <si>
    <t>Nama</t>
  </si>
  <si>
    <t>FOTO KOMPONEN YANG TIDAK MEMENUHI ATAU TIDAK TERPENUHI</t>
  </si>
  <si>
    <t>SALAH SATU PERSYARATAN RUMAH LAYAK HUNI</t>
  </si>
  <si>
    <t>Yang mengusulkan,</t>
  </si>
  <si>
    <t>( …..........................................)</t>
  </si>
  <si>
    <t>(foto komponen rumah)
(keselamatan bangunan)</t>
  </si>
  <si>
    <t>(foto komponen rumah)
(keselamatan bangunan)
Keselamatan bangunan:
a. struktur bangunan
b. penutup atap
c. dinding bangunan</t>
  </si>
  <si>
    <t>(foto komponen rumah)
(kesehatan penghuni)
Kesehatan penghuni:
a. pencahayaan
b. penghawaan
c. sarana MCK</t>
  </si>
  <si>
    <t>tampak depan</t>
  </si>
  <si>
    <t>tampak belakang</t>
  </si>
  <si>
    <t>tampak samping</t>
  </si>
  <si>
    <t>sisi lainnya/foto MCK</t>
  </si>
  <si>
    <t>isi nomor urut</t>
  </si>
  <si>
    <t>untuk insert foto, klik cell kemudian klik insert foto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</si>
</sst>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justify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justify" vertical="top" wrapText="1"/>
    </xf>
    <xf numFmtId="0" fontId="3" fillId="0" borderId="2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/>
    </xf>
    <xf numFmtId="0" fontId="3" fillId="0" borderId="4" xfId="0" applyFont="1" applyBorder="1" applyAlignment="1">
      <alignment horizontal="left" vertical="top" wrapText="1"/>
    </xf>
    <xf numFmtId="0" fontId="3" fillId="0" borderId="5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3" fillId="0" borderId="6" xfId="0" applyFont="1" applyBorder="1" applyAlignment="1">
      <alignment horizontal="left" vertical="top" wrapText="1"/>
    </xf>
    <xf numFmtId="0" fontId="3" fillId="0" borderId="7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</cellXfs>
  <cellStyles count="2">
    <cellStyle name="Normal" xfId="0" builtinId="0"/>
    <cellStyle name="Normal 2" xfId="1" xr:uid="{DF141348-3A10-E047-A78C-C9504353E1C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23A21D6F-C506-744E-9CEB-DA4EEF663A41}"/>
            </a:ext>
          </a:extLst>
        </xdr:cNvPr>
        <xdr:cNvSpPr/>
      </xdr:nvSpPr>
      <xdr:spPr>
        <a:xfrm>
          <a:off x="8203727" y="3518137"/>
          <a:ext cx="1370543" cy="180352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457809C7-3C57-3641-B482-90ACA8E96EEF}"/>
            </a:ext>
          </a:extLst>
        </xdr:cNvPr>
        <xdr:cNvSpPr/>
      </xdr:nvSpPr>
      <xdr:spPr>
        <a:xfrm>
          <a:off x="9986460" y="3518136"/>
          <a:ext cx="1370543" cy="180352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8E5B8FD4-9CBD-004C-A79F-AF282894CBB0}"/>
            </a:ext>
          </a:extLst>
        </xdr:cNvPr>
        <xdr:cNvSpPr/>
      </xdr:nvSpPr>
      <xdr:spPr>
        <a:xfrm>
          <a:off x="6381553" y="3518137"/>
          <a:ext cx="1370543" cy="180352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07A547C2-B340-6541-BD26-52C6FEFD02C8}"/>
            </a:ext>
          </a:extLst>
        </xdr:cNvPr>
        <xdr:cNvSpPr/>
      </xdr:nvSpPr>
      <xdr:spPr>
        <a:xfrm>
          <a:off x="6886398" y="5277205"/>
          <a:ext cx="1370543" cy="180352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6F201460-687B-BD43-B61A-53430BDFE3A1}"/>
            </a:ext>
          </a:extLst>
        </xdr:cNvPr>
        <xdr:cNvSpPr/>
      </xdr:nvSpPr>
      <xdr:spPr>
        <a:xfrm>
          <a:off x="6865258" y="6754823"/>
          <a:ext cx="1370543" cy="180352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A646CAF5-5BDF-0B47-96EC-4A9269BAFBC9}"/>
            </a:ext>
          </a:extLst>
        </xdr:cNvPr>
        <xdr:cNvSpPr/>
      </xdr:nvSpPr>
      <xdr:spPr>
        <a:xfrm>
          <a:off x="9599938" y="6744410"/>
          <a:ext cx="1370543" cy="180352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9" name="Rectangle: Rounded Corners 83">
          <a:extLst>
            <a:ext uri="{FF2B5EF4-FFF2-40B4-BE49-F238E27FC236}">
              <a16:creationId xmlns:a16="http://schemas.microsoft.com/office/drawing/2014/main" id="{5506AED9-850A-7745-AD72-E0CA0AE048C4}"/>
            </a:ext>
          </a:extLst>
        </xdr:cNvPr>
        <xdr:cNvSpPr/>
      </xdr:nvSpPr>
      <xdr:spPr>
        <a:xfrm>
          <a:off x="9592049" y="5269317"/>
          <a:ext cx="1370543" cy="180352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15CAF716-7065-A14F-8E22-2F2942C954D4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BD237F91-E5AB-5144-90CE-102496376920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7014B297-7183-624A-BC83-BB9CA75B8DFC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A78EBA34-A405-8340-87D0-EA0CDFDFAC98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6062C934-26D0-9046-9EE1-6F5B41457A74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BBC39F9E-876C-8F47-BCE8-2711F2E255F7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99CAA6F3-D8B7-5943-B391-3A946AD0B1BA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1389E270-389B-E547-AD06-0277616DE2CD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4B68BD39-B2C3-084E-BA66-674D4CA17034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5AA11B21-F95A-3948-A220-1FBE6741FBEE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18A6EE4C-D3DF-6343-B854-B5F6AE4FB0D1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0AA7831B-6CBC-824A-945B-AB005341EEF2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8F904320-646B-9744-913A-79B8E8F01226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9132F7FF-433A-2A4D-97CA-C6D8F33FD96C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D14B0B73-D29A-BB40-8023-B558633958F6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E31E470C-76A9-B64B-9EA7-519CE5B6B6D5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34E62A7E-2DF4-D64E-8276-2D68A890A96F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4574F5CF-46FD-3843-8B23-0ED719B4F919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CDB7E1E9-A22C-9741-82E0-AABBD59732B8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8B0AE912-2F2A-024C-AB4E-9820F9136158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BAB01746-9573-4647-A0A9-C03469F600C0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BDEA0EC7-4223-5E4C-B2AC-37EB7EAE1767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8CC9CB42-8348-1C4F-81CE-BB49E1C4E8B5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0B594D07-D251-AA4E-9F42-D22B50CFDBDC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9C730FD8-D5C2-4E4B-AF2C-2805C0961015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8253EEC0-64C2-E14A-B898-E7317EB9087C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E4425F48-10D7-3044-A41E-2F4A1872AE32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3E666A5C-C832-8246-9546-A941CF4C044C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2B54B785-9D8D-C24D-A0FC-2B3B7E5ED0BD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38604EF2-E2F2-824A-AA92-32C222750C6C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B542C657-038A-994F-A478-9C21793F037A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8253AAB1-0D7D-3345-8030-C5D8F6E506E8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51D9CF64-72CD-B341-BD0A-E395E1F60DDC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C1964397-07E4-1747-B166-F92E0552FD3C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232BF404-DE63-9541-ADC7-84EB4853AF6A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748CB7E6-381C-A84E-86EA-63F27B2BB7EE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81343C3A-36D1-BE42-B01B-A0EA334E2109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25DA98A5-ACD6-7E47-8783-220EE9C80CE3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BC18C105-B8D1-3A48-A394-4AFBEF7921D0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984B11F9-02CA-D44A-80F9-8608C30775F6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441A9EE1-650E-F74D-8003-416D46246741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C0698F49-B20D-CB46-9AE7-CB14453C3114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EB627567-3CA3-9F44-9F9A-30E9227B379C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13D8B790-1C16-C24B-8175-C187E949AA39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AF4816F5-5CBE-194E-A386-235E1A6A7C37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31927D27-4E49-7B47-B76B-3117FACFEAC4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D3610CAC-E2AA-9047-B563-331D06E8C4CC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B79F8822-902C-5C42-BAC6-6F47E9DC41AE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FB4BF5B9-6883-8F4D-B307-62AE1A043A3B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AB3D099E-9CB5-DE49-8672-A5F64AD3CD00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6BB3EDA8-EECB-3441-BC0D-96060C8A2A19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DCBBD358-90FC-854D-AB20-107A63B8E625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2ECC34F5-8528-304C-ACC4-714AAA62B2C4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286E7763-37B9-0340-81D8-10FFBE98C101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6205E22D-D24A-834D-90DE-A1B610DD3D5C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3DBB4928-0438-AF47-B2D8-00867BC2F5FD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BECA03E8-2074-C147-8085-1A6E728C633F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053F7ECF-905F-4742-B142-1034079CFCAA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03110041-4090-E34C-95B9-BD86D779C2C6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6FE9B6AF-D54B-4C47-A3A9-D338B962E754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AB9C0A6D-FE5F-CC4D-BCB3-C452B34977B3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D8D7F7C6-21CB-5341-AFC8-578522AA6BA6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32A24F14-4E52-4849-AB41-6E613E014549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FDB1B7F4-C36A-D94E-95F7-60F015751084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88D763AB-299E-ED4A-9758-7D6919945190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D164D3BB-DA43-974D-8EDD-D1F4AA1BA84A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BAE0913C-1D40-DD43-B35D-130865C44510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8BD696BC-4E8D-5D46-B564-496E509F0276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12F7B9CB-FFFE-094F-B472-73B3140E4614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0BCFD548-469D-2644-941A-755C66D7F203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AA2D75FA-E930-4F46-84DC-DC6945CC27AB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3824A854-E542-5043-9CBC-E59D25D545EF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F4A3AF9A-3995-F041-965B-F9F2D3C05E2D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EE45E6FD-308C-4E4B-A942-C76B69B1F97C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D081F3E1-34C7-2B47-BA43-FC4BF3C1A768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976465BC-FF9B-524D-821D-089B727D827E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FC70C1A0-C35E-F742-B2D6-01771EBB3E1B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BDF6432D-25F4-7A41-8FAA-29E002A994DA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D4C9070A-D470-8146-93BF-E3B7AC06B985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BB4A397C-89D4-9547-821E-6203491F633D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34ECC82B-E57A-0844-99FA-9CB889B59686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9418B7C9-DEDF-FB43-9A27-5F68027008D0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CDA26D17-A56D-D642-8C57-24B4B56DDE60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454D85EC-F35D-7B48-951F-943C7A4CB459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52348A17-A11E-A840-8E67-C793A9D9B88E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71C7132F-1A3A-3840-BEB4-B14355963B34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D3A96505-CA90-D74D-AD83-A50A5E9CD306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7848A83B-C8DE-F047-8C7E-D3B5C5E83A04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6F1A10A1-E58A-7647-B4FA-6DE98C5E866C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8E9D0FDA-270B-8848-B339-6F589C109740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EEE710E1-449C-254A-BB18-D1A09C8D8C8D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724FF6EA-AF05-0449-9F3D-089851B1D19B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1BB0B2DC-9087-CD4E-9DC9-655C2356CD05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859F1F11-4FE5-9F4C-B6A7-71C1A0FE1962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F8772F58-7BA3-7D44-8EDC-C22F700553CB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558B6A32-526B-D846-ACC7-C7D136E0D8AC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B6594C81-9265-1646-8AE0-4069A284039C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59629563-F302-6842-ACF4-7AF3798FE798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BB6779E3-5E43-194B-8127-F8FD5C16A85C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F4236DCC-3F09-6641-8C02-302952D425AC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5B30C14F-8C4A-CD49-8603-B0A5B9ABD88D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2DAD2186-4D31-7547-87B1-8DD224A1626C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EA0684C2-2633-A840-BFD5-BFD28C773E65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756B6FE2-1DCB-5F4A-9B1F-A9CCF1B9159A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1F8D5DC2-5988-5E46-BDF2-4D8C32C68C37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FD231880-1CB8-EB43-BCDF-4DE87E80A1A8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F3F3A02A-DB84-3948-A6C5-9A1C9C17421C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A59AEA3C-1E50-3E41-AFF3-56ED97D1E1C2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F84F4BC5-3E9B-3A45-997E-A5BAD67FD1C0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60FE3D10-0E8B-7A48-A5B1-EB9D17BE1F05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8AE24A16-861F-1048-AF03-B50A9D22F921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35831E01-B91A-704A-AFC5-38D29E7106FB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3D651EF8-655D-654E-BA13-C614CD14B892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FCFF4B92-10B1-4842-8A0E-6115FB4E76FD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55FF7E8F-CA60-014C-B582-F7D3A057E66B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52F753CF-0880-2340-B952-40EF1A7A6903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355814C1-639A-2F4C-BC93-7E78F756EB60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45768BB9-69FC-6344-9239-49D608B3DBD3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CDACFA53-6DD0-AF4F-93DF-6916B335FDCE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0CEE4681-FB0F-B44B-BBF6-53FBC85E72C8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A67A4E27-9C2A-F948-AF81-8020FDCCFC0D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964B4706-E798-3444-BA60-767D6ADFE7C0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37171AA3-B199-7C41-8BE1-BA811B3C0A55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B25D715F-7B69-5548-95C7-5D4EC91D46F3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C2E2CF1B-6277-2D47-9A4E-4A5FEDE00170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38BC9C74-159D-EC4C-A39A-7C53AAA122BE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244534</xdr:colOff>
      <xdr:row>19</xdr:row>
      <xdr:rowOff>47330</xdr:rowOff>
    </xdr:from>
    <xdr:to>
      <xdr:col>18</xdr:col>
      <xdr:colOff>226754</xdr:colOff>
      <xdr:row>20</xdr:row>
      <xdr:rowOff>46253</xdr:rowOff>
    </xdr:to>
    <xdr:sp macro="[0]!InsertFotoDiCellAktif" textlink="">
      <xdr:nvSpPr>
        <xdr:cNvPr id="2" name="Rectangle: Rounded Corners 83">
          <a:extLst>
            <a:ext uri="{FF2B5EF4-FFF2-40B4-BE49-F238E27FC236}">
              <a16:creationId xmlns:a16="http://schemas.microsoft.com/office/drawing/2014/main" id="{4ABF5286-1604-A94E-A148-7D4258C48447}"/>
            </a:ext>
          </a:extLst>
        </xdr:cNvPr>
        <xdr:cNvSpPr/>
      </xdr:nvSpPr>
      <xdr:spPr>
        <a:xfrm>
          <a:off x="8499534" y="3666830"/>
          <a:ext cx="1607820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19</xdr:col>
      <xdr:colOff>197205</xdr:colOff>
      <xdr:row>19</xdr:row>
      <xdr:rowOff>47329</xdr:rowOff>
    </xdr:from>
    <xdr:to>
      <xdr:col>22</xdr:col>
      <xdr:colOff>242531</xdr:colOff>
      <xdr:row>20</xdr:row>
      <xdr:rowOff>46252</xdr:rowOff>
    </xdr:to>
    <xdr:sp macro="[0]!InsertFotoDiCellAktif" textlink="">
      <xdr:nvSpPr>
        <xdr:cNvPr id="3" name="Rectangle: Rounded Corners 83">
          <a:extLst>
            <a:ext uri="{FF2B5EF4-FFF2-40B4-BE49-F238E27FC236}">
              <a16:creationId xmlns:a16="http://schemas.microsoft.com/office/drawing/2014/main" id="{53363D2A-3852-0D4C-B9A3-3FA0DE8117CC}"/>
            </a:ext>
          </a:extLst>
        </xdr:cNvPr>
        <xdr:cNvSpPr/>
      </xdr:nvSpPr>
      <xdr:spPr>
        <a:xfrm>
          <a:off x="10598505" y="3666829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10</xdr:col>
      <xdr:colOff>189317</xdr:colOff>
      <xdr:row>19</xdr:row>
      <xdr:rowOff>47330</xdr:rowOff>
    </xdr:from>
    <xdr:to>
      <xdr:col>13</xdr:col>
      <xdr:colOff>234643</xdr:colOff>
      <xdr:row>20</xdr:row>
      <xdr:rowOff>46253</xdr:rowOff>
    </xdr:to>
    <xdr:sp macro="[0]!InsertFotoDiCellAktif" textlink="">
      <xdr:nvSpPr>
        <xdr:cNvPr id="4" name="Rectangle: Rounded Corners 83">
          <a:extLst>
            <a:ext uri="{FF2B5EF4-FFF2-40B4-BE49-F238E27FC236}">
              <a16:creationId xmlns:a16="http://schemas.microsoft.com/office/drawing/2014/main" id="{A62B78E9-D078-7942-9530-D837DF7424B1}"/>
            </a:ext>
          </a:extLst>
        </xdr:cNvPr>
        <xdr:cNvSpPr/>
      </xdr:nvSpPr>
      <xdr:spPr>
        <a:xfrm>
          <a:off x="6361517" y="3666830"/>
          <a:ext cx="1607426" cy="18942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252423</xdr:colOff>
      <xdr:row>28</xdr:row>
      <xdr:rowOff>118323</xdr:rowOff>
    </xdr:from>
    <xdr:to>
      <xdr:col>14</xdr:col>
      <xdr:colOff>297748</xdr:colOff>
      <xdr:row>29</xdr:row>
      <xdr:rowOff>109358</xdr:rowOff>
    </xdr:to>
    <xdr:sp macro="[0]!InsertFotoDiCellAktif" textlink="">
      <xdr:nvSpPr>
        <xdr:cNvPr id="5" name="Rectangle: Rounded Corners 83">
          <a:extLst>
            <a:ext uri="{FF2B5EF4-FFF2-40B4-BE49-F238E27FC236}">
              <a16:creationId xmlns:a16="http://schemas.microsoft.com/office/drawing/2014/main" id="{D8E45FF2-D211-AD48-8A98-605F5F1C2144}"/>
            </a:ext>
          </a:extLst>
        </xdr:cNvPr>
        <xdr:cNvSpPr/>
      </xdr:nvSpPr>
      <xdr:spPr>
        <a:xfrm>
          <a:off x="6945323" y="5452323"/>
          <a:ext cx="1607425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11</xdr:col>
      <xdr:colOff>231283</xdr:colOff>
      <xdr:row>36</xdr:row>
      <xdr:rowOff>105071</xdr:rowOff>
    </xdr:from>
    <xdr:to>
      <xdr:col>14</xdr:col>
      <xdr:colOff>276608</xdr:colOff>
      <xdr:row>37</xdr:row>
      <xdr:rowOff>103995</xdr:rowOff>
    </xdr:to>
    <xdr:sp macro="[0]!InsertFotoDiCellAktif" textlink="">
      <xdr:nvSpPr>
        <xdr:cNvPr id="6" name="Rectangle: Rounded Corners 83">
          <a:extLst>
            <a:ext uri="{FF2B5EF4-FFF2-40B4-BE49-F238E27FC236}">
              <a16:creationId xmlns:a16="http://schemas.microsoft.com/office/drawing/2014/main" id="{8F57565A-AA36-4A4E-B88F-9316D42FF9A4}"/>
            </a:ext>
          </a:extLst>
        </xdr:cNvPr>
        <xdr:cNvSpPr/>
      </xdr:nvSpPr>
      <xdr:spPr>
        <a:xfrm>
          <a:off x="6924183" y="6963071"/>
          <a:ext cx="1607425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252422</xdr:colOff>
      <xdr:row>36</xdr:row>
      <xdr:rowOff>94658</xdr:rowOff>
    </xdr:from>
    <xdr:to>
      <xdr:col>21</xdr:col>
      <xdr:colOff>297748</xdr:colOff>
      <xdr:row>37</xdr:row>
      <xdr:rowOff>93582</xdr:rowOff>
    </xdr:to>
    <xdr:sp macro="[0]!InsertFotoDiCellAktif" textlink="">
      <xdr:nvSpPr>
        <xdr:cNvPr id="7" name="Rectangle: Rounded Corners 83">
          <a:extLst>
            <a:ext uri="{FF2B5EF4-FFF2-40B4-BE49-F238E27FC236}">
              <a16:creationId xmlns:a16="http://schemas.microsoft.com/office/drawing/2014/main" id="{9B383879-218B-F54F-B22D-9C324EFF2BFB}"/>
            </a:ext>
          </a:extLst>
        </xdr:cNvPr>
        <xdr:cNvSpPr/>
      </xdr:nvSpPr>
      <xdr:spPr>
        <a:xfrm>
          <a:off x="10133022" y="6952658"/>
          <a:ext cx="1607426" cy="18942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  <xdr:twoCellAnchor>
    <xdr:from>
      <xdr:col>18</xdr:col>
      <xdr:colOff>244533</xdr:colOff>
      <xdr:row>28</xdr:row>
      <xdr:rowOff>110435</xdr:rowOff>
    </xdr:from>
    <xdr:to>
      <xdr:col>21</xdr:col>
      <xdr:colOff>289859</xdr:colOff>
      <xdr:row>29</xdr:row>
      <xdr:rowOff>101470</xdr:rowOff>
    </xdr:to>
    <xdr:sp macro="[0]!InsertFotoDiCellAktif" textlink="">
      <xdr:nvSpPr>
        <xdr:cNvPr id="8" name="Rectangle: Rounded Corners 83">
          <a:extLst>
            <a:ext uri="{FF2B5EF4-FFF2-40B4-BE49-F238E27FC236}">
              <a16:creationId xmlns:a16="http://schemas.microsoft.com/office/drawing/2014/main" id="{71E36B9F-BE03-914D-ABD6-98AFA9329D8D}"/>
            </a:ext>
          </a:extLst>
        </xdr:cNvPr>
        <xdr:cNvSpPr/>
      </xdr:nvSpPr>
      <xdr:spPr>
        <a:xfrm>
          <a:off x="10125133" y="5444435"/>
          <a:ext cx="1607426" cy="181535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>
              <a:solidFill>
                <a:sysClr val="windowText" lastClr="000000"/>
              </a:solidFill>
            </a:rPr>
            <a:t>insert foto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febri/Library/Mobile%20Documents/com~apple~CloudDocs/Downloads/BP3KP%20Papua%20II/2026/01%20BSPS/Format%20BSPS%20Papua%20II/Format%20Baru%20Permen%206%202026/Fix/00%20Database.xlsx" TargetMode="External"/><Relationship Id="rId1" Type="http://schemas.openxmlformats.org/officeDocument/2006/relationships/externalLinkPath" Target="00%20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_01"/>
      <sheetName val="Base_02"/>
      <sheetName val="00 Database"/>
    </sheetNames>
    <sheetDataSet>
      <sheetData sheetId="0">
        <row r="2">
          <cell r="B2" t="str">
            <v>Kelurahan</v>
          </cell>
          <cell r="C2" t="str">
            <v>Klasabi</v>
          </cell>
        </row>
        <row r="3">
          <cell r="B3" t="str">
            <v>Distrik</v>
          </cell>
          <cell r="C3" t="str">
            <v>Sorong Manoi</v>
          </cell>
        </row>
        <row r="4">
          <cell r="B4" t="str">
            <v>Kota</v>
          </cell>
          <cell r="C4" t="str">
            <v>Sorong</v>
          </cell>
        </row>
        <row r="9">
          <cell r="C9" t="str">
            <v>Arnold Howay</v>
          </cell>
        </row>
        <row r="10">
          <cell r="C10" t="str">
            <v>NIP ….......................................</v>
          </cell>
        </row>
        <row r="26">
          <cell r="C26" t="str">
            <v>…..  …........................  2026</v>
          </cell>
        </row>
      </sheetData>
      <sheetData sheetId="1">
        <row r="5">
          <cell r="A5">
            <v>1</v>
          </cell>
          <cell r="B5" t="str">
            <v>000001</v>
          </cell>
          <cell r="C5" t="str">
            <v>Nama PB 1</v>
          </cell>
          <cell r="D5" t="str">
            <v>L</v>
          </cell>
          <cell r="E5" t="str">
            <v>Sorong</v>
          </cell>
          <cell r="F5">
            <v>36526</v>
          </cell>
          <cell r="G5">
            <v>26</v>
          </cell>
          <cell r="H5" t="str">
            <v>Mengurus Rumah Tangga</v>
          </cell>
          <cell r="I5" t="str">
            <v>081328888801</v>
          </cell>
          <cell r="J5" t="str">
            <v>1.800.000</v>
          </cell>
          <cell r="K5" t="str">
            <v>Jalan Kanal Victory</v>
          </cell>
          <cell r="L5">
            <v>1</v>
          </cell>
          <cell r="M5">
            <v>1</v>
          </cell>
          <cell r="N5" t="str">
            <v>3310080902970001</v>
          </cell>
          <cell r="O5">
            <v>16</v>
          </cell>
          <cell r="P5" t="str">
            <v>…………….</v>
          </cell>
          <cell r="Q5">
            <v>6</v>
          </cell>
          <cell r="R5">
            <v>-7.4668999999999999</v>
          </cell>
          <cell r="S5">
            <v>109.5536</v>
          </cell>
          <cell r="T5" t="str">
            <v>Utara 1</v>
          </cell>
          <cell r="U5" t="str">
            <v>Selatan 1</v>
          </cell>
          <cell r="V5" t="str">
            <v>Timur 1</v>
          </cell>
          <cell r="W5" t="str">
            <v>Barat 1</v>
          </cell>
          <cell r="X5">
            <v>1</v>
          </cell>
          <cell r="Y5">
            <v>10</v>
          </cell>
          <cell r="Z5">
            <v>10</v>
          </cell>
          <cell r="AA5" t="str">
            <v>hak milik</v>
          </cell>
          <cell r="AB5" t="str">
            <v>4</v>
          </cell>
          <cell r="AC5" t="str">
            <v>pembelian</v>
          </cell>
          <cell r="AD5">
            <v>2020</v>
          </cell>
        </row>
        <row r="6">
          <cell r="A6">
            <v>2</v>
          </cell>
          <cell r="B6" t="str">
            <v>000002</v>
          </cell>
          <cell r="C6" t="str">
            <v>Nama PB 2</v>
          </cell>
          <cell r="D6" t="str">
            <v>L</v>
          </cell>
          <cell r="E6" t="str">
            <v>Sorong</v>
          </cell>
          <cell r="F6">
            <v>36526</v>
          </cell>
          <cell r="G6">
            <v>26</v>
          </cell>
          <cell r="H6" t="str">
            <v>Petani</v>
          </cell>
          <cell r="I6" t="str">
            <v>081328888802</v>
          </cell>
          <cell r="J6" t="str">
            <v>2.000.000</v>
          </cell>
          <cell r="K6" t="str">
            <v>Jalan Kanal Victory</v>
          </cell>
          <cell r="L6">
            <v>1</v>
          </cell>
          <cell r="M6">
            <v>1</v>
          </cell>
          <cell r="N6" t="str">
            <v>3304160101810004</v>
          </cell>
          <cell r="O6">
            <v>16</v>
          </cell>
          <cell r="P6" t="str">
            <v>…………….</v>
          </cell>
          <cell r="Q6">
            <v>6</v>
          </cell>
          <cell r="R6">
            <v>-7.4669999999999996</v>
          </cell>
          <cell r="S6">
            <v>109.5594</v>
          </cell>
          <cell r="T6" t="str">
            <v>Utara 2</v>
          </cell>
          <cell r="U6" t="str">
            <v>Selatan 2</v>
          </cell>
          <cell r="V6" t="str">
            <v>Timur 2</v>
          </cell>
          <cell r="W6" t="str">
            <v>Barat 2</v>
          </cell>
          <cell r="X6">
            <v>2</v>
          </cell>
          <cell r="Y6">
            <v>10</v>
          </cell>
          <cell r="Z6">
            <v>20</v>
          </cell>
          <cell r="AA6" t="str">
            <v>akta jual beli</v>
          </cell>
          <cell r="AB6"/>
          <cell r="AC6"/>
          <cell r="AD6"/>
        </row>
        <row r="7">
          <cell r="A7">
            <v>3</v>
          </cell>
          <cell r="B7" t="str">
            <v>000003</v>
          </cell>
          <cell r="C7" t="str">
            <v>Nama PB 3</v>
          </cell>
          <cell r="D7" t="str">
            <v>L</v>
          </cell>
          <cell r="E7" t="str">
            <v>Sorong</v>
          </cell>
          <cell r="F7">
            <v>36526</v>
          </cell>
          <cell r="G7">
            <v>26</v>
          </cell>
          <cell r="H7" t="str">
            <v>Buruh</v>
          </cell>
          <cell r="I7" t="str">
            <v>081328888803</v>
          </cell>
          <cell r="J7" t="str">
            <v>1.800.000</v>
          </cell>
          <cell r="K7" t="str">
            <v>Jalan Kanal Victory</v>
          </cell>
          <cell r="L7">
            <v>1</v>
          </cell>
          <cell r="M7">
            <v>1</v>
          </cell>
          <cell r="N7" t="str">
            <v>3304160101820004</v>
          </cell>
          <cell r="O7">
            <v>16</v>
          </cell>
          <cell r="P7" t="str">
            <v>…………….</v>
          </cell>
          <cell r="Q7">
            <v>6</v>
          </cell>
          <cell r="R7">
            <v>-7.4688999999999997</v>
          </cell>
          <cell r="S7">
            <v>109.5595</v>
          </cell>
          <cell r="T7" t="str">
            <v>Utara 3</v>
          </cell>
          <cell r="U7" t="str">
            <v>Selatan 3</v>
          </cell>
          <cell r="V7" t="str">
            <v>Timur 3</v>
          </cell>
          <cell r="W7" t="str">
            <v>Barat 3</v>
          </cell>
          <cell r="X7">
            <v>3</v>
          </cell>
          <cell r="Y7">
            <v>10</v>
          </cell>
          <cell r="Z7">
            <v>30</v>
          </cell>
          <cell r="AA7"/>
          <cell r="AB7"/>
          <cell r="AC7"/>
          <cell r="AD7"/>
        </row>
        <row r="8">
          <cell r="A8">
            <v>4</v>
          </cell>
          <cell r="B8" t="str">
            <v>000004</v>
          </cell>
          <cell r="C8" t="str">
            <v>Nama PB 4</v>
          </cell>
          <cell r="D8" t="str">
            <v>L</v>
          </cell>
          <cell r="E8" t="str">
            <v>Sorong</v>
          </cell>
          <cell r="F8">
            <v>36526</v>
          </cell>
          <cell r="G8">
            <v>26</v>
          </cell>
          <cell r="H8" t="str">
            <v>Wiraswasta</v>
          </cell>
          <cell r="I8" t="str">
            <v>081328888804</v>
          </cell>
          <cell r="J8" t="str">
            <v>1.800.000</v>
          </cell>
          <cell r="K8" t="str">
            <v>Jalan Kanal Victory</v>
          </cell>
          <cell r="L8">
            <v>1</v>
          </cell>
          <cell r="M8">
            <v>1</v>
          </cell>
          <cell r="N8" t="str">
            <v>3304160101830004</v>
          </cell>
          <cell r="O8">
            <v>16</v>
          </cell>
          <cell r="P8" t="str">
            <v>…………….</v>
          </cell>
          <cell r="Q8">
            <v>6</v>
          </cell>
          <cell r="R8">
            <v>-7.4710999999999999</v>
          </cell>
          <cell r="S8">
            <v>109.5635</v>
          </cell>
          <cell r="T8" t="str">
            <v>Utara 4</v>
          </cell>
          <cell r="U8" t="str">
            <v>Selatan 4</v>
          </cell>
          <cell r="V8" t="str">
            <v>Timur 4</v>
          </cell>
          <cell r="W8" t="str">
            <v>Barat 4</v>
          </cell>
          <cell r="X8">
            <v>4</v>
          </cell>
          <cell r="Y8">
            <v>10</v>
          </cell>
          <cell r="Z8">
            <v>40</v>
          </cell>
          <cell r="AA8"/>
          <cell r="AB8"/>
          <cell r="AC8"/>
          <cell r="AD8"/>
        </row>
        <row r="9">
          <cell r="A9">
            <v>5</v>
          </cell>
          <cell r="B9" t="str">
            <v>000005</v>
          </cell>
          <cell r="C9" t="str">
            <v>Nama PB 5</v>
          </cell>
          <cell r="D9" t="str">
            <v>L</v>
          </cell>
          <cell r="E9" t="str">
            <v>Sorong</v>
          </cell>
          <cell r="F9">
            <v>36526</v>
          </cell>
          <cell r="G9">
            <v>26</v>
          </cell>
          <cell r="H9" t="str">
            <v>Buruh Harian Lepas</v>
          </cell>
          <cell r="I9" t="str">
            <v>081328888805</v>
          </cell>
          <cell r="J9" t="str">
            <v>1.800.000</v>
          </cell>
          <cell r="K9" t="str">
            <v>Jalan Kanal Victory</v>
          </cell>
          <cell r="L9">
            <v>1</v>
          </cell>
          <cell r="M9">
            <v>1</v>
          </cell>
          <cell r="N9" t="str">
            <v>3304160101840004</v>
          </cell>
          <cell r="O9">
            <v>16</v>
          </cell>
          <cell r="P9" t="str">
            <v>…………….</v>
          </cell>
          <cell r="Q9">
            <v>6</v>
          </cell>
          <cell r="R9">
            <v>-7.4684999999999997</v>
          </cell>
          <cell r="S9">
            <v>109.5676</v>
          </cell>
          <cell r="T9" t="str">
            <v>Utara 5</v>
          </cell>
          <cell r="U9" t="str">
            <v>Selatan 5</v>
          </cell>
          <cell r="V9" t="str">
            <v>Timur 5</v>
          </cell>
          <cell r="W9" t="str">
            <v>Barat 5</v>
          </cell>
          <cell r="X9">
            <v>5</v>
          </cell>
          <cell r="Y9">
            <v>10</v>
          </cell>
          <cell r="Z9">
            <v>50</v>
          </cell>
          <cell r="AA9"/>
          <cell r="AB9"/>
          <cell r="AC9"/>
          <cell r="AD9"/>
        </row>
        <row r="10">
          <cell r="A10">
            <v>6</v>
          </cell>
          <cell r="B10" t="str">
            <v>000006</v>
          </cell>
          <cell r="C10" t="str">
            <v>Nama PB 6</v>
          </cell>
          <cell r="D10" t="str">
            <v>L</v>
          </cell>
          <cell r="E10" t="str">
            <v>Sorong</v>
          </cell>
          <cell r="F10">
            <v>36526</v>
          </cell>
          <cell r="G10">
            <v>26</v>
          </cell>
          <cell r="H10" t="str">
            <v>Buruh Harian Lepas</v>
          </cell>
          <cell r="I10" t="str">
            <v>081328888806</v>
          </cell>
          <cell r="J10" t="str">
            <v>1.800.000</v>
          </cell>
          <cell r="K10" t="str">
            <v>Jalan Kanal Victory</v>
          </cell>
          <cell r="L10">
            <v>1</v>
          </cell>
          <cell r="M10">
            <v>1</v>
          </cell>
          <cell r="N10" t="str">
            <v>3304160101850004</v>
          </cell>
          <cell r="O10">
            <v>16</v>
          </cell>
          <cell r="P10" t="str">
            <v>…………….</v>
          </cell>
          <cell r="Q10">
            <v>6</v>
          </cell>
          <cell r="R10">
            <v>-7.4752999999999998</v>
          </cell>
          <cell r="S10">
            <v>109.5591</v>
          </cell>
          <cell r="T10" t="str">
            <v>Utara 6</v>
          </cell>
          <cell r="U10" t="str">
            <v>Selatan 6</v>
          </cell>
          <cell r="V10" t="str">
            <v>Timur 6</v>
          </cell>
          <cell r="W10" t="str">
            <v>Barat 6</v>
          </cell>
          <cell r="X10">
            <v>6</v>
          </cell>
          <cell r="Y10">
            <v>10</v>
          </cell>
          <cell r="Z10">
            <v>60</v>
          </cell>
          <cell r="AA10"/>
          <cell r="AB10"/>
          <cell r="AC10"/>
          <cell r="AD10"/>
        </row>
        <row r="11">
          <cell r="A11">
            <v>7</v>
          </cell>
          <cell r="B11" t="str">
            <v>000007</v>
          </cell>
          <cell r="C11" t="str">
            <v>Nama PB 7</v>
          </cell>
          <cell r="D11" t="str">
            <v>L</v>
          </cell>
          <cell r="E11" t="str">
            <v>Sorong</v>
          </cell>
          <cell r="F11">
            <v>36526</v>
          </cell>
          <cell r="G11">
            <v>26</v>
          </cell>
          <cell r="H11" t="str">
            <v>Wiraswasta</v>
          </cell>
          <cell r="I11" t="str">
            <v>081328888807</v>
          </cell>
          <cell r="J11" t="str">
            <v>1.800.000</v>
          </cell>
          <cell r="K11" t="str">
            <v>Jalan Kanal Victory</v>
          </cell>
          <cell r="L11">
            <v>1</v>
          </cell>
          <cell r="M11">
            <v>1</v>
          </cell>
          <cell r="N11" t="str">
            <v>3304160101860004</v>
          </cell>
          <cell r="O11">
            <v>16</v>
          </cell>
          <cell r="P11" t="str">
            <v>…………….</v>
          </cell>
          <cell r="Q11">
            <v>6</v>
          </cell>
          <cell r="R11">
            <v>-7.4752999999999998</v>
          </cell>
          <cell r="S11">
            <v>109.5592</v>
          </cell>
          <cell r="T11" t="str">
            <v>Utara 7</v>
          </cell>
          <cell r="U11" t="str">
            <v>Selatan 7</v>
          </cell>
          <cell r="V11" t="str">
            <v>Timur 7</v>
          </cell>
          <cell r="W11" t="str">
            <v>Barat 7</v>
          </cell>
          <cell r="X11">
            <v>7</v>
          </cell>
          <cell r="Y11">
            <v>10</v>
          </cell>
          <cell r="Z11">
            <v>70</v>
          </cell>
          <cell r="AA11"/>
          <cell r="AB11"/>
          <cell r="AC11"/>
          <cell r="AD11"/>
        </row>
        <row r="12">
          <cell r="A12">
            <v>8</v>
          </cell>
          <cell r="B12" t="str">
            <v>000008</v>
          </cell>
          <cell r="C12" t="str">
            <v>Nama PB 8</v>
          </cell>
          <cell r="D12"/>
          <cell r="E12"/>
          <cell r="F12"/>
          <cell r="G12"/>
          <cell r="H12"/>
          <cell r="I12"/>
          <cell r="J12"/>
          <cell r="K12" t="str">
            <v>Jalan Kanal Victory</v>
          </cell>
          <cell r="L12">
            <v>2</v>
          </cell>
          <cell r="M12">
            <v>1</v>
          </cell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/>
        </row>
        <row r="13">
          <cell r="A13">
            <v>9</v>
          </cell>
          <cell r="B13" t="str">
            <v>000009</v>
          </cell>
          <cell r="C13" t="str">
            <v>Nama PB 9</v>
          </cell>
          <cell r="D13"/>
          <cell r="E13"/>
          <cell r="F13"/>
          <cell r="G13"/>
          <cell r="H13"/>
          <cell r="I13"/>
          <cell r="J13"/>
          <cell r="K13" t="str">
            <v>Jalan Kanal Victory</v>
          </cell>
          <cell r="L13">
            <v>2</v>
          </cell>
          <cell r="M13">
            <v>1</v>
          </cell>
          <cell r="N13"/>
          <cell r="O13"/>
          <cell r="P13"/>
          <cell r="Q13"/>
          <cell r="R13"/>
          <cell r="S13"/>
          <cell r="T13"/>
          <cell r="U13"/>
          <cell r="V13"/>
          <cell r="W13"/>
          <cell r="X13"/>
          <cell r="Y13"/>
          <cell r="Z13"/>
          <cell r="AA13"/>
          <cell r="AB13"/>
          <cell r="AC13"/>
          <cell r="AD13"/>
        </row>
        <row r="14">
          <cell r="A14">
            <v>10</v>
          </cell>
          <cell r="B14" t="str">
            <v>000010</v>
          </cell>
          <cell r="C14" t="str">
            <v>Nama PB 10</v>
          </cell>
          <cell r="D14"/>
          <cell r="E14"/>
          <cell r="F14"/>
          <cell r="G14"/>
          <cell r="H14"/>
          <cell r="I14"/>
          <cell r="J14"/>
          <cell r="K14" t="str">
            <v>Jalan Kanal Victory</v>
          </cell>
          <cell r="L14">
            <v>2</v>
          </cell>
          <cell r="M14">
            <v>1</v>
          </cell>
          <cell r="N14"/>
          <cell r="O14"/>
          <cell r="P14"/>
          <cell r="Q14"/>
          <cell r="R14"/>
          <cell r="S14"/>
          <cell r="T14"/>
          <cell r="U14"/>
          <cell r="V14"/>
          <cell r="W14"/>
          <cell r="X14"/>
          <cell r="Y14"/>
          <cell r="Z14"/>
          <cell r="AA14"/>
          <cell r="AB14"/>
          <cell r="AC14"/>
          <cell r="AD14"/>
        </row>
        <row r="15">
          <cell r="A15">
            <v>11</v>
          </cell>
          <cell r="B15" t="str">
            <v>000011</v>
          </cell>
          <cell r="C15" t="str">
            <v>Nama PB 11</v>
          </cell>
          <cell r="D15"/>
          <cell r="E15"/>
          <cell r="F15"/>
          <cell r="G15"/>
          <cell r="H15"/>
          <cell r="I15"/>
          <cell r="J15"/>
          <cell r="K15" t="str">
            <v>Jalan Kanal Victory</v>
          </cell>
          <cell r="L15">
            <v>2</v>
          </cell>
          <cell r="M15">
            <v>1</v>
          </cell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</row>
        <row r="16">
          <cell r="A16">
            <v>12</v>
          </cell>
          <cell r="B16" t="str">
            <v>000012</v>
          </cell>
          <cell r="C16" t="str">
            <v>Nama PB 12</v>
          </cell>
          <cell r="D16"/>
          <cell r="E16"/>
          <cell r="F16"/>
          <cell r="G16"/>
          <cell r="H16"/>
          <cell r="I16"/>
          <cell r="J16"/>
          <cell r="K16" t="str">
            <v>Jalan Kanal Victory</v>
          </cell>
          <cell r="L16">
            <v>2</v>
          </cell>
          <cell r="M16">
            <v>1</v>
          </cell>
          <cell r="N16"/>
          <cell r="O16"/>
          <cell r="P16"/>
          <cell r="Q16"/>
          <cell r="R16"/>
          <cell r="S16"/>
          <cell r="T16"/>
          <cell r="U16"/>
          <cell r="V16"/>
          <cell r="W16"/>
          <cell r="X16"/>
          <cell r="Y16"/>
          <cell r="Z16"/>
          <cell r="AA16"/>
          <cell r="AB16"/>
          <cell r="AC16"/>
          <cell r="AD16"/>
        </row>
        <row r="17">
          <cell r="A17">
            <v>13</v>
          </cell>
          <cell r="B17" t="str">
            <v>000013</v>
          </cell>
          <cell r="C17" t="str">
            <v>Nama PB 13</v>
          </cell>
          <cell r="D17"/>
          <cell r="E17"/>
          <cell r="F17"/>
          <cell r="G17"/>
          <cell r="H17"/>
          <cell r="I17"/>
          <cell r="J17"/>
          <cell r="K17" t="str">
            <v>Jalan Kanal Victory</v>
          </cell>
          <cell r="L17">
            <v>2</v>
          </cell>
          <cell r="M17">
            <v>1</v>
          </cell>
          <cell r="N17"/>
          <cell r="O17"/>
          <cell r="P17"/>
          <cell r="Q17"/>
          <cell r="R17"/>
          <cell r="S17"/>
          <cell r="T17"/>
          <cell r="U17"/>
          <cell r="V17"/>
          <cell r="W17"/>
          <cell r="X17"/>
          <cell r="Y17"/>
          <cell r="Z17"/>
          <cell r="AA17"/>
          <cell r="AB17"/>
          <cell r="AC17"/>
          <cell r="AD17"/>
        </row>
        <row r="18">
          <cell r="A18">
            <v>14</v>
          </cell>
          <cell r="B18" t="str">
            <v>000014</v>
          </cell>
          <cell r="C18" t="str">
            <v>Nama PB 14</v>
          </cell>
          <cell r="D18"/>
          <cell r="E18"/>
          <cell r="F18"/>
          <cell r="G18"/>
          <cell r="H18"/>
          <cell r="I18"/>
          <cell r="J18"/>
          <cell r="K18" t="str">
            <v>Jalan Kanal Victory</v>
          </cell>
          <cell r="L18">
            <v>2</v>
          </cell>
          <cell r="M18">
            <v>1</v>
          </cell>
          <cell r="N18"/>
          <cell r="O18"/>
          <cell r="P18"/>
          <cell r="Q18"/>
          <cell r="R18"/>
          <cell r="S18"/>
          <cell r="T18"/>
          <cell r="U18"/>
          <cell r="V18"/>
          <cell r="W18"/>
          <cell r="X18"/>
          <cell r="Y18"/>
          <cell r="Z18"/>
          <cell r="AA18"/>
          <cell r="AB18"/>
          <cell r="AC18"/>
          <cell r="AD18"/>
        </row>
        <row r="19">
          <cell r="A19">
            <v>15</v>
          </cell>
          <cell r="B19" t="str">
            <v>000015</v>
          </cell>
          <cell r="C19" t="str">
            <v>Nama PB 15</v>
          </cell>
          <cell r="D19"/>
          <cell r="E19"/>
          <cell r="F19"/>
          <cell r="G19"/>
          <cell r="H19"/>
          <cell r="I19"/>
          <cell r="J19"/>
          <cell r="K19" t="str">
            <v>Jalan Kanal Victory</v>
          </cell>
          <cell r="L19">
            <v>2</v>
          </cell>
          <cell r="M19">
            <v>1</v>
          </cell>
          <cell r="N19"/>
          <cell r="O19"/>
          <cell r="P19"/>
          <cell r="Q19"/>
          <cell r="R19"/>
          <cell r="S19"/>
          <cell r="T19"/>
          <cell r="U19"/>
          <cell r="V19"/>
          <cell r="W19"/>
          <cell r="X19"/>
          <cell r="Y19"/>
          <cell r="Z19"/>
          <cell r="AA19"/>
          <cell r="AB19"/>
          <cell r="AC19"/>
          <cell r="AD19"/>
        </row>
        <row r="20">
          <cell r="A20">
            <v>16</v>
          </cell>
          <cell r="B20" t="str">
            <v>000016</v>
          </cell>
          <cell r="C20" t="str">
            <v>Nama PB 16</v>
          </cell>
          <cell r="D20"/>
          <cell r="E20"/>
          <cell r="F20"/>
          <cell r="G20"/>
          <cell r="H20"/>
          <cell r="I20"/>
          <cell r="J20"/>
          <cell r="K20" t="str">
            <v>Jalan Kanal Victory</v>
          </cell>
          <cell r="L20">
            <v>2</v>
          </cell>
          <cell r="M20">
            <v>1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/>
          <cell r="X20"/>
          <cell r="Y20"/>
          <cell r="Z20"/>
          <cell r="AA20"/>
          <cell r="AB20"/>
          <cell r="AC20"/>
          <cell r="AD20"/>
        </row>
        <row r="21">
          <cell r="A21">
            <v>17</v>
          </cell>
          <cell r="B21" t="str">
            <v>000017</v>
          </cell>
          <cell r="C21" t="str">
            <v>Nama PB 17</v>
          </cell>
          <cell r="D21"/>
          <cell r="E21"/>
          <cell r="F21"/>
          <cell r="G21"/>
          <cell r="H21"/>
          <cell r="I21"/>
          <cell r="J21"/>
          <cell r="K21" t="str">
            <v>Jalan Kanal Victory</v>
          </cell>
          <cell r="L21">
            <v>1</v>
          </cell>
          <cell r="M21">
            <v>2</v>
          </cell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</row>
        <row r="22">
          <cell r="A22">
            <v>18</v>
          </cell>
          <cell r="B22" t="str">
            <v>000018</v>
          </cell>
          <cell r="C22" t="str">
            <v>Nama PB 18</v>
          </cell>
          <cell r="D22"/>
          <cell r="E22"/>
          <cell r="F22"/>
          <cell r="G22"/>
          <cell r="H22"/>
          <cell r="I22"/>
          <cell r="J22"/>
          <cell r="K22" t="str">
            <v>Jalan Kanal Victory</v>
          </cell>
          <cell r="L22">
            <v>1</v>
          </cell>
          <cell r="M22">
            <v>2</v>
          </cell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</row>
        <row r="23">
          <cell r="A23">
            <v>19</v>
          </cell>
          <cell r="B23" t="str">
            <v>000019</v>
          </cell>
          <cell r="C23" t="str">
            <v>Nama PB 19</v>
          </cell>
          <cell r="D23"/>
          <cell r="E23"/>
          <cell r="F23"/>
          <cell r="G23"/>
          <cell r="H23"/>
          <cell r="I23"/>
          <cell r="J23"/>
          <cell r="K23" t="str">
            <v>Jalan Kanal Victory</v>
          </cell>
          <cell r="L23">
            <v>1</v>
          </cell>
          <cell r="M23">
            <v>2</v>
          </cell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/>
          <cell r="AD23"/>
        </row>
        <row r="24">
          <cell r="A24">
            <v>20</v>
          </cell>
          <cell r="B24" t="str">
            <v>000020</v>
          </cell>
          <cell r="C24" t="str">
            <v>Nama PB 20</v>
          </cell>
          <cell r="D24"/>
          <cell r="E24"/>
          <cell r="F24"/>
          <cell r="G24"/>
          <cell r="H24"/>
          <cell r="I24"/>
          <cell r="J24"/>
          <cell r="K24" t="str">
            <v>Jalan Kanal Victory</v>
          </cell>
          <cell r="L24">
            <v>1</v>
          </cell>
          <cell r="M24">
            <v>2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7BF1B-5391-1348-9E7F-66D07AF0A34D}">
  <sheetPr codeName="Sheet1"/>
  <dimension ref="A1:Z57"/>
  <sheetViews>
    <sheetView tabSelected="1" view="pageBreakPreview" zoomScaleNormal="113" workbookViewId="0">
      <selection activeCell="F4" sqref="F4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1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1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1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 t="str">
        <f>VLOOKUP($Y$1,[1]Base_02!$A$5:$Z$24,14,FALSE)</f>
        <v>3310080902970001</v>
      </c>
      <c r="G5" s="6"/>
      <c r="H5" s="6"/>
      <c r="I5" s="6"/>
      <c r="K5" s="6" t="s">
        <v>3</v>
      </c>
      <c r="P5" s="1" t="s">
        <v>16</v>
      </c>
      <c r="Q5" s="1" t="str">
        <f t="shared" si="0"/>
        <v>3310080902970001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Sorong, 01 Jan 2000</v>
      </c>
      <c r="G6" s="6"/>
      <c r="H6" s="6"/>
      <c r="I6" s="6"/>
      <c r="K6" s="6" t="s">
        <v>4</v>
      </c>
      <c r="P6" s="1" t="s">
        <v>16</v>
      </c>
      <c r="Q6" s="1" t="str">
        <f t="shared" si="0"/>
        <v>Sorong, 01 Jan 2000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 t="str">
        <f>VLOOKUP(Y1,[1]Base_02!$A$5:$Z$24,8,FALSE)</f>
        <v>Mengurus Rumah Tangga</v>
      </c>
      <c r="G7" s="6"/>
      <c r="H7" s="6"/>
      <c r="I7" s="6"/>
      <c r="K7" s="6" t="s">
        <v>5</v>
      </c>
      <c r="P7" s="1" t="s">
        <v>16</v>
      </c>
      <c r="Q7" s="1" t="str">
        <f t="shared" si="0"/>
        <v>Mengurus Rumah Tangga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 t="str">
        <f>VLOOKUP(Y1,[1]Base_02!$A$5:$Z$24,9,FALSE)</f>
        <v>081328888801</v>
      </c>
      <c r="G8" s="6"/>
      <c r="H8" s="6"/>
      <c r="I8" s="6"/>
      <c r="K8" s="6" t="s">
        <v>6</v>
      </c>
      <c r="P8" s="1" t="s">
        <v>16</v>
      </c>
      <c r="Q8" s="1" t="str">
        <f t="shared" si="0"/>
        <v>081328888801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1,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1,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1,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>10 m² ( 1 m x 10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 t="str">
        <f>VLOOKUP(Y1,[1]Base_02!$A$5:$AD$24,27,FALSE)</f>
        <v>hak milik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>4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>yang saya tempati/peroleh dari pembelian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>sejak tahun 2020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1.800.000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1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R41:W41"/>
    <mergeCell ref="R46:W46"/>
    <mergeCell ref="R40:W40"/>
    <mergeCell ref="K23:Q30"/>
    <mergeCell ref="R23:W30"/>
    <mergeCell ref="K31:Q38"/>
    <mergeCell ref="R31:W38"/>
    <mergeCell ref="K14:N21"/>
    <mergeCell ref="O14:S21"/>
    <mergeCell ref="T14:W21"/>
    <mergeCell ref="K1:W1"/>
    <mergeCell ref="K2:W2"/>
    <mergeCell ref="K11:W11"/>
    <mergeCell ref="K12:W12"/>
    <mergeCell ref="B15:I15"/>
    <mergeCell ref="A1:I1"/>
    <mergeCell ref="B26:I26"/>
    <mergeCell ref="B42:E42"/>
    <mergeCell ref="B29:I29"/>
    <mergeCell ref="G35:I35"/>
    <mergeCell ref="G41:I41"/>
    <mergeCell ref="B35:E35"/>
    <mergeCell ref="B36:E36"/>
    <mergeCell ref="G36:I36"/>
    <mergeCell ref="B41:E41"/>
    <mergeCell ref="B27:I28"/>
    <mergeCell ref="A32:I33"/>
    <mergeCell ref="B23:I25"/>
    <mergeCell ref="B21:I22"/>
    <mergeCell ref="B30:I3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73285-1F8D-7D41-B81D-0EF79373E1FD}">
  <sheetPr codeName="Sheet2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2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2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2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 t="str">
        <f>VLOOKUP($Y$1,[1]Base_02!$A$5:$Z$24,14,FALSE)</f>
        <v>3304160101810004</v>
      </c>
      <c r="G5" s="6"/>
      <c r="H5" s="6"/>
      <c r="I5" s="6"/>
      <c r="K5" s="6" t="s">
        <v>3</v>
      </c>
      <c r="P5" s="1" t="s">
        <v>16</v>
      </c>
      <c r="Q5" s="1" t="str">
        <f t="shared" si="0"/>
        <v>3304160101810004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Sorong, 01 Jan 2000</v>
      </c>
      <c r="G6" s="6"/>
      <c r="H6" s="6"/>
      <c r="I6" s="6"/>
      <c r="K6" s="6" t="s">
        <v>4</v>
      </c>
      <c r="P6" s="1" t="s">
        <v>16</v>
      </c>
      <c r="Q6" s="1" t="str">
        <f t="shared" si="0"/>
        <v>Sorong, 01 Jan 2000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 t="str">
        <f>VLOOKUP(Y1,[1]Base_02!$A$5:$Z$24,8,FALSE)</f>
        <v>Petani</v>
      </c>
      <c r="G7" s="6"/>
      <c r="H7" s="6"/>
      <c r="I7" s="6"/>
      <c r="K7" s="6" t="s">
        <v>5</v>
      </c>
      <c r="P7" s="1" t="s">
        <v>16</v>
      </c>
      <c r="Q7" s="1" t="str">
        <f t="shared" si="0"/>
        <v>Petani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 t="str">
        <f>VLOOKUP(Y1,[1]Base_02!$A$5:$Z$24,9,FALSE)</f>
        <v>081328888802</v>
      </c>
      <c r="G8" s="6"/>
      <c r="H8" s="6"/>
      <c r="I8" s="6"/>
      <c r="K8" s="6" t="s">
        <v>6</v>
      </c>
      <c r="P8" s="1" t="s">
        <v>16</v>
      </c>
      <c r="Q8" s="1" t="str">
        <f t="shared" si="0"/>
        <v>081328888802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1,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1,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1,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>20 m² ( 2 m x 10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 t="str">
        <f>VLOOKUP(Y1,[1]Base_02!$A$5:$AD$24,27,FALSE)</f>
        <v>akta jual beli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2.000.000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2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02569-730F-3A48-A043-1F173A96CF75}">
  <sheetPr codeName="Sheet3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3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3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3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 t="str">
        <f>VLOOKUP($Y$1,[1]Base_02!$A$5:$Z$24,14,FALSE)</f>
        <v>3304160101820004</v>
      </c>
      <c r="G5" s="6"/>
      <c r="H5" s="6"/>
      <c r="I5" s="6"/>
      <c r="K5" s="6" t="s">
        <v>3</v>
      </c>
      <c r="P5" s="1" t="s">
        <v>16</v>
      </c>
      <c r="Q5" s="1" t="str">
        <f t="shared" si="0"/>
        <v>3304160101820004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Sorong, 01 Jan 2000</v>
      </c>
      <c r="G6" s="6"/>
      <c r="H6" s="6"/>
      <c r="I6" s="6"/>
      <c r="K6" s="6" t="s">
        <v>4</v>
      </c>
      <c r="P6" s="1" t="s">
        <v>16</v>
      </c>
      <c r="Q6" s="1" t="str">
        <f t="shared" si="0"/>
        <v>Sorong, 01 Jan 2000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 t="str">
        <f>VLOOKUP(Y1,[1]Base_02!$A$5:$Z$24,8,FALSE)</f>
        <v>Buruh</v>
      </c>
      <c r="G7" s="6"/>
      <c r="H7" s="6"/>
      <c r="I7" s="6"/>
      <c r="K7" s="6" t="s">
        <v>5</v>
      </c>
      <c r="P7" s="1" t="s">
        <v>16</v>
      </c>
      <c r="Q7" s="1" t="str">
        <f t="shared" si="0"/>
        <v>Buruh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 t="str">
        <f>VLOOKUP(Y1,[1]Base_02!$A$5:$Z$24,9,FALSE)</f>
        <v>081328888803</v>
      </c>
      <c r="G8" s="6"/>
      <c r="H8" s="6"/>
      <c r="I8" s="6"/>
      <c r="K8" s="6" t="s">
        <v>6</v>
      </c>
      <c r="P8" s="1" t="s">
        <v>16</v>
      </c>
      <c r="Q8" s="1" t="str">
        <f t="shared" si="0"/>
        <v>081328888803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1,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1,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1,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>30 m² ( 3 m x 10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1.800.000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3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4D99-E5F0-3E4D-94A5-D691643E0988}">
  <sheetPr codeName="Sheet4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4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4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4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 t="str">
        <f>VLOOKUP($Y$1,[1]Base_02!$A$5:$Z$24,14,FALSE)</f>
        <v>3304160101830004</v>
      </c>
      <c r="G5" s="6"/>
      <c r="H5" s="6"/>
      <c r="I5" s="6"/>
      <c r="K5" s="6" t="s">
        <v>3</v>
      </c>
      <c r="P5" s="1" t="s">
        <v>16</v>
      </c>
      <c r="Q5" s="1" t="str">
        <f t="shared" si="0"/>
        <v>3304160101830004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Sorong, 01 Jan 2000</v>
      </c>
      <c r="G6" s="6"/>
      <c r="H6" s="6"/>
      <c r="I6" s="6"/>
      <c r="K6" s="6" t="s">
        <v>4</v>
      </c>
      <c r="P6" s="1" t="s">
        <v>16</v>
      </c>
      <c r="Q6" s="1" t="str">
        <f t="shared" si="0"/>
        <v>Sorong, 01 Jan 2000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 t="str">
        <f>VLOOKUP(Y1,[1]Base_02!$A$5:$Z$24,8,FALSE)</f>
        <v>Wiraswasta</v>
      </c>
      <c r="G7" s="6"/>
      <c r="H7" s="6"/>
      <c r="I7" s="6"/>
      <c r="K7" s="6" t="s">
        <v>5</v>
      </c>
      <c r="P7" s="1" t="s">
        <v>16</v>
      </c>
      <c r="Q7" s="1" t="str">
        <f t="shared" si="0"/>
        <v>Wiraswasta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 t="str">
        <f>VLOOKUP(Y1,[1]Base_02!$A$5:$Z$24,9,FALSE)</f>
        <v>081328888804</v>
      </c>
      <c r="G8" s="6"/>
      <c r="H8" s="6"/>
      <c r="I8" s="6"/>
      <c r="K8" s="6" t="s">
        <v>6</v>
      </c>
      <c r="P8" s="1" t="s">
        <v>16</v>
      </c>
      <c r="Q8" s="1" t="str">
        <f t="shared" si="0"/>
        <v>081328888804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1,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1,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1,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>40 m² ( 4 m x 10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1.800.000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4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B31E-6344-B846-8EA4-F35516518A38}">
  <sheetPr codeName="Sheet5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5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5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5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 t="str">
        <f>VLOOKUP($Y$1,[1]Base_02!$A$5:$Z$24,14,FALSE)</f>
        <v>3304160101840004</v>
      </c>
      <c r="G5" s="6"/>
      <c r="H5" s="6"/>
      <c r="I5" s="6"/>
      <c r="K5" s="6" t="s">
        <v>3</v>
      </c>
      <c r="P5" s="1" t="s">
        <v>16</v>
      </c>
      <c r="Q5" s="1" t="str">
        <f t="shared" si="0"/>
        <v>3304160101840004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Sorong, 01 Jan 2000</v>
      </c>
      <c r="G6" s="6"/>
      <c r="H6" s="6"/>
      <c r="I6" s="6"/>
      <c r="K6" s="6" t="s">
        <v>4</v>
      </c>
      <c r="P6" s="1" t="s">
        <v>16</v>
      </c>
      <c r="Q6" s="1" t="str">
        <f t="shared" si="0"/>
        <v>Sorong, 01 Jan 2000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 t="str">
        <f>VLOOKUP(Y1,[1]Base_02!$A$5:$Z$24,8,FALSE)</f>
        <v>Buruh Harian Lepas</v>
      </c>
      <c r="G7" s="6"/>
      <c r="H7" s="6"/>
      <c r="I7" s="6"/>
      <c r="K7" s="6" t="s">
        <v>5</v>
      </c>
      <c r="P7" s="1" t="s">
        <v>16</v>
      </c>
      <c r="Q7" s="1" t="str">
        <f t="shared" si="0"/>
        <v>Buruh Harian Lepas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 t="str">
        <f>VLOOKUP(Y1,[1]Base_02!$A$5:$Z$24,9,FALSE)</f>
        <v>081328888805</v>
      </c>
      <c r="G8" s="6"/>
      <c r="H8" s="6"/>
      <c r="I8" s="6"/>
      <c r="K8" s="6" t="s">
        <v>6</v>
      </c>
      <c r="P8" s="1" t="s">
        <v>16</v>
      </c>
      <c r="Q8" s="1" t="str">
        <f t="shared" si="0"/>
        <v>081328888805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1,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1,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1,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>50 m² ( 5 m x 10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1.800.000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5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237D9-B49E-9946-8D5D-94B4E30E4F04}">
  <sheetPr codeName="Sheet6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6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6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6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 t="str">
        <f>VLOOKUP($Y$1,[1]Base_02!$A$5:$Z$24,14,FALSE)</f>
        <v>3304160101850004</v>
      </c>
      <c r="G5" s="6"/>
      <c r="H5" s="6"/>
      <c r="I5" s="6"/>
      <c r="K5" s="6" t="s">
        <v>3</v>
      </c>
      <c r="P5" s="1" t="s">
        <v>16</v>
      </c>
      <c r="Q5" s="1" t="str">
        <f t="shared" si="0"/>
        <v>3304160101850004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Sorong, 01 Jan 2000</v>
      </c>
      <c r="G6" s="6"/>
      <c r="H6" s="6"/>
      <c r="I6" s="6"/>
      <c r="K6" s="6" t="s">
        <v>4</v>
      </c>
      <c r="P6" s="1" t="s">
        <v>16</v>
      </c>
      <c r="Q6" s="1" t="str">
        <f t="shared" si="0"/>
        <v>Sorong, 01 Jan 2000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 t="str">
        <f>VLOOKUP(Y1,[1]Base_02!$A$5:$Z$24,8,FALSE)</f>
        <v>Buruh Harian Lepas</v>
      </c>
      <c r="G7" s="6"/>
      <c r="H7" s="6"/>
      <c r="I7" s="6"/>
      <c r="K7" s="6" t="s">
        <v>5</v>
      </c>
      <c r="P7" s="1" t="s">
        <v>16</v>
      </c>
      <c r="Q7" s="1" t="str">
        <f t="shared" si="0"/>
        <v>Buruh Harian Lepas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 t="str">
        <f>VLOOKUP(Y1,[1]Base_02!$A$5:$Z$24,9,FALSE)</f>
        <v>081328888806</v>
      </c>
      <c r="G8" s="6"/>
      <c r="H8" s="6"/>
      <c r="I8" s="6"/>
      <c r="K8" s="6" t="s">
        <v>6</v>
      </c>
      <c r="P8" s="1" t="s">
        <v>16</v>
      </c>
      <c r="Q8" s="1" t="str">
        <f t="shared" si="0"/>
        <v>081328888806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1,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1,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1,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>60 m² ( 6 m x 10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1.800.000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6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F2CE2-AFB8-CC48-A7AB-67BEBBA2DEB2}">
  <sheetPr codeName="Sheet7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7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7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7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 t="str">
        <f>VLOOKUP($Y$1,[1]Base_02!$A$5:$Z$24,14,FALSE)</f>
        <v>3304160101860004</v>
      </c>
      <c r="G5" s="6"/>
      <c r="H5" s="6"/>
      <c r="I5" s="6"/>
      <c r="K5" s="6" t="s">
        <v>3</v>
      </c>
      <c r="P5" s="1" t="s">
        <v>16</v>
      </c>
      <c r="Q5" s="1" t="str">
        <f t="shared" si="0"/>
        <v>3304160101860004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Sorong, 01 Jan 2000</v>
      </c>
      <c r="G6" s="6"/>
      <c r="H6" s="6"/>
      <c r="I6" s="6"/>
      <c r="K6" s="6" t="s">
        <v>4</v>
      </c>
      <c r="P6" s="1" t="s">
        <v>16</v>
      </c>
      <c r="Q6" s="1" t="str">
        <f t="shared" si="0"/>
        <v>Sorong, 01 Jan 2000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 t="str">
        <f>VLOOKUP(Y1,[1]Base_02!$A$5:$Z$24,8,FALSE)</f>
        <v>Wiraswasta</v>
      </c>
      <c r="G7" s="6"/>
      <c r="H7" s="6"/>
      <c r="I7" s="6"/>
      <c r="K7" s="6" t="s">
        <v>5</v>
      </c>
      <c r="P7" s="1" t="s">
        <v>16</v>
      </c>
      <c r="Q7" s="1" t="str">
        <f t="shared" si="0"/>
        <v>Wiraswasta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 t="str">
        <f>VLOOKUP(Y1,[1]Base_02!$A$5:$Z$24,9,FALSE)</f>
        <v>081328888807</v>
      </c>
      <c r="G8" s="6"/>
      <c r="H8" s="6"/>
      <c r="I8" s="6"/>
      <c r="K8" s="6" t="s">
        <v>6</v>
      </c>
      <c r="P8" s="1" t="s">
        <v>16</v>
      </c>
      <c r="Q8" s="1" t="str">
        <f t="shared" si="0"/>
        <v>081328888807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1,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1,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1,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>70 m² ( 7 m x 10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1.800.000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A07F-5E63-6740-AD22-740B47CFD183}">
  <sheetPr codeName="Sheet8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8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8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8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2,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2,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2,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8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6204-26D3-9146-9D1C-3CED6F1C216A}">
  <sheetPr codeName="Sheet9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9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9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9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2,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2,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2,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9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AD731-D478-6749-A37A-856E4A392785}">
  <sheetPr codeName="Sheet10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10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10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10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2,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2,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2,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10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E5AD7-6979-D94B-814A-1DD7524031A8}">
  <sheetPr codeName="Sheet11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11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11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11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2,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2,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2,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11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761BC-6DD0-A947-852C-CCEDF0EA0508}">
  <sheetPr codeName="Sheet12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12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12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12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2,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2,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2,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12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7D024-1AE1-7F41-BF90-0FD67D849E0B}">
  <sheetPr codeName="Sheet13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13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13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13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2,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2,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2,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13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93A82-799C-5343-B49F-E140C5C89560}">
  <sheetPr codeName="Sheet14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14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14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14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2,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2,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2,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14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69D58-9B35-2B4E-904F-95D5585D52EB}">
  <sheetPr codeName="Sheet15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15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15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15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2,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2,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2,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15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1A284-7F92-8E42-B1F4-7FB908017FA1}">
  <sheetPr codeName="Sheet16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16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16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16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2, RW 1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2, RW 1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2, RW 1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16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BCF8D-D887-8C45-8210-DB70AD200D6E}">
  <sheetPr codeName="Sheet17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17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17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17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1, RW 2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1, RW 2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1, RW 2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249BB-CAFC-E34A-A2A9-27A720592E51}">
  <sheetPr codeName="Sheet18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18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18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18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1, RW 2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1, RW 2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1, RW 2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18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9CB00-B196-974E-93F7-A46859D0D2B5}">
  <sheetPr codeName="Sheet19"/>
  <dimension ref="A1:Z57"/>
  <sheetViews>
    <sheetView view="pageBreakPreview" zoomScaleNormal="113" workbookViewId="0">
      <selection activeCell="Y2" sqref="Y2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19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19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19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1, RW 2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1, RW 2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1, RW 2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19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F21AD-FAAE-BA41-A834-7148552EE87A}">
  <sheetPr codeName="Sheet20"/>
  <dimension ref="A1:Z57"/>
  <sheetViews>
    <sheetView view="pageBreakPreview" zoomScaleNormal="113" workbookViewId="0">
      <selection activeCell="B35" sqref="B35:E35"/>
    </sheetView>
  </sheetViews>
  <sheetFormatPr baseColWidth="10" defaultRowHeight="14" x14ac:dyDescent="0.15"/>
  <cols>
    <col min="1" max="1" width="3.5" style="1" customWidth="1"/>
    <col min="2" max="2" width="19.83203125" style="1" customWidth="1"/>
    <col min="3" max="3" width="2" style="1" customWidth="1"/>
    <col min="4" max="4" width="8.33203125" style="1" customWidth="1"/>
    <col min="5" max="5" width="2.1640625" style="1" customWidth="1"/>
    <col min="6" max="9" width="10.83203125" style="1"/>
    <col min="10" max="10" width="1.83203125" style="1" customWidth="1"/>
    <col min="11" max="14" width="6.83203125" style="1" customWidth="1"/>
    <col min="15" max="16" width="3.83203125" style="1" customWidth="1"/>
    <col min="17" max="23" width="6.83203125" style="1" customWidth="1"/>
    <col min="24" max="24" width="1.83203125" style="1" customWidth="1"/>
    <col min="25" max="16384" width="10.83203125" style="1"/>
  </cols>
  <sheetData>
    <row r="1" spans="1:26" ht="16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  <c r="I1" s="11"/>
      <c r="J1" s="7"/>
      <c r="K1" s="11" t="s">
        <v>33</v>
      </c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2"/>
      <c r="Y1" s="2">
        <v>20</v>
      </c>
      <c r="Z1" s="1" t="s">
        <v>47</v>
      </c>
    </row>
    <row r="2" spans="1:26" x14ac:dyDescent="0.15">
      <c r="K2" s="11" t="s">
        <v>34</v>
      </c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2"/>
      <c r="Z2" s="1" t="s">
        <v>48</v>
      </c>
    </row>
    <row r="3" spans="1:26" ht="15" customHeight="1" x14ac:dyDescent="0.15">
      <c r="A3" s="6" t="s">
        <v>1</v>
      </c>
      <c r="B3" s="6"/>
      <c r="C3" s="6" t="s">
        <v>16</v>
      </c>
      <c r="D3" s="6"/>
      <c r="E3" s="6"/>
      <c r="F3" s="6"/>
      <c r="G3" s="6"/>
      <c r="H3" s="6"/>
      <c r="I3" s="6"/>
      <c r="J3" s="6"/>
    </row>
    <row r="4" spans="1:26" ht="15" customHeight="1" x14ac:dyDescent="0.15">
      <c r="A4" s="6"/>
      <c r="B4" s="6" t="s">
        <v>2</v>
      </c>
      <c r="C4" s="6"/>
      <c r="D4" s="6"/>
      <c r="E4" s="6" t="s">
        <v>16</v>
      </c>
      <c r="F4" s="6" t="str">
        <f>VLOOKUP($Y$1,[1]Base_02!$A$5:$Z$24,3,FALSE)</f>
        <v>Nama PB 20</v>
      </c>
      <c r="G4" s="6"/>
      <c r="H4" s="6"/>
      <c r="I4" s="6"/>
      <c r="K4" s="6" t="s">
        <v>35</v>
      </c>
      <c r="P4" s="1" t="s">
        <v>16</v>
      </c>
      <c r="Q4" s="1" t="str">
        <f t="shared" ref="Q4:Q9" si="0">F4</f>
        <v>Nama PB 20</v>
      </c>
    </row>
    <row r="5" spans="1:26" ht="15" customHeight="1" x14ac:dyDescent="0.15">
      <c r="A5" s="6"/>
      <c r="B5" s="6" t="s">
        <v>3</v>
      </c>
      <c r="C5" s="6"/>
      <c r="D5" s="6"/>
      <c r="E5" s="6" t="s">
        <v>16</v>
      </c>
      <c r="F5" s="6">
        <f>VLOOKUP($Y$1,[1]Base_02!$A$5:$Z$24,14,FALSE)</f>
        <v>0</v>
      </c>
      <c r="G5" s="6"/>
      <c r="H5" s="6"/>
      <c r="I5" s="6"/>
      <c r="K5" s="6" t="s">
        <v>3</v>
      </c>
      <c r="P5" s="1" t="s">
        <v>16</v>
      </c>
      <c r="Q5" s="1">
        <f t="shared" si="0"/>
        <v>0</v>
      </c>
    </row>
    <row r="6" spans="1:26" ht="15" customHeight="1" x14ac:dyDescent="0.15">
      <c r="A6" s="6"/>
      <c r="B6" s="6" t="s">
        <v>4</v>
      </c>
      <c r="C6" s="6"/>
      <c r="D6" s="6"/>
      <c r="E6" s="6" t="s">
        <v>16</v>
      </c>
      <c r="F6" s="6" t="str">
        <f>VLOOKUP(Y1,[1]Base_02!$A$5:$Z$24,5,FALSE)&amp;", "&amp;TEXT(VLOOKUP(Y1,[1]Base_02!$A$5:$Z$24,6,FALSE),"dd mmm yyyy")</f>
        <v>, 00 Jan 1900</v>
      </c>
      <c r="G6" s="6"/>
      <c r="H6" s="6"/>
      <c r="I6" s="6"/>
      <c r="K6" s="6" t="s">
        <v>4</v>
      </c>
      <c r="P6" s="1" t="s">
        <v>16</v>
      </c>
      <c r="Q6" s="1" t="str">
        <f t="shared" si="0"/>
        <v>, 00 Jan 1900</v>
      </c>
    </row>
    <row r="7" spans="1:26" ht="15" customHeight="1" x14ac:dyDescent="0.15">
      <c r="A7" s="6"/>
      <c r="B7" s="6" t="s">
        <v>5</v>
      </c>
      <c r="C7" s="6"/>
      <c r="D7" s="6"/>
      <c r="E7" s="6" t="s">
        <v>16</v>
      </c>
      <c r="F7" s="6">
        <f>VLOOKUP(Y1,[1]Base_02!$A$5:$Z$24,8,FALSE)</f>
        <v>0</v>
      </c>
      <c r="G7" s="6"/>
      <c r="H7" s="6"/>
      <c r="I7" s="6"/>
      <c r="K7" s="6" t="s">
        <v>5</v>
      </c>
      <c r="P7" s="1" t="s">
        <v>16</v>
      </c>
      <c r="Q7" s="1">
        <f t="shared" si="0"/>
        <v>0</v>
      </c>
    </row>
    <row r="8" spans="1:26" ht="15" customHeight="1" x14ac:dyDescent="0.15">
      <c r="A8" s="6"/>
      <c r="B8" s="6" t="s">
        <v>6</v>
      </c>
      <c r="C8" s="6"/>
      <c r="D8" s="6"/>
      <c r="E8" s="6" t="s">
        <v>16</v>
      </c>
      <c r="F8" s="6">
        <f>VLOOKUP(Y1,[1]Base_02!$A$5:$Z$24,9,FALSE)</f>
        <v>0</v>
      </c>
      <c r="G8" s="6"/>
      <c r="H8" s="6"/>
      <c r="I8" s="6"/>
      <c r="K8" s="6" t="s">
        <v>6</v>
      </c>
      <c r="P8" s="1" t="s">
        <v>16</v>
      </c>
      <c r="Q8" s="1">
        <f t="shared" si="0"/>
        <v>0</v>
      </c>
    </row>
    <row r="9" spans="1:26" ht="15" customHeight="1" x14ac:dyDescent="0.15">
      <c r="A9" s="6"/>
      <c r="B9" s="6" t="s">
        <v>7</v>
      </c>
      <c r="C9" s="6"/>
      <c r="D9" s="6"/>
      <c r="E9" s="6" t="s">
        <v>16</v>
      </c>
      <c r="F9" s="6" t="str">
        <f>VLOOKUP(Y1,[1]Base_02!$A$5:$Z$24,11,FALSE)&amp;", RT "&amp;VLOOKUP(Y1,[1]Base_02!$A$5:$Z$24,12,FALSE)&amp;", RW "&amp;VLOOKUP(Y1,[1]Base_02!$A$5:$Z$24,13,FALSE)</f>
        <v>Jalan Kanal Victory, RT 1, RW 2</v>
      </c>
      <c r="G9" s="6"/>
      <c r="H9" s="6"/>
      <c r="I9" s="6"/>
      <c r="K9" s="6" t="s">
        <v>7</v>
      </c>
      <c r="P9" s="1" t="s">
        <v>16</v>
      </c>
      <c r="Q9" s="1" t="str">
        <f t="shared" si="0"/>
        <v>Jalan Kanal Victory, RT 1, RW 2</v>
      </c>
    </row>
    <row r="10" spans="1:26" ht="15" customHeight="1" x14ac:dyDescent="0.15">
      <c r="A10" s="6" t="s">
        <v>8</v>
      </c>
      <c r="B10" s="6"/>
      <c r="C10" s="6"/>
      <c r="D10" s="6"/>
      <c r="E10" s="6"/>
      <c r="F10" s="6"/>
      <c r="G10" s="6"/>
      <c r="H10" s="6"/>
      <c r="I10" s="6"/>
      <c r="J10" s="6"/>
    </row>
    <row r="11" spans="1:26" ht="15" customHeight="1" x14ac:dyDescent="0.15">
      <c r="A11" s="6" t="s">
        <v>9</v>
      </c>
      <c r="B11" s="6" t="s">
        <v>10</v>
      </c>
      <c r="C11" s="6"/>
      <c r="D11" s="6"/>
      <c r="E11" s="6"/>
      <c r="F11" s="6"/>
      <c r="G11" s="6"/>
      <c r="H11" s="6"/>
      <c r="I11" s="6"/>
      <c r="J11" s="6"/>
      <c r="K11" s="11" t="s">
        <v>36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2"/>
    </row>
    <row r="12" spans="1:26" ht="15" customHeight="1" x14ac:dyDescent="0.15">
      <c r="A12" s="6"/>
      <c r="B12" s="6" t="s">
        <v>11</v>
      </c>
      <c r="C12" s="6" t="s">
        <v>16</v>
      </c>
      <c r="D12" s="6" t="str">
        <f>VLOOKUP(Y1,[1]Base_02!$A$5:$Z$24,11,FALSE)&amp;", RT "&amp;VLOOKUP(Y1,[1]Base_02!$A$5:$Z$24,12,FALSE)&amp;", RW "&amp;VLOOKUP(Y1,[1]Base_02!$A$5:$Z$24,13,FALSE)</f>
        <v>Jalan Kanal Victory, RT 1, RW 2</v>
      </c>
      <c r="E12" s="6"/>
      <c r="F12" s="6"/>
      <c r="G12" s="6"/>
      <c r="H12" s="6"/>
      <c r="I12" s="6"/>
      <c r="J12" s="6"/>
      <c r="K12" s="11" t="s">
        <v>37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2"/>
    </row>
    <row r="13" spans="1:26" ht="15" customHeight="1" thickBot="1" x14ac:dyDescent="0.2">
      <c r="A13" s="6"/>
      <c r="B13" s="6" t="str">
        <f>[1]Base_01!$B$2&amp;", "&amp;[1]Base_01!$B$3</f>
        <v>Kelurahan, Distrik</v>
      </c>
      <c r="C13" s="6" t="s">
        <v>16</v>
      </c>
      <c r="D13" s="6" t="str">
        <f>[1]Base_01!$B$2&amp;" "&amp;[1]Base_01!$C$2&amp;", "&amp;[1]Base_01!$B$3&amp;" "&amp;[1]Base_01!$C$3</f>
        <v>Kelurahan Klasabi, Distrik Sorong Manoi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</row>
    <row r="14" spans="1:26" ht="15" customHeight="1" x14ac:dyDescent="0.15">
      <c r="A14" s="6"/>
      <c r="B14" s="6" t="str">
        <f>[1]Base_01!$B$4</f>
        <v>Kota</v>
      </c>
      <c r="C14" s="6" t="s">
        <v>16</v>
      </c>
      <c r="D14" s="6" t="str">
        <f>[1]Base_01!$C$4</f>
        <v>Sorong</v>
      </c>
      <c r="E14" s="6"/>
      <c r="F14" s="6"/>
      <c r="G14" s="6"/>
      <c r="H14" s="6"/>
      <c r="I14" s="6"/>
      <c r="J14" s="6"/>
      <c r="K14" s="15" t="s">
        <v>41</v>
      </c>
      <c r="L14" s="16"/>
      <c r="M14" s="16"/>
      <c r="N14" s="17"/>
      <c r="O14" s="15" t="s">
        <v>40</v>
      </c>
      <c r="P14" s="16"/>
      <c r="Q14" s="16"/>
      <c r="R14" s="16"/>
      <c r="S14" s="17"/>
      <c r="T14" s="15" t="s">
        <v>42</v>
      </c>
      <c r="U14" s="16"/>
      <c r="V14" s="16"/>
      <c r="W14" s="17"/>
      <c r="X14" s="6"/>
    </row>
    <row r="15" spans="1:26" ht="15" customHeight="1" x14ac:dyDescent="0.15">
      <c r="A15" s="6"/>
      <c r="B15" s="10" t="s">
        <v>12</v>
      </c>
      <c r="C15" s="10"/>
      <c r="D15" s="10"/>
      <c r="E15" s="10"/>
      <c r="F15" s="10"/>
      <c r="G15" s="10"/>
      <c r="H15" s="10"/>
      <c r="I15" s="10"/>
      <c r="J15" s="8"/>
      <c r="K15" s="18"/>
      <c r="L15" s="19"/>
      <c r="M15" s="19"/>
      <c r="N15" s="20"/>
      <c r="O15" s="18"/>
      <c r="P15" s="19"/>
      <c r="Q15" s="19"/>
      <c r="R15" s="19"/>
      <c r="S15" s="20"/>
      <c r="T15" s="18"/>
      <c r="U15" s="19"/>
      <c r="V15" s="19"/>
      <c r="W15" s="20"/>
      <c r="X15" s="8"/>
    </row>
    <row r="16" spans="1:26" ht="15" customHeight="1" x14ac:dyDescent="0.15">
      <c r="A16" s="6"/>
      <c r="B16" s="6" t="s">
        <v>13</v>
      </c>
      <c r="C16" s="6" t="s">
        <v>16</v>
      </c>
      <c r="D16" s="6" t="str">
        <f>VLOOKUP(Y1,[1]Base_02!$A$5:$Z$24,26,FALSE)&amp;" m² ( "&amp;VLOOKUP(Y1,[1]Base_02!$A$5:$Z$24,24,FALSE)&amp;" m x "&amp;VLOOKUP(Y1,[1]Base_02!$A$5:$Z$24,25,FALSE)&amp;" m)"</f>
        <v xml:space="preserve"> m² (  m x  m)</v>
      </c>
      <c r="E16" s="6"/>
      <c r="F16" s="6"/>
      <c r="G16" s="6"/>
      <c r="H16" s="6"/>
      <c r="I16" s="6"/>
      <c r="J16" s="6"/>
      <c r="K16" s="18"/>
      <c r="L16" s="19"/>
      <c r="M16" s="19"/>
      <c r="N16" s="20"/>
      <c r="O16" s="18"/>
      <c r="P16" s="19"/>
      <c r="Q16" s="19"/>
      <c r="R16" s="19"/>
      <c r="S16" s="20"/>
      <c r="T16" s="18"/>
      <c r="U16" s="19"/>
      <c r="V16" s="19"/>
      <c r="W16" s="20"/>
      <c r="X16" s="6"/>
    </row>
    <row r="17" spans="1:24" ht="15" customHeight="1" x14ac:dyDescent="0.15">
      <c r="A17" s="6"/>
      <c r="B17" s="6" t="s">
        <v>14</v>
      </c>
      <c r="C17" s="6" t="s">
        <v>16</v>
      </c>
      <c r="D17" s="6">
        <f>VLOOKUP(Y1,[1]Base_02!$A$5:$AD$24,27,FALSE)</f>
        <v>0</v>
      </c>
      <c r="E17" s="6"/>
      <c r="F17" s="6"/>
      <c r="G17" s="6"/>
      <c r="H17" s="6"/>
      <c r="I17" s="6"/>
      <c r="J17" s="6"/>
      <c r="K17" s="18"/>
      <c r="L17" s="19"/>
      <c r="M17" s="19"/>
      <c r="N17" s="20"/>
      <c r="O17" s="18"/>
      <c r="P17" s="19"/>
      <c r="Q17" s="19"/>
      <c r="R17" s="19"/>
      <c r="S17" s="20"/>
      <c r="T17" s="18"/>
      <c r="U17" s="19"/>
      <c r="V17" s="19"/>
      <c r="W17" s="20"/>
      <c r="X17" s="6"/>
    </row>
    <row r="18" spans="1:24" ht="15" customHeight="1" x14ac:dyDescent="0.15">
      <c r="A18" s="6"/>
      <c r="B18" s="6" t="s">
        <v>15</v>
      </c>
      <c r="C18" s="6" t="s">
        <v>16</v>
      </c>
      <c r="D18" s="6" t="str">
        <f>VLOOKUP(Y1,[1]Base_02!$A$5:$AD$24,28,FALSE)&amp;" tahun"</f>
        <v xml:space="preserve"> tahun</v>
      </c>
      <c r="E18" s="6"/>
      <c r="F18" s="6"/>
      <c r="G18" s="6"/>
      <c r="H18" s="6"/>
      <c r="I18" s="6"/>
      <c r="J18" s="6"/>
      <c r="K18" s="18"/>
      <c r="L18" s="19"/>
      <c r="M18" s="19"/>
      <c r="N18" s="20"/>
      <c r="O18" s="18"/>
      <c r="P18" s="19"/>
      <c r="Q18" s="19"/>
      <c r="R18" s="19"/>
      <c r="S18" s="20"/>
      <c r="T18" s="18"/>
      <c r="U18" s="19"/>
      <c r="V18" s="19"/>
      <c r="W18" s="20"/>
      <c r="X18" s="6"/>
    </row>
    <row r="19" spans="1:24" ht="15" customHeight="1" x14ac:dyDescent="0.15">
      <c r="A19" s="6"/>
      <c r="B19" s="6"/>
      <c r="C19" s="6"/>
      <c r="D19" s="6" t="str">
        <f>"yang saya tempati/peroleh dari "&amp;VLOOKUP(Y1,[1]Base_02!$A$5:$AD$24,29,FALSE)</f>
        <v xml:space="preserve">yang saya tempati/peroleh dari </v>
      </c>
      <c r="E19" s="6"/>
      <c r="F19" s="6"/>
      <c r="G19" s="6"/>
      <c r="H19" s="6"/>
      <c r="I19" s="6"/>
      <c r="J19" s="6"/>
      <c r="K19" s="18"/>
      <c r="L19" s="19"/>
      <c r="M19" s="19"/>
      <c r="N19" s="20"/>
      <c r="O19" s="18"/>
      <c r="P19" s="19"/>
      <c r="Q19" s="19"/>
      <c r="R19" s="19"/>
      <c r="S19" s="20"/>
      <c r="T19" s="18"/>
      <c r="U19" s="19"/>
      <c r="V19" s="19"/>
      <c r="W19" s="20"/>
      <c r="X19" s="6"/>
    </row>
    <row r="20" spans="1:24" ht="15" customHeight="1" x14ac:dyDescent="0.15">
      <c r="A20" s="6"/>
      <c r="B20" s="6"/>
      <c r="C20" s="6"/>
      <c r="D20" s="6" t="str">
        <f>"sejak tahun "&amp;VLOOKUP(Y1,[1]Base_02!$A$5:$AD$24,30,FALSE)</f>
        <v xml:space="preserve">sejak tahun </v>
      </c>
      <c r="E20" s="6"/>
      <c r="F20" s="6"/>
      <c r="G20" s="6"/>
      <c r="H20" s="6"/>
      <c r="I20" s="6"/>
      <c r="J20" s="6"/>
      <c r="K20" s="18"/>
      <c r="L20" s="19"/>
      <c r="M20" s="19"/>
      <c r="N20" s="20"/>
      <c r="O20" s="18"/>
      <c r="P20" s="19"/>
      <c r="Q20" s="19"/>
      <c r="R20" s="19"/>
      <c r="S20" s="20"/>
      <c r="T20" s="18"/>
      <c r="U20" s="19"/>
      <c r="V20" s="19"/>
      <c r="W20" s="20"/>
      <c r="X20" s="6"/>
    </row>
    <row r="21" spans="1:24" ht="15" customHeight="1" thickBot="1" x14ac:dyDescent="0.2">
      <c r="A21" s="6" t="s">
        <v>17</v>
      </c>
      <c r="B21" s="14" t="str">
        <f>"memiliki penghasilan sendiri jika lajang atau penghasilan bersama suami-istri jika berpasangan*), rata-rata sebesar Rp "&amp;VLOOKUP(Y1,[1]Base_02!$A$5:$Z$24,10,FALSE)&amp;" per bulan;"</f>
        <v>memiliki penghasilan sendiri jika lajang atau penghasilan bersama suami-istri jika berpasangan*), rata-rata sebesar Rp  per bulan;</v>
      </c>
      <c r="C21" s="14"/>
      <c r="D21" s="14"/>
      <c r="E21" s="14"/>
      <c r="F21" s="14"/>
      <c r="G21" s="14"/>
      <c r="H21" s="14"/>
      <c r="I21" s="14"/>
      <c r="J21" s="5"/>
      <c r="K21" s="21"/>
      <c r="L21" s="22"/>
      <c r="M21" s="22"/>
      <c r="N21" s="23"/>
      <c r="O21" s="21"/>
      <c r="P21" s="22"/>
      <c r="Q21" s="22"/>
      <c r="R21" s="22"/>
      <c r="S21" s="23"/>
      <c r="T21" s="21"/>
      <c r="U21" s="22"/>
      <c r="V21" s="22"/>
      <c r="W21" s="23"/>
      <c r="X21" s="5"/>
    </row>
    <row r="22" spans="1:24" ht="15" customHeight="1" thickBot="1" x14ac:dyDescent="0.2">
      <c r="A22" s="6"/>
      <c r="B22" s="14"/>
      <c r="C22" s="14"/>
      <c r="D22" s="14"/>
      <c r="E22" s="14"/>
      <c r="F22" s="14"/>
      <c r="G22" s="14"/>
      <c r="H22" s="14"/>
      <c r="I22" s="14"/>
      <c r="J22" s="5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5"/>
    </row>
    <row r="23" spans="1:24" ht="15" customHeight="1" x14ac:dyDescent="0.15">
      <c r="A23" s="6" t="s">
        <v>19</v>
      </c>
      <c r="B23" s="14" t="s">
        <v>18</v>
      </c>
      <c r="C23" s="14"/>
      <c r="D23" s="14"/>
      <c r="E23" s="14"/>
      <c r="F23" s="14"/>
      <c r="G23" s="14"/>
      <c r="H23" s="14"/>
      <c r="I23" s="14"/>
      <c r="J23" s="5"/>
      <c r="K23" s="25" t="s">
        <v>43</v>
      </c>
      <c r="L23" s="26"/>
      <c r="M23" s="26"/>
      <c r="N23" s="26"/>
      <c r="O23" s="26"/>
      <c r="P23" s="26"/>
      <c r="Q23" s="27"/>
      <c r="R23" s="25" t="s">
        <v>44</v>
      </c>
      <c r="S23" s="26"/>
      <c r="T23" s="26"/>
      <c r="U23" s="26"/>
      <c r="V23" s="26"/>
      <c r="W23" s="27"/>
      <c r="X23" s="5"/>
    </row>
    <row r="24" spans="1:24" ht="15" customHeight="1" x14ac:dyDescent="0.15">
      <c r="A24" s="6"/>
      <c r="B24" s="14"/>
      <c r="C24" s="14"/>
      <c r="D24" s="14"/>
      <c r="E24" s="14"/>
      <c r="F24" s="14"/>
      <c r="G24" s="14"/>
      <c r="H24" s="14"/>
      <c r="I24" s="14"/>
      <c r="J24" s="5"/>
      <c r="K24" s="28"/>
      <c r="L24" s="29"/>
      <c r="M24" s="29"/>
      <c r="N24" s="29"/>
      <c r="O24" s="29"/>
      <c r="P24" s="29"/>
      <c r="Q24" s="30"/>
      <c r="R24" s="28"/>
      <c r="S24" s="29"/>
      <c r="T24" s="29"/>
      <c r="U24" s="29"/>
      <c r="V24" s="29"/>
      <c r="W24" s="30"/>
      <c r="X24" s="5"/>
    </row>
    <row r="25" spans="1:24" ht="15" customHeight="1" x14ac:dyDescent="0.15">
      <c r="A25" s="6"/>
      <c r="B25" s="14"/>
      <c r="C25" s="14"/>
      <c r="D25" s="14"/>
      <c r="E25" s="14"/>
      <c r="F25" s="14"/>
      <c r="G25" s="14"/>
      <c r="H25" s="14"/>
      <c r="I25" s="14"/>
      <c r="J25" s="5"/>
      <c r="K25" s="28"/>
      <c r="L25" s="29"/>
      <c r="M25" s="29"/>
      <c r="N25" s="29"/>
      <c r="O25" s="29"/>
      <c r="P25" s="29"/>
      <c r="Q25" s="30"/>
      <c r="R25" s="28"/>
      <c r="S25" s="29"/>
      <c r="T25" s="29"/>
      <c r="U25" s="29"/>
      <c r="V25" s="29"/>
      <c r="W25" s="30"/>
      <c r="X25" s="5"/>
    </row>
    <row r="26" spans="1:24" ht="15" customHeight="1" x14ac:dyDescent="0.15">
      <c r="A26" s="6" t="s">
        <v>21</v>
      </c>
      <c r="B26" s="12" t="s">
        <v>20</v>
      </c>
      <c r="C26" s="12"/>
      <c r="D26" s="12"/>
      <c r="E26" s="12"/>
      <c r="F26" s="12"/>
      <c r="G26" s="12"/>
      <c r="H26" s="12"/>
      <c r="I26" s="12"/>
      <c r="J26" s="4"/>
      <c r="K26" s="28"/>
      <c r="L26" s="29"/>
      <c r="M26" s="29"/>
      <c r="N26" s="29"/>
      <c r="O26" s="29"/>
      <c r="P26" s="29"/>
      <c r="Q26" s="30"/>
      <c r="R26" s="28"/>
      <c r="S26" s="29"/>
      <c r="T26" s="29"/>
      <c r="U26" s="29"/>
      <c r="V26" s="29"/>
      <c r="W26" s="30"/>
      <c r="X26" s="4"/>
    </row>
    <row r="27" spans="1:24" ht="15" customHeight="1" x14ac:dyDescent="0.15">
      <c r="A27" s="6" t="s">
        <v>25</v>
      </c>
      <c r="B27" s="14" t="s">
        <v>24</v>
      </c>
      <c r="C27" s="14"/>
      <c r="D27" s="14"/>
      <c r="E27" s="14"/>
      <c r="F27" s="14"/>
      <c r="G27" s="14"/>
      <c r="H27" s="14"/>
      <c r="I27" s="14"/>
      <c r="J27" s="5"/>
      <c r="K27" s="28"/>
      <c r="L27" s="29"/>
      <c r="M27" s="29"/>
      <c r="N27" s="29"/>
      <c r="O27" s="29"/>
      <c r="P27" s="29"/>
      <c r="Q27" s="30"/>
      <c r="R27" s="28"/>
      <c r="S27" s="29"/>
      <c r="T27" s="29"/>
      <c r="U27" s="29"/>
      <c r="V27" s="29"/>
      <c r="W27" s="30"/>
      <c r="X27" s="5"/>
    </row>
    <row r="28" spans="1:24" ht="15" customHeight="1" x14ac:dyDescent="0.15">
      <c r="A28" s="6"/>
      <c r="B28" s="14"/>
      <c r="C28" s="14"/>
      <c r="D28" s="14"/>
      <c r="E28" s="14"/>
      <c r="F28" s="14"/>
      <c r="G28" s="14"/>
      <c r="H28" s="14"/>
      <c r="I28" s="14"/>
      <c r="J28" s="5"/>
      <c r="K28" s="28"/>
      <c r="L28" s="29"/>
      <c r="M28" s="29"/>
      <c r="N28" s="29"/>
      <c r="O28" s="29"/>
      <c r="P28" s="29"/>
      <c r="Q28" s="30"/>
      <c r="R28" s="28"/>
      <c r="S28" s="29"/>
      <c r="T28" s="29"/>
      <c r="U28" s="29"/>
      <c r="V28" s="29"/>
      <c r="W28" s="30"/>
      <c r="X28" s="5"/>
    </row>
    <row r="29" spans="1:24" ht="15" customHeight="1" x14ac:dyDescent="0.15">
      <c r="A29" s="6" t="s">
        <v>26</v>
      </c>
      <c r="B29" s="14" t="s">
        <v>22</v>
      </c>
      <c r="C29" s="14"/>
      <c r="D29" s="14"/>
      <c r="E29" s="14"/>
      <c r="F29" s="14"/>
      <c r="G29" s="14"/>
      <c r="H29" s="14"/>
      <c r="I29" s="14"/>
      <c r="J29" s="5"/>
      <c r="K29" s="28"/>
      <c r="L29" s="29"/>
      <c r="M29" s="29"/>
      <c r="N29" s="29"/>
      <c r="O29" s="29"/>
      <c r="P29" s="29"/>
      <c r="Q29" s="30"/>
      <c r="R29" s="28"/>
      <c r="S29" s="29"/>
      <c r="T29" s="29"/>
      <c r="U29" s="29"/>
      <c r="V29" s="29"/>
      <c r="W29" s="30"/>
      <c r="X29" s="5"/>
    </row>
    <row r="30" spans="1:24" ht="15" customHeight="1" thickBot="1" x14ac:dyDescent="0.2">
      <c r="A30" s="6" t="s">
        <v>27</v>
      </c>
      <c r="B30" s="14" t="s">
        <v>23</v>
      </c>
      <c r="C30" s="14"/>
      <c r="D30" s="14"/>
      <c r="E30" s="14"/>
      <c r="F30" s="14"/>
      <c r="G30" s="14"/>
      <c r="H30" s="14"/>
      <c r="I30" s="14"/>
      <c r="J30" s="5"/>
      <c r="K30" s="31"/>
      <c r="L30" s="32"/>
      <c r="M30" s="32"/>
      <c r="N30" s="32"/>
      <c r="O30" s="32"/>
      <c r="P30" s="32"/>
      <c r="Q30" s="33"/>
      <c r="R30" s="31"/>
      <c r="S30" s="32"/>
      <c r="T30" s="32"/>
      <c r="U30" s="32"/>
      <c r="V30" s="32"/>
      <c r="W30" s="33"/>
      <c r="X30" s="5"/>
    </row>
    <row r="31" spans="1:24" ht="15" customHeight="1" x14ac:dyDescent="0.15">
      <c r="A31" s="6"/>
      <c r="B31" s="14"/>
      <c r="C31" s="14"/>
      <c r="D31" s="14"/>
      <c r="E31" s="14"/>
      <c r="F31" s="14"/>
      <c r="G31" s="14"/>
      <c r="H31" s="14"/>
      <c r="I31" s="14"/>
      <c r="J31" s="5"/>
      <c r="K31" s="25" t="s">
        <v>45</v>
      </c>
      <c r="L31" s="26"/>
      <c r="M31" s="26"/>
      <c r="N31" s="26"/>
      <c r="O31" s="26"/>
      <c r="P31" s="26"/>
      <c r="Q31" s="27"/>
      <c r="R31" s="25" t="s">
        <v>46</v>
      </c>
      <c r="S31" s="26"/>
      <c r="T31" s="26"/>
      <c r="U31" s="26"/>
      <c r="V31" s="26"/>
      <c r="W31" s="27"/>
      <c r="X31" s="5"/>
    </row>
    <row r="32" spans="1:24" ht="15" customHeight="1" x14ac:dyDescent="0.15">
      <c r="A32" s="14" t="s">
        <v>28</v>
      </c>
      <c r="B32" s="14"/>
      <c r="C32" s="14"/>
      <c r="D32" s="14"/>
      <c r="E32" s="14"/>
      <c r="F32" s="14"/>
      <c r="G32" s="14"/>
      <c r="H32" s="14"/>
      <c r="I32" s="14"/>
      <c r="J32" s="5"/>
      <c r="K32" s="28"/>
      <c r="L32" s="29"/>
      <c r="M32" s="29"/>
      <c r="N32" s="29"/>
      <c r="O32" s="29"/>
      <c r="P32" s="29"/>
      <c r="Q32" s="30"/>
      <c r="R32" s="28"/>
      <c r="S32" s="29"/>
      <c r="T32" s="29"/>
      <c r="U32" s="29"/>
      <c r="V32" s="29"/>
      <c r="W32" s="30"/>
      <c r="X32" s="5"/>
    </row>
    <row r="33" spans="1:24" ht="15" customHeight="1" x14ac:dyDescent="0.15">
      <c r="A33" s="14"/>
      <c r="B33" s="14"/>
      <c r="C33" s="14"/>
      <c r="D33" s="14"/>
      <c r="E33" s="14"/>
      <c r="F33" s="14"/>
      <c r="G33" s="14"/>
      <c r="H33" s="14"/>
      <c r="I33" s="14"/>
      <c r="J33" s="5"/>
      <c r="K33" s="28"/>
      <c r="L33" s="29"/>
      <c r="M33" s="29"/>
      <c r="N33" s="29"/>
      <c r="O33" s="29"/>
      <c r="P33" s="29"/>
      <c r="Q33" s="30"/>
      <c r="R33" s="28"/>
      <c r="S33" s="29"/>
      <c r="T33" s="29"/>
      <c r="U33" s="29"/>
      <c r="V33" s="29"/>
      <c r="W33" s="30"/>
      <c r="X33" s="5"/>
    </row>
    <row r="34" spans="1:24" ht="15" customHeight="1" x14ac:dyDescent="0.15">
      <c r="K34" s="28"/>
      <c r="L34" s="29"/>
      <c r="M34" s="29"/>
      <c r="N34" s="29"/>
      <c r="O34" s="29"/>
      <c r="P34" s="29"/>
      <c r="Q34" s="30"/>
      <c r="R34" s="28"/>
      <c r="S34" s="29"/>
      <c r="T34" s="29"/>
      <c r="U34" s="29"/>
      <c r="V34" s="29"/>
      <c r="W34" s="30"/>
    </row>
    <row r="35" spans="1:24" ht="15" customHeight="1" x14ac:dyDescent="0.15">
      <c r="B35" s="13" t="s">
        <v>29</v>
      </c>
      <c r="C35" s="13"/>
      <c r="D35" s="13"/>
      <c r="E35" s="13"/>
      <c r="G35" s="13" t="str">
        <f>[1]Base_01!$C$4&amp;", "&amp;[1]Base_01!$C$26</f>
        <v>Sorong, …..  …........................  2026</v>
      </c>
      <c r="H35" s="13"/>
      <c r="I35" s="13"/>
      <c r="J35" s="3"/>
      <c r="K35" s="28"/>
      <c r="L35" s="29"/>
      <c r="M35" s="29"/>
      <c r="N35" s="29"/>
      <c r="O35" s="29"/>
      <c r="P35" s="29"/>
      <c r="Q35" s="30"/>
      <c r="R35" s="28"/>
      <c r="S35" s="29"/>
      <c r="T35" s="29"/>
      <c r="U35" s="29"/>
      <c r="V35" s="29"/>
      <c r="W35" s="30"/>
      <c r="X35" s="3"/>
    </row>
    <row r="36" spans="1:24" ht="15" customHeight="1" x14ac:dyDescent="0.15">
      <c r="B36" s="13" t="str">
        <f>"Kepala "&amp;[1]Base_01!$B$2&amp;" "&amp;[1]Base_01!$C$2</f>
        <v>Kepala Kelurahan Klasabi</v>
      </c>
      <c r="C36" s="13"/>
      <c r="D36" s="13"/>
      <c r="E36" s="13"/>
      <c r="G36" s="13" t="s">
        <v>30</v>
      </c>
      <c r="H36" s="13"/>
      <c r="I36" s="13"/>
      <c r="J36" s="3"/>
      <c r="K36" s="28"/>
      <c r="L36" s="29"/>
      <c r="M36" s="29"/>
      <c r="N36" s="29"/>
      <c r="O36" s="29"/>
      <c r="P36" s="29"/>
      <c r="Q36" s="30"/>
      <c r="R36" s="28"/>
      <c r="S36" s="29"/>
      <c r="T36" s="29"/>
      <c r="U36" s="29"/>
      <c r="V36" s="29"/>
      <c r="W36" s="30"/>
      <c r="X36" s="3"/>
    </row>
    <row r="37" spans="1:24" ht="15" customHeight="1" x14ac:dyDescent="0.15">
      <c r="K37" s="28"/>
      <c r="L37" s="29"/>
      <c r="M37" s="29"/>
      <c r="N37" s="29"/>
      <c r="O37" s="29"/>
      <c r="P37" s="29"/>
      <c r="Q37" s="30"/>
      <c r="R37" s="28"/>
      <c r="S37" s="29"/>
      <c r="T37" s="29"/>
      <c r="U37" s="29"/>
      <c r="V37" s="29"/>
      <c r="W37" s="30"/>
    </row>
    <row r="38" spans="1:24" ht="15" customHeight="1" thickBot="1" x14ac:dyDescent="0.2">
      <c r="K38" s="31"/>
      <c r="L38" s="32"/>
      <c r="M38" s="32"/>
      <c r="N38" s="32"/>
      <c r="O38" s="32"/>
      <c r="P38" s="32"/>
      <c r="Q38" s="33"/>
      <c r="R38" s="31"/>
      <c r="S38" s="32"/>
      <c r="T38" s="32"/>
      <c r="U38" s="32"/>
      <c r="V38" s="32"/>
      <c r="W38" s="33"/>
    </row>
    <row r="39" spans="1:24" ht="15" customHeight="1" x14ac:dyDescent="0.15"/>
    <row r="40" spans="1:24" ht="15" customHeight="1" x14ac:dyDescent="0.15">
      <c r="R40" s="24" t="str">
        <f>G35</f>
        <v>Sorong, …..  …........................  2026</v>
      </c>
      <c r="S40" s="24"/>
      <c r="T40" s="24"/>
      <c r="U40" s="24"/>
      <c r="V40" s="24"/>
      <c r="W40" s="24"/>
    </row>
    <row r="41" spans="1:24" ht="15" customHeight="1" x14ac:dyDescent="0.15">
      <c r="B41" s="13" t="str">
        <f>[1]Base_01!$C$9</f>
        <v>Arnold Howay</v>
      </c>
      <c r="C41" s="13"/>
      <c r="D41" s="13"/>
      <c r="E41" s="13"/>
      <c r="G41" s="13" t="str">
        <f>F4</f>
        <v>Nama PB 20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24" t="s">
        <v>38</v>
      </c>
      <c r="S41" s="24"/>
      <c r="T41" s="24"/>
      <c r="U41" s="24"/>
      <c r="V41" s="24"/>
      <c r="W41" s="24"/>
      <c r="X41" s="3"/>
    </row>
    <row r="42" spans="1:24" ht="15" customHeight="1" x14ac:dyDescent="0.15">
      <c r="B42" s="13" t="str">
        <f>[1]Base_01!$C$10</f>
        <v>NIP ….......................................</v>
      </c>
      <c r="C42" s="13"/>
      <c r="D42" s="13"/>
      <c r="E42" s="13"/>
    </row>
    <row r="43" spans="1:24" ht="15" customHeight="1" x14ac:dyDescent="0.15"/>
    <row r="44" spans="1:24" ht="15" customHeight="1" x14ac:dyDescent="0.15">
      <c r="A44" s="1" t="s">
        <v>31</v>
      </c>
      <c r="B44" s="1" t="s">
        <v>32</v>
      </c>
    </row>
    <row r="45" spans="1:24" ht="15" customHeight="1" x14ac:dyDescent="0.15"/>
    <row r="46" spans="1:24" ht="15" customHeight="1" x14ac:dyDescent="0.15">
      <c r="K46" s="7"/>
      <c r="L46" s="7"/>
      <c r="M46" s="7"/>
      <c r="N46" s="7"/>
      <c r="O46" s="7"/>
      <c r="P46" s="7"/>
      <c r="Q46" s="7"/>
      <c r="R46" s="24" t="s">
        <v>39</v>
      </c>
      <c r="S46" s="24"/>
      <c r="T46" s="24"/>
      <c r="U46" s="24"/>
      <c r="V46" s="24"/>
      <c r="W46" s="24"/>
      <c r="X46" s="7"/>
    </row>
    <row r="47" spans="1:24" ht="15" customHeight="1" x14ac:dyDescent="0.15">
      <c r="K47" s="7"/>
      <c r="L47" s="7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7"/>
    </row>
    <row r="48" spans="1:24" ht="15" customHeight="1" x14ac:dyDescent="0.15"/>
    <row r="49" spans="11:24" ht="15" customHeight="1" x14ac:dyDescent="0.15"/>
    <row r="50" spans="11:24" ht="15" customHeight="1" x14ac:dyDescent="0.15"/>
    <row r="51" spans="11:24" ht="15" customHeight="1" x14ac:dyDescent="0.15"/>
    <row r="52" spans="11:24" ht="15" customHeight="1" x14ac:dyDescent="0.15"/>
    <row r="53" spans="11:24" ht="15" customHeight="1" x14ac:dyDescent="0.15"/>
    <row r="54" spans="11:24" ht="15" customHeight="1" x14ac:dyDescent="0.15"/>
    <row r="56" spans="11:24" x14ac:dyDescent="0.15"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1:24" x14ac:dyDescent="0.15"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</sheetData>
  <mergeCells count="30">
    <mergeCell ref="K14:N21"/>
    <mergeCell ref="O14:S21"/>
    <mergeCell ref="T14:W21"/>
    <mergeCell ref="B15:I15"/>
    <mergeCell ref="B21:I22"/>
    <mergeCell ref="A1:I1"/>
    <mergeCell ref="K1:W1"/>
    <mergeCell ref="K2:W2"/>
    <mergeCell ref="K11:W11"/>
    <mergeCell ref="K12:W12"/>
    <mergeCell ref="B23:I25"/>
    <mergeCell ref="K23:Q30"/>
    <mergeCell ref="R23:W30"/>
    <mergeCell ref="B26:I26"/>
    <mergeCell ref="B27:I28"/>
    <mergeCell ref="B29:I29"/>
    <mergeCell ref="B30:I31"/>
    <mergeCell ref="K31:Q38"/>
    <mergeCell ref="R31:W38"/>
    <mergeCell ref="A32:I33"/>
    <mergeCell ref="B42:E42"/>
    <mergeCell ref="R46:W46"/>
    <mergeCell ref="B35:E35"/>
    <mergeCell ref="G35:I35"/>
    <mergeCell ref="B36:E36"/>
    <mergeCell ref="G36:I36"/>
    <mergeCell ref="R40:W40"/>
    <mergeCell ref="B41:E41"/>
    <mergeCell ref="G41:I41"/>
    <mergeCell ref="R41:W4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horizontalDpi="0" verticalDpi="0"/>
  <colBreaks count="1" manualBreakCount="1">
    <brk id="9" max="47" man="1"/>
  </colBreak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20</vt:i4>
      </vt:variant>
    </vt:vector>
  </HeadingPairs>
  <TitlesOfParts>
    <vt:vector size="40" baseType="lpstr">
      <vt:lpstr>Format CD</vt:lpstr>
      <vt:lpstr>Format CD (2)</vt:lpstr>
      <vt:lpstr>Format CD (3)</vt:lpstr>
      <vt:lpstr>Format CD (4)</vt:lpstr>
      <vt:lpstr>Format CD (5)</vt:lpstr>
      <vt:lpstr>Format CD (6)</vt:lpstr>
      <vt:lpstr>Format CD (7)</vt:lpstr>
      <vt:lpstr>Format CD (8)</vt:lpstr>
      <vt:lpstr>Format CD (9)</vt:lpstr>
      <vt:lpstr>Format CD (10)</vt:lpstr>
      <vt:lpstr>Format CD (11)</vt:lpstr>
      <vt:lpstr>Format CD (12)</vt:lpstr>
      <vt:lpstr>Format CD (13)</vt:lpstr>
      <vt:lpstr>Format CD (14)</vt:lpstr>
      <vt:lpstr>Format CD (15)</vt:lpstr>
      <vt:lpstr>Format CD (16)</vt:lpstr>
      <vt:lpstr>Format CD (17)</vt:lpstr>
      <vt:lpstr>Format CD (18)</vt:lpstr>
      <vt:lpstr>Format CD (19)</vt:lpstr>
      <vt:lpstr>Format CD (20)</vt:lpstr>
      <vt:lpstr>'Format CD'!Print_Area</vt:lpstr>
      <vt:lpstr>'Format CD (10)'!Print_Area</vt:lpstr>
      <vt:lpstr>'Format CD (11)'!Print_Area</vt:lpstr>
      <vt:lpstr>'Format CD (12)'!Print_Area</vt:lpstr>
      <vt:lpstr>'Format CD (13)'!Print_Area</vt:lpstr>
      <vt:lpstr>'Format CD (14)'!Print_Area</vt:lpstr>
      <vt:lpstr>'Format CD (15)'!Print_Area</vt:lpstr>
      <vt:lpstr>'Format CD (16)'!Print_Area</vt:lpstr>
      <vt:lpstr>'Format CD (17)'!Print_Area</vt:lpstr>
      <vt:lpstr>'Format CD (18)'!Print_Area</vt:lpstr>
      <vt:lpstr>'Format CD (19)'!Print_Area</vt:lpstr>
      <vt:lpstr>'Format CD (2)'!Print_Area</vt:lpstr>
      <vt:lpstr>'Format CD (20)'!Print_Area</vt:lpstr>
      <vt:lpstr>'Format CD (3)'!Print_Area</vt:lpstr>
      <vt:lpstr>'Format CD (4)'!Print_Area</vt:lpstr>
      <vt:lpstr>'Format CD (5)'!Print_Area</vt:lpstr>
      <vt:lpstr>'Format CD (6)'!Print_Area</vt:lpstr>
      <vt:lpstr>'Format CD (7)'!Print_Area</vt:lpstr>
      <vt:lpstr>'Format CD (8)'!Print_Area</vt:lpstr>
      <vt:lpstr>'Format CD (9)'!Print_Area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Febri</dc:creator>
  <cp:lastModifiedBy>Febri</cp:lastModifiedBy>
  <cp:lastPrinted>2026-08-03T12:56:44Z</cp:lastPrinted>
  <dcterms:created xsi:type="dcterms:W3CDTF">2026-08-03T10:01:50Z</dcterms:created>
  <dcterms:modified xsi:type="dcterms:W3CDTF">2026-08-05T11:16:49Z</dcterms:modified>
</cp:coreProperties>
</file>